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1. all papers" sheetId="2" r:id="rId6"/>
    <sheet state="visible" name="2. Title" sheetId="3" r:id="rId7"/>
    <sheet state="visible" name="3. Abstract" sheetId="4" r:id="rId8"/>
    <sheet state="visible" name="4. Full-text" sheetId="5" r:id="rId9"/>
    <sheet state="visible" name="5. Snowballing" sheetId="6" r:id="rId10"/>
  </sheets>
  <definedNames/>
  <calcPr/>
</workbook>
</file>

<file path=xl/sharedStrings.xml><?xml version="1.0" encoding="utf-8"?>
<sst xmlns="http://schemas.openxmlformats.org/spreadsheetml/2006/main" count="7818" uniqueCount="1369">
  <si>
    <t>ID#</t>
  </si>
  <si>
    <t>Database</t>
  </si>
  <si>
    <t>Total Papers</t>
  </si>
  <si>
    <t>Title-based</t>
  </si>
  <si>
    <t>Abstract</t>
  </si>
  <si>
    <t>Full-text</t>
  </si>
  <si>
    <t>Snowballing</t>
  </si>
  <si>
    <t>DB1</t>
  </si>
  <si>
    <t xml:space="preserve">IEEE Xplore </t>
  </si>
  <si>
    <t>DB2</t>
  </si>
  <si>
    <t xml:space="preserve">Springer </t>
  </si>
  <si>
    <t>DB3</t>
  </si>
  <si>
    <t xml:space="preserve">Science Direct </t>
  </si>
  <si>
    <t>DB4</t>
  </si>
  <si>
    <t>ACM</t>
  </si>
  <si>
    <t>DB5</t>
  </si>
  <si>
    <t xml:space="preserve">Taylor and Francis </t>
  </si>
  <si>
    <t>DB6</t>
  </si>
  <si>
    <t xml:space="preserve">Wiley </t>
  </si>
  <si>
    <t>DB7</t>
  </si>
  <si>
    <t xml:space="preserve">Google Scholar </t>
  </si>
  <si>
    <t>DB8</t>
  </si>
  <si>
    <t>Semantic Scholar</t>
  </si>
  <si>
    <t>DB9</t>
  </si>
  <si>
    <t>Scopus</t>
  </si>
  <si>
    <t>DB10</t>
  </si>
  <si>
    <t xml:space="preserve">Web of Science </t>
  </si>
  <si>
    <t>Total</t>
  </si>
  <si>
    <t xml:space="preserve">Sr. </t>
  </si>
  <si>
    <t>Paper Name</t>
  </si>
  <si>
    <t>Reference</t>
  </si>
  <si>
    <t>Year</t>
  </si>
  <si>
    <t>Publication Venue</t>
  </si>
  <si>
    <t>Source</t>
  </si>
  <si>
    <t>Type</t>
  </si>
  <si>
    <t>Certifying Learning-Enabled Autonomous Cyber Physical Systems - A Deployment Perspective</t>
  </si>
  <si>
    <t>Singh, S., Hazra, S., Dey, S., Dey, S. (2024) Certifying Learning-Enabled Autonomous Cyber Physical Systems - A Deployment Perspective. 2024 37th International Conference on VLSI Design and 2024 23rd International Conference on Embedded Systems (VLSID). pp. 270-275 DOI: 10.1109/VLSID60093.2024.00051</t>
  </si>
  <si>
    <t>2024 37th International Conference on VLSI Design and 2024 23rd International Conference on Embedded Systems (VLSID)</t>
  </si>
  <si>
    <t>IEEE</t>
  </si>
  <si>
    <t>Conference</t>
  </si>
  <si>
    <t>Using Dynamic Adaptive Systems in Safety-Critical Domains</t>
  </si>
  <si>
    <t>McGee, E.T., McGregor, J.D. (2016) Using Dynamic Adaptive Systems in Safety-Critical Domains. 2016 IEEE/ACM 11th International Symposium on Software Engineering for Adaptive and Self-Managing Systems (SEAMS). pp. 115-121 DOI: 10.1145/2897053.2897062</t>
  </si>
  <si>
    <t>2016 IEEE/ACM 11th International Symposium on Software Engineering for Adaptive and Self-Managing Systems (SEAMS)</t>
  </si>
  <si>
    <t>GoodSpread: Criticality-Aware Static Scheduling of CPS with Multi-QoS Resources</t>
  </si>
  <si>
    <t>Roy, D., Ghosh, S., Zhu, Q., Caccamo, M., Chakraborty, S. (2020) GoodSpread: Criticality-Aware Static Scheduling of CPS with Multi-QoS Resources. 2020 IEEE Real-Time Systems Symposium (RTSS). pp. 178-190 DOI: 10.1109/RTSS49844.2020.00026</t>
  </si>
  <si>
    <t>2020 IEEE Real-Time Systems Symposium (RTSS)</t>
  </si>
  <si>
    <t>A Systematic Approach to Enhancing ISO 26262 With Machine Learning-Specific Life Cycle Phases and Testing Methods</t>
  </si>
  <si>
    <t>Iyenghar, P., Gracic, E., Pawelke, G. (2024) A Systematic Approach to Enhancing ISO 26262 With Machine Learning-Specific Life Cycle Phases and Testing Methods. IEEE Access. 12 pp. 179600-179627 DOI: 10.1109/ACCESS.2024.3506333</t>
  </si>
  <si>
    <t>IEEE Access</t>
  </si>
  <si>
    <t>Journal</t>
  </si>
  <si>
    <t>PSP Framework: A novel risk assessment method in compliance with ISO/SAE-21434</t>
  </si>
  <si>
    <t>Oberti, F., Sanchez, E., Savino, A., Parisi, F., Carlo, S.D. (2023) PSP Framework: A novel risk assessment method in compliance with ISO/SAE-21434. 2023 53rd Annual IEEE/IFIP International Conference on Dependable Systems and Networks Workshops (DSN-W). pp. 60-67 DOI: 10.1109/DSN-W58399.2023.00031</t>
  </si>
  <si>
    <t>2023 53rd Annual IEEE/IFIP International Conference on Dependable Systems and Networks Workshops (DSN-W)</t>
  </si>
  <si>
    <t>A Feature-Based Machine Learning Approach for Mixed-Criticality Systems</t>
  </si>
  <si>
    <t>Varghese, N.V., Azim, A., Mahmoud, Q.H. (2021) A Feature-Based Machine Learning Approach for Mixed-Criticality Systems. 2021 22nd IEEE International Conference on Industrial Technology (ICIT). 1 pp. 699-704 DOI: 10.1109/ICIT46573.2021.9453482</t>
  </si>
  <si>
    <t>2021 22nd IEEE International Conference on Industrial Technology (ICIT)</t>
  </si>
  <si>
    <t>Using Rigorous Simulation to Support ISO 26262 Hazard Analysis and Risk Assessment</t>
  </si>
  <si>
    <t>Duracz, A., Eriksson, H., Bartha, F.A., Xu, F., Zeng, Y., Taha, W. (2015) Using Rigorous Simulation to Support ISO 26262 Hazard Analysis and Risk Assessment. 2015 IEEE 17th International Conference on High Performance Computing and Communications, 2015 IEEE 7th International Symposium on Cyberspace Safety and Security, and 2015 IEEE 12th International Conference on Embedded Software and Systems. pp. 1093-1096 DOI: 10.1109/HPCC-CSS-ICESS.2015.296</t>
  </si>
  <si>
    <t>2015 IEEE 17th International Conference on High Performance Computing and Communications, 2015 IEEE 7th International Symposium on Cyberspace Safety and Security, and 2015 IEEE 12th International Conference on Embedded Software and Systems</t>
  </si>
  <si>
    <t>ReachFlow: An Online Safety Assurance Framework for Waypoint-Following of Self-driving Cars</t>
  </si>
  <si>
    <t>Lin, Q., Chen, X., Khurana, A., Dolan, J.M. (2020) ReachFlow: An Online Safety Assurance Framework for Waypoint-Following of Self-driving Cars. 2020 IEEE/RSJ International Conference on Intelligent Robots and Systems (IROS). pp. 6627-6632 DOI: 10.1109/IROS45743.2020.9341122</t>
  </si>
  <si>
    <t>2020 IEEE/RSJ International Conference on Intelligent Robots and Systems (IROS)</t>
  </si>
  <si>
    <t>AI Components for High Integrity, Safety-Critical Human-Cyber-Physical Systems</t>
  </si>
  <si>
    <t>@inbook{Fr_nzle_2025, title={AI Components for High Integrity, Safety-Critical Human-Cyber-Physical Systems: A Challenge for Formal Methods}, ISBN={9789819646562}, ISSN={1611-3349}, url={http://dx.doi.org/10.1007/978-981-96-4656-2_4}, DOI={10.1007/978-981-96-4656-2_4}, booktitle={Engineering Trustworthy Software Systems}, publisher={Springer Nature Singapore}, author={Fränzle, Martin}, year={2025}, pages={102–133} }</t>
  </si>
  <si>
    <t>Engineering Trustworthy Software Systems</t>
  </si>
  <si>
    <t>Springer</t>
  </si>
  <si>
    <t>Future Vision of Dynamic Certification Schemes for Autonomous Systems</t>
  </si>
  <si>
    <t>@inbook{Kusnirakova_2024, title={Future Vision of Dynamic Certification Schemes for Autonomous Systems}, ISBN={9783031641824}, ISSN={1865-0937}, url={http://dx.doi.org/10.1007/978-3-031-64182-4_10}, DOI={10.1007/978-3-031-64182-4_10}, booktitle={Evaluation of Novel Approaches to Software Engineering}, publisher={Springer Nature Switzerland}, author={Kusnirakova, Dasa and Buhnova, Barbora}, year={2024}, pages={211–229} }</t>
  </si>
  <si>
    <t>Evaluation of Novel Approaches to Software Engineering</t>
  </si>
  <si>
    <t>Uncertainty-aware environment simulation of medical devices digital twins</t>
  </si>
  <si>
    <t>@article{Sartaj_2024, title={Uncertainty-aware environment simulation of medical devices digital twins}, volume={24}, ISSN={1619-1374}, url={http://dx.doi.org/10.1007/s10270-024-01223-8}, DOI={10.1007/s10270-024-01223-8}, number={3}, journal={Software and Systems Modeling}, publisher={Springer Science and Business Media LLC}, author={Sartaj, Hassan and Ali, Shaukat and Marie Gjøby, Julie}, year={2024}, month=nov, pages={651–677} }</t>
  </si>
  <si>
    <t>Software and Systems Modeling</t>
  </si>
  <si>
    <t>What, Indeed, is an Achievable Provable Guarantee for Learning-Enabled Safety-Critical Systems</t>
  </si>
  <si>
    <t>@inbook{Bensalem_2023, title={What, Indeed, is an Achievable Provable Guarantee for Learning-Enabled Safety-Critical Systems}, ISBN={9783031460029}, ISSN={1611-3349}, url={http://dx.doi.org/10.1007/978-3-031-46002-9_4}, DOI={10.1007/978-3-031-46002-9_4}, booktitle={Bridging the Gap Between AI and Reality}, publisher={Springer Nature Switzerland}, author={Bensalem, Saddek and Cheng, Chih-Hong and Huang, Wei and Huang, Xiaowei and Wu, Changshun and Zhao, Xingyu}, year={2023}, month=dec, pages={55–76} }</t>
  </si>
  <si>
    <t>Bridging the Gap Between AI and Reality</t>
  </si>
  <si>
    <t>Ergo, SMIRK is safe: a safety case for a machine learning component in a pedestrian automatic emergency brake system</t>
  </si>
  <si>
    <t>@article{Borg_2023, title={Ergo, SMIRK is safe: a safety case for a machine learning component in a pedestrian automatic emergency brake system}, volume={31}, ISSN={1573-1367}, url={http://dx.doi.org/10.1007/s11219-022-09613-1}, DOI={10.1007/s11219-022-09613-1}, number={2}, journal={Software Quality Journal}, publisher={Springer Science and Business Media LLC}, author={Borg, Markus and Henriksson, Jens and Socha, Kasper and Lennartsson, Olof and Sonnsjö Lönegren, Elias and Bui, Thanh and Tomaszewski, Piotr and Sathyamoorthy, Sankar Raman and Brink, Sebastian and Helali Moghadam, Mahshid}, year={2023}, month=mar, pages={335–403} }</t>
  </si>
  <si>
    <t>Software Quality Journal</t>
  </si>
  <si>
    <t>Towards Probabilistic Contracts for Intelligent Cyber-Physical Systems</t>
  </si>
  <si>
    <t>@inbook{Blohm_2024, title={Towards Probabilistic Contracts for Intelligent Cyber-Physical Systems}, ISBN={9783031753800}, ISSN={1611-3349}, url={http://dx.doi.org/10.1007/978-3-031-75380-0_3}, DOI={10.1007/978-3-031-75380-0_3}, booktitle={Leveraging Applications of Formal Methods, Verification and Validation. Specification and Verification}, publisher={Springer Nature Switzerland}, author={Blohm, Pauline and Fränzle, Martin and Herber, Paula and Kröger, Paul and Remke, Anne}, year={2024}, month=oct, pages={26–47} }</t>
  </si>
  <si>
    <t>Leveraging Applications of Formal Methods, Verification and Validation. Specification and Verification</t>
  </si>
  <si>
    <t>Artificial Intelligence Based Contemporary Computational Paradigms for Intelligent Machining Processes: Review on Assessment, Progress and Recent Development</t>
  </si>
  <si>
    <t>@article{Laghari_2025, title={Artificial Intelligence Based Contemporary Computational Paradigms for Intelligent Machining Processes: Review on Assessment, Progress and Recent Development}, ISSN={1886-1784}, url={http://dx.doi.org/10.1007/s11831-025-10478-3}, DOI={10.1007/s11831-025-10478-3}, journal={Archives of Computational Methods in Engineering}, publisher={Springer Science and Business Media LLC}, author={Laghari, Rashid Ali and Memon, Salman and Ansari, Mohsin and Shah, Wakeel and Shakir, Muhammad and Khan, Abdullah Ayub and Hussain, Bilal and Laghari, Asif Ali}, year={2025}, month=dec }</t>
  </si>
  <si>
    <t>Archives of Computational Methods in Engineering</t>
  </si>
  <si>
    <t>Real-Life Applications of Soft Computing in Cyber-Physical System: A Compressive Review</t>
  </si>
  <si>
    <t>@inbook{Bhatia_2021, title={Real-Life Applications of Soft Computing in Cyber-Physical System: A Compressive Review}, ISBN={9789811617409}, ISSN={2194-5365}, url={http://dx.doi.org/10.1007/978-981-16-1740-9_41}, DOI={10.1007/978-981-16-1740-9_41}, booktitle={Soft Computing: Theories and Applications}, publisher={Springer Singapore}, author={Bhatia, Varsha and Jaglan, Vivek and Kumawat, Sunita and Kaswan, Kuldeep Singh}, year={2021}, month=jul, pages={501â€“514} }</t>
  </si>
  <si>
    <t>Soft Computing: Theories and Applications</t>
  </si>
  <si>
    <t>From voltage to vulnerability: A comprehensive survey of dynamic security risk assessment techniques in smart grids</t>
  </si>
  <si>
    <t>@article{Arjmand_2025, title={From voltage to vulnerability: A comprehensive survey of dynamic security risk assessment techniques in smart grids}, volume={25}, ISSN={1615-5270}, url={http://dx.doi.org/10.1007/s10207-025-01173-2}, DOI={10.1007/s10207-025-01173-2}, number={1}, journal={International Journal of Information Security}, publisher={Springer Science and Business Media LLC}, author={Arjmand, Mostafa and Akbari, Behzad and Ghaeini, Hamid Reza}, year={2025}, month=dec }</t>
  </si>
  <si>
    <t>International Journal of Information Security</t>
  </si>
  <si>
    <t>Cyber threats to maritime SAR operations in the arctic: risks from public data</t>
  </si>
  <si>
    <t>@article{Karahalios_2025, title={Cyber threats to maritime SAR operations in the arctic: risks from public data}, volume={18}, ISSN={1938-775X}, url={http://dx.doi.org/10.1007/s12198-025-00298-8}, DOI={10.1007/s12198-025-00298-8}, number={1}, journal={Journal of Transportation Security}, publisher={Springer Science and Business Media LLC}, author={Karahalios, Hristos}, year={2025}, month=jun }</t>
  </si>
  <si>
    <t>Journal of Transportation Security</t>
  </si>
  <si>
    <t>A new autonomous symbolic-based intelligent embedded feedback controller for cyber-physical parameter-varying systems</t>
  </si>
  <si>
    <t>@article{Aziz_2025, title={A new autonomous symbolic-based intelligent embedded feedback controller for cyber-physical parameter-varying systems}, volume={72}, ISSN={2536-9512}, url={http://dx.doi.org/10.1186/s44147-025-00659-z}, DOI={10.1186/s44147-025-00659-z}, number={1}, journal={Journal of Engineering and Applied Science}, publisher={Springer Science and Business Media LLC}, author={Aziz, Nancy Adel and Al-Awamry, Amr and Lashin, Manar and Dorrah, Hassen Taher and Gabr, Walaa Ibrahim}, year={2025}, month=jul }</t>
  </si>
  <si>
    <t>Journal of Engineering and Applied Science</t>
  </si>
  <si>
    <t>The Role of Standardization for Simulation in Model-Based Systems Engineering: A Survey Study Supplemented with Industrial Experiences</t>
  </si>
  <si>
    <t>@article{Rosenlund_2025, title={The Role of Standardization for Simulation in Model-Based Systems Engineering: A Survey Study Supplemented with Industrial Experiences}, ISSN={1619-1374}, url={http://dx.doi.org/10.1007/s10270-025-01344-8}, DOI={10.1007/s10270-025-01344-8}, journal={Software and Systems Modeling}, publisher={Springer Science and Business Media LLC}, author={Rosenlund, Erik and Cederbladh, Johan and Strandberg, Per and Krems, Daniel}, year={2025}, month=dec }</t>
  </si>
  <si>
    <t>A Review of the Legal, Regulatory and Practical Aspects Needed to Unlock Autonomous Beyond Visual Line of Sight Unmanned Aircraft Systems Operations</t>
  </si>
  <si>
    <t>@article{Matalonga_2022, title={A Review of the Legal, Regulatory and Practical Aspects Needed to Unlock Autonomous Beyond Visual Line of Sight Unmanned Aircraft Systems Operations}, volume={106}, ISSN={1573-0409}, url={http://dx.doi.org/10.1007/s10846-022-01682-5}, DOI={10.1007/s10846-022-01682-5}, number={1}, journal={Journal of Intelligent &amp;amp; Robotic Systems}, publisher={Springer Science and Business Media LLC}, author={Matalonga, Santiago and White, Samuel and Hartmann, Jacques and Riordan, James}, year={2022}, month=aug }</t>
  </si>
  <si>
    <t>Journal of Intelligent &amp; Robotic Systems</t>
  </si>
  <si>
    <t>VISEF: Empirical Evaluation of a Vehicle-Level Integrated Functional Safety Framework</t>
  </si>
  <si>
    <t>@article{Gu_2025, title={VISEF: Empirical Evaluation of a Vehicle-Level Integrated Functional Safety Framework}, ISSN={1976-3832}, url={http://dx.doi.org/10.1007/s12239-025-00369-8}, DOI={10.1007/s12239-025-00369-8}, journal={International Journal of Automotive Technology}, publisher={Springer Science and Business Media LLC}, author={Gu, Taewan}, year={2025}, month=oct }</t>
  </si>
  <si>
    <t>International Journal of Automotive Technology</t>
  </si>
  <si>
    <t>The black-box simplex architecture for runtime assurance of multi-agent CPS</t>
  </si>
  <si>
    <t>@article{Sheikhi_2024, title={The black-box simplex architecture for runtime assurance of multi-agent CPS}, volume={21}, ISSN={1614-5054}, url={http://dx.doi.org/10.1007/s11334-024-00553-6}, DOI={10.1007/s11334-024-00553-6}, number={2}, journal={Innovations in Systems and Software Engineering}, publisher={Springer Science and Business Media LLC}, author={Sheikhi, Sanaz and Mehmood, Usama and Bak, Stanley and Smolka, Scott A. and Stoller, Scott D.}, year={2024}, month=mar, pages={619â€“634} }</t>
  </si>
  <si>
    <t>Innovations in Systems and Software Engineering</t>
  </si>
  <si>
    <t>Neuro-Symbolic Artificial Intelligence for Safety Engineering</t>
  </si>
  <si>
    <t>@inbook{Carnevali_2024, title={Neuro-Symbolic Artificial Intelligence for Safety Engineering}, ISBN={9783031687389}, ISSN={1611-3349}, url={http://dx.doi.org/10.1007/978-3-031-68738-9_35}, DOI={10.1007/978-3-031-68738-9_35}, booktitle={Computer Safety, Reliability, and Security. SAFECOMP 2024 Workshops}, publisher={Springer Nature Switzerland}, author={Carnevali, Laura and Lippi, Marco}, year={2024}, pages={438–445} }</t>
  </si>
  <si>
    <t>Computer Safety, Reliability, and Security. SAFECOMP 2024 Workshops</t>
  </si>
  <si>
    <t>Requirements and software engineering for automotive perception systems: an interview study</t>
  </si>
  <si>
    <t>@article{Habibullah_2024, title={Requirements and software engineering for automotive perception systems: an interview study}, volume={29}, ISSN={1432-010X}, url={http://dx.doi.org/10.1007/s00766-023-00410-1}, DOI={10.1007/s00766-023-00410-1}, number={1}, journal={Requirements Engineering}, publisher={Springer Science and Business Media LLC}, author={Habibullah, Khan Mohammad and Heyn, Hans-Martin and Gay, Gregory and Horkoff, Jennifer and Knauss, Eric and Borg, Markus and Knauss, Alessia and Sivencrona, Håkan and Li, Polly Jing}, year={2024}, month=jan, pages={25–48} }</t>
  </si>
  <si>
    <t>Requirements Engineering</t>
  </si>
  <si>
    <t>A comprehensive review of digital twin — part 1: modeling and twinning enabling technologies</t>
  </si>
  <si>
    <t>@article{Thelen_2022, title={A comprehensive review of digital twin — part 1: modeling and twinning enabling technologies}, volume={65}, ISSN={1615-1488}, url={http://dx.doi.org/10.1007/s00158-022-03425-4}, DOI={10.1007/s00158-022-03425-4}, number={12}, journal={Structural and Multidisciplinary Optimization}, publisher={Springer Science and Business Media LLC}, author={Thelen, Adam and Zhang, Xiaoge and Fink, Olga and Lu, Yan and Ghosh, Sayan and Youn, Byeng D. and Todd, Michael D. and Mahadevan, Sankaran and Hu, Chao and Hu, Zhen}, year={2022}, month=nov }</t>
  </si>
  <si>
    <t>Structural and Multidisciplinary Optimization</t>
  </si>
  <si>
    <t>Fault-tolerant control strategies for industrial robots: state of the art and future perspective on AI-based fault management</t>
  </si>
  <si>
    <t>@article{Khan_2025, title={Fault-tolerant control strategies for industrial robots: state of the art and future perspective on AI-based fault management}, volume={58}, ISSN={1573-7462}, url={http://dx.doi.org/10.1007/s10462-025-11327-2}, DOI={10.1007/s10462-025-11327-2}, number={11}, journal={Artificial Intelligence Review}, publisher={Springer Science and Business Media LLC}, author={Khan, Zeashan and Nasir, Ali and Mekid, Samir}, year={2025}, month=aug }</t>
  </si>
  <si>
    <t>Artificial Intelligence Review</t>
  </si>
  <si>
    <t>Combining Look-ahead Design-time and Run-time Control-synthesis for Graph Transformation Systems</t>
  </si>
  <si>
    <t>@inbook{Xu_2024, title={Combining Look-ahead Design-time and Run-time Control-synthesis for Graph Transformation Systems}, ISBN={9783031572593}, ISSN={1611-3349}, url={http://dx.doi.org/10.1007/978-3-031-57259-3_4}, DOI={10.1007/978-3-031-57259-3_4}, booktitle={Fundamental Approaches to Software Engineering}, publisher={Springer Nature Switzerland}, author={Xu, He and Schneider, Sven and Giese, Holger}, year={2024}, pages={77â€“100} }</t>
  </si>
  <si>
    <t>Fundamental Approaches to Software Engineering</t>
  </si>
  <si>
    <t>Verification-Oriented Specification of Multi-agent Interaction Patterns</t>
  </si>
  <si>
    <t>@inbook{Tagliaferro_2024, title={Verification-Oriented Specification of Multi-agent Interaction Patterns}, ISBN={9783031731808}, ISSN={1865-0937}, url={http://dx.doi.org/10.1007/978-3-031-73180-8_3}, DOI={10.1007/978-3-031-73180-8_3}, booktitle={Agents and Robots for reliable Engineered Autonomy}, publisher={Springer Nature Switzerland}, author={Tagliaferro, Alberto and Lestingi, Livia and Rossi, Matteo}, year={2024}, month=oct, pages={38–53} }</t>
  </si>
  <si>
    <t>Agents and Robots for reliable Engineered Autonomy</t>
  </si>
  <si>
    <t>Correct-by-construction requirement decomposition</t>
  </si>
  <si>
    <t>@article{Sun_2025, title={Correct-by-construction requirement decomposition}, ISSN={1619-1374}, url={http://dx.doi.org/10.1007/s10270-025-01291-4}, DOI={10.1007/s10270-025-01291-4}, journal={Software and Systems Modeling}, publisher={Springer Science and Business Media LLC}, author={Sun, Minghui and Bakirtzis, Georgios and Jafarzadeh, Hassan and Fleming, Cody}, year={2025}, month=may }</t>
  </si>
  <si>
    <t>A Novel Warning Identification Framework for Risk-Informed Anomaly Detection</t>
  </si>
  <si>
    <t>@article{Spahic_2023, title={A Novel Warning Identification Framework for Risk-Informed Anomaly Detection}, volume={108}, ISSN={1573-0409}, url={http://dx.doi.org/10.1007/s10846-023-01887-2}, DOI={10.1007/s10846-023-01887-2}, number={2}, journal={Journal of Intelligent &amp;amp; Robotic Systems}, publisher={Springer Science and Business Media LLC}, author={Spahic, Rialda and Heps√∏, Vidar and Lundteigen, Mary Ann}, year={2023}, month=jun }</t>
  </si>
  <si>
    <t>Formally Verified Self-adaptation of an Incubator Digital Twin</t>
  </si>
  <si>
    <t>@inbook{Wright_2022, title={Formally Verified Self-adaptation of an Incubator Digital Twin}, ISBN={9783031197628}, ISSN={1611-3349}, url={http://dx.doi.org/10.1007/978-3-031-19762-8_7}, DOI={10.1007/978-3-031-19762-8_7}, booktitle={Leveraging Applications of Formal Methods, Verification and Validation. Practice}, publisher={Springer Nature Switzerland}, author={Wright, Thomas and Gomes, Cláudio and Woodcock, Jim}, year={2022}, pages={89–109} }</t>
  </si>
  <si>
    <t>Leveraging Applications of Formal Methods, Verification and Validation. Practice</t>
  </si>
  <si>
    <t>The bottlenecks of AI: challenges for embedded and real-time research in a data-centric age</t>
  </si>
  <si>
    <t>@article{Abdelzaher_2025, title={The bottlenecks of AI: challenges for embedded and real-time research in a data-centric age}, volume={61}, ISSN={1573-1383}, url={http://dx.doi.org/10.1007/s11241-025-09452-w}, DOI={10.1007/s11241-025-09452-w}, number={2}, journal={Real-Time Systems}, publisher={Springer Science and Business Media LLC}, author={Abdelzaher, Tarek and Hu, Yigong and Kara, Denizhan and Kimura, Tomoyoshi and Misra, Ashitabh and Ramani, Vishakha and Tardieu, Olivier and Wang, Tianshi and Wigness, Maggie and Youssef, Alaa}, year={2025}, month=jun, pages={185â€“236} }</t>
  </si>
  <si>
    <t>Real-Time Systems</t>
  </si>
  <si>
    <t>Design and deployment of a hybrid neural network for real-time GPS correction in slow moving, low SWaP, UAV flight systems</t>
  </si>
  <si>
    <t>@article{Nathan_2025, title={Design and deployment of a hybrid neural network for real-time GPS correction in slow moving, low SWaP, UAV flight systems}, volume={29}, ISSN={1521-1886}, url={http://dx.doi.org/10.1007/s10291-025-01911-y}, DOI={10.1007/s10291-025-01911-y}, number={3}, journal={GPS Solutions}, publisher={Springer Science and Business Media LLC}, author={Nathan, Gokul and Cucioglu, Alperen and Makhsous, Sep}, year={2025}, month=jun }</t>
  </si>
  <si>
    <t>GPS Solutions</t>
  </si>
  <si>
    <t>The convergence of artificial intelligence and structural health monitoring: a comprehensive review of methodologies, advancements, and future trajectories</t>
  </si>
  <si>
    <t>@article{Sarma_2025, title={The convergence of artificial intelligence and structural health monitoring: a comprehensive review of methodologies, advancements, and future trajectories}, volume={14}, ISSN={2520-1360}, url={http://dx.doi.org/10.1007/s41872-025-00364-z}, DOI={10.1007/s41872-025-00364-z}, number={4}, journal={Life Cycle Reliability and Safety Engineering}, publisher={Springer Science and Business Media LLC}, author={Sarma, I. V. and Chanda, Sarit and Reddy, M. Srinivasa}, year={2025}, month=sep, pages={531â€“543} }</t>
  </si>
  <si>
    <t>Life Cycle Reliability and Safety Engineering</t>
  </si>
  <si>
    <t>Classifications of ‘Vehicle-Road-Cloud’ Integration Applications and Delay Requirements Analysis in Critical Scenarios</t>
  </si>
  <si>
    <t>@inbook{Pan_2025, title={Classifications of ‘Vehicle-Road-Cloud’ Integration Applications and Delay Requirements Analysis in Critical Scenarios}, ISBN={9789819668274}, ISSN={1876-1119}, url={http://dx.doi.org/10.1007/978-981-96-6827-4_34}, DOI={10.1007/978-981-96-6827-4_34}, booktitle={Selected Contributions of 2024 2nd International Conference on Electric Vehicle and Vehicle Engineering}, publisher={Springer Nature Singapore}, author={Pan, Ji-an and Xu, Qing and Zhu, Zehang and Ke, Tianqi and Cai, Mengchi and Yang, Chunying and Li, Keqiang}, year={2025}, pages={322–340} }</t>
  </si>
  <si>
    <t>Selected Contributions of 2024 2nd International Conference on Electric Vehicle and Vehicle Engineering</t>
  </si>
  <si>
    <t>Smart Production and Manufacturing System Using Digital Twin Technology and Machine Learning</t>
  </si>
  <si>
    <t>@article{Yadav_2023, title={Smart Production and Manufacturing System Using Digital Twin Technology and Machine Learning}, volume={4}, ISSN={2661-8907}, url={http://dx.doi.org/10.1007/s42979-023-01976-x}, DOI={10.1007/s42979-023-01976-x}, number={5}, journal={SN Computer Science}, publisher={Springer Science and Business Media LLC}, author={Yadav, Ranjeet and Roopa, Y. Mohana and Lavanya, M. and Ramesh, J. V. N. and Chitra, N. Thulasi and Babu, Gadde Raghu}, year={2023}, month=jul }</t>
  </si>
  <si>
    <t>SN Computer Science</t>
  </si>
  <si>
    <t>Measuring the Quality of Intelligent Systems</t>
  </si>
  <si>
    <t>@inbook{Fehlmann_2024, title={Measuring the Quality of Intelligent Systems}, ISBN={9783031664281}, ISSN={2367-3389}, url={http://dx.doi.org/10.1007/978-3-031-66428-1_27}, DOI={10.1007/978-3-031-66428-1_27}, booktitle={Intelligent Systems and Applications}, publisher={Springer Nature Switzerland}, author={Fehlmann, Thomas and Kranich, Eberhard}, year={2024}, pages={438â€“455} }</t>
  </si>
  <si>
    <t>Intelligent Systems and Applications</t>
  </si>
  <si>
    <t>AI smart cane technology and assistive navigation for visually impaired users: an overview</t>
  </si>
  <si>
    <t>@article{Wazirali_2025, title={AI smart cane technology and assistive navigation for visually impaired users: an overview}, volume={37}, ISSN={2213-1248}, url={http://dx.doi.org/10.1007/s44443-025-00234-9}, DOI={10.1007/s44443-025-00234-9}, number={8}, journal={Journal of King Saud University Computer and Information Sciences}, publisher={Springer Science and Business Media LLC}, author={Wazirali, Raniyah and Ashrif, Fatma Foad and Ahmad, Rami}, year={2025}, month=sep }</t>
  </si>
  <si>
    <t>Journal of King Saud University Computer and Information Sciences</t>
  </si>
  <si>
    <t>Towards Dynamic Dependable Systems Through Evidence-Based Continuous Certification</t>
  </si>
  <si>
    <t>@inbook{Faqeh_2020, title={Towards Dynamic Dependable Systems Through Evidence-Based Continuous Certification}, ISBN={9783030614706}, ISSN={1611-3349}, url={http://dx.doi.org/10.1007/978-3-030-61470-6_25}, DOI={10.1007/978-3-030-61470-6_25}, booktitle={Leveraging Applications of Formal Methods, Verification and Validation: Engineering Principles}, publisher={Springer International Publishing}, author={Faqeh, Rasha and Fetzer, Christof and Hermanns, Holger and Hoffmann, Jörg and Klauck, Michaela and Köhl, Maximilian A. and Steinmetz, Marcel and Weidenbach, Christoph}, year={2020}, pages={416–439} }</t>
  </si>
  <si>
    <t>Leveraging Applications of Formal Methods, Verification and Validation: Engineering Principles</t>
  </si>
  <si>
    <t>U-Map: A Reference Map for Safe Handling of Runtime Uncertainties</t>
  </si>
  <si>
    <t>@inbook{Laxman_2020, title={U-Map: A Reference Map for Safe Handling of Runtime Uncertainties}, ISBN={9783030589202}, ISSN={1611-3349}, url={http://dx.doi.org/10.1007/978-3-030-58920-2_15}, DOI={10.1007/978-3-030-58920-2_15}, booktitle={Model-Based Safety and Assessment}, publisher={Springer International Publishing}, author={Laxman, Nishanth and Koo, Chee Hung and Liggesmeyer, Peter}, year={2020}, pages={227â€“241} }</t>
  </si>
  <si>
    <t>Model-Based Safety and Assessment</t>
  </si>
  <si>
    <t>Formal Verification of Cyber-Physical Systems Using Domain-Specific Abstractions</t>
  </si>
  <si>
    <t>@inbook{Herber_2024, title={Formal Verification of Cyber-Physical Systems Using Domain-Specific Abstractions}, ISBN={9783031773822}, ISSN={1611-3349}, url={http://dx.doi.org/10.1007/978-3-031-77382-2_1}, DOI={10.1007/978-3-031-77382-2_1}, booktitle={Software Engineering and Formal Methods}, publisher={Springer Nature Switzerland}, author={Herber, Paula and Adelt, Julius and Tasche, Philip}, year={2024}, month=nov, pages={3–21} }</t>
  </si>
  <si>
    <t>Software Engineering and Formal Methods</t>
  </si>
  <si>
    <t>Editorial</t>
  </si>
  <si>
    <t>@article{Hoda_2022, title={Editorial}, volume={14}, ISSN={2511-2112}, url={http://dx.doi.org/10.1007/s41870-022-01036-2}, DOI={10.1007/s41870-022-01036-2}, number={5}, journal={International Journal of Information Technology}, publisher={Springer Science and Business Media LLC}, author={Hoda, M. N.}, year={2022}, month=jul, pages={2241â€“2244} }</t>
  </si>
  <si>
    <t>International Journal of Information Technology</t>
  </si>
  <si>
    <t>Scenario-Based Flexible Modeling and Scalable Falsification for Reconfigurable CPSs</t>
  </si>
  <si>
    <t>@inbook{Wang_2024, title={Scenario-Based Flexible Modeling and Scalable Falsification for Reconfigurable CPSs}, ISBN={9783031656330}, ISSN={1611-3349}, url={http://dx.doi.org/10.1007/978-3-031-65633-0_15}, DOI={10.1007/978-3-031-65633-0_15}, booktitle={Computer Aided Verification}, publisher={Springer Nature Switzerland}, author={Wang, Jiawan and Liu, Wenxia and Zhang, Muzimiao and Wei, Jiaqi and Shi, Yuhui and Bu, Lei and Li, Xuandong}, year={2024}, pages={329–355} }</t>
  </si>
  <si>
    <t>Computer Aided Verification</t>
  </si>
  <si>
    <t>Unifying ground and air: a comprehensive review of deep learning-enabled CAVs and UAVs</t>
  </si>
  <si>
    <t>@article{Zia_2025, title={Unifying ground and air: a comprehensive review of deep learning-enabled CAVs and UAVs}, volume={59}, ISSN={1573-7462}, url={http://dx.doi.org/10.1007/s10462-025-11425-1}, DOI={10.1007/s10462-025-11425-1}, number={1}, journal={Artificial Intelligence Review}, publisher={Springer Science and Business Media LLC}, author={Zia, Muhammad Umer and Xiang, Wei and Huang, Tao and Ahmad, Jameel and Chattha, Jawwad Nasar and Naqvi, Ijaz Haider and Butt, Faran Awais}, year={2025}, month=nov }</t>
  </si>
  <si>
    <t>Formally verifying decompositions of stochastic specifications</t>
  </si>
  <si>
    <t>@article{Hampus_2024, title={Formally verifying decompositions of stochastic specifications}, volume={26}, ISSN={1433-2787}, url={http://dx.doi.org/10.1007/s10009-024-00742-5}, DOI={10.1007/s10009-024-00742-5}, number={2}, journal={International Journal on Software Tools for Technology Transfer}, publisher={Springer Science and Business Media LLC}, author={Hampus, Anton and Nyberg, Mattias}, year={2024}, month=feb, pages={207â€“228} }</t>
  </si>
  <si>
    <t>International Journal on Software Tools for Technology Transfer</t>
  </si>
  <si>
    <t>Digital Twin Tutorial: The Incubator Case Study</t>
  </si>
  <si>
    <t>@inbook{Gomes_2025, title={Digital Twin Tutorial: The Incubator Case Study}, ISBN={9789819646562}, ISSN={1611-3349}, url={http://dx.doi.org/10.1007/978-981-96-4656-2_3}, DOI={10.1007/978-981-96-4656-2_3}, booktitle={Engineering Trustworthy Software Systems}, publisher={Springer Nature Singapore}, author={Gomes, Cláudio and Kristensen, Morten Haahr and Andersen, Mikkel Schmidt and Talasila, Prasad and Feng, Hao and Wright, Thomas and Larsen, Peter Gorm}, year={2025}, pages={68–101} }</t>
  </si>
  <si>
    <t>Optimal spare management via statistical model checking: a case study in research reactors</t>
  </si>
  <si>
    <t>@article{Soltani_2025, title={Optimal spare management via statistical model checking: a case study in research reactors}, volume={27}, ISSN={1433-2787}, url={http://dx.doi.org/10.1007/s10009-025-00791-4}, DOI={10.1007/s10009-025-00791-4}, number={3}, journal={International Journal on Software Tools for Technology Transfer}, publisher={Springer Science and Business Media LLC}, author={Soltani, Reza and Volk, Matthias and Diamonte, Leonardo and Lopuhaä-Zwakenberg, Milan and Stoelinga, Mariëlle}, year={2025}, month=apr, pages={361–376} }</t>
  </si>
  <si>
    <t>Neural predictive monitoring and a comparison of frequentist and Bayesian approaches</t>
  </si>
  <si>
    <t>@article{Bortolussi_2021, title={Neural predictive monitoring and a comparison of frequentist and Bayesian approaches}, volume={23}, ISSN={1433-2787}, url={http://dx.doi.org/10.1007/s10009-021-00623-1}, DOI={10.1007/s10009-021-00623-1}, number={4}, journal={International Journal on Software Tools for Technology Transfer}, publisher={Springer Science and Business Media LLC}, author={Bortolussi, Luca and Cairoli, Francesca and Paoletti, Nicola and Smolka, Scott A. and Stoller, Scott D.}, year={2021}, month=may, pages={615â€“640} }</t>
  </si>
  <si>
    <t>Optimizing industrial transport with a connected automated vehicle demonstrator for assembly systems and end-of-line production</t>
  </si>
  <si>
    <t>@article{Curiel_Ramirez_2024, title={Optimizing industrial transport with a connected automated vehicle demonstrator for assembly systems and end-of-line production}, volume={14}, ISSN={2045-2322}, url={http://dx.doi.org/10.1038/s41598-024-58627-1}, DOI={10.1038/s41598-024-58627-1}, number={1}, journal={Scientific Reports}, publisher={Springer Science and Business Media LLC}, author={Curiel-Ramirez, Luis A. and Adlon, Tobias and Burggr√§f, Peter and Ramirez-Mendoza, Ricardo A. and Beyer, Moritz and Gert, Denny}, year={2024}, month=apr }</t>
  </si>
  <si>
    <t>Scientific Reports</t>
  </si>
  <si>
    <t>Ensuring authentication in Medical Cyber-Physical Systems: A comprehensive literature review of blockchain technology integration with machine learning</t>
  </si>
  <si>
    <t>@article{Al_Ghuraybi_2023, title={Ensuring authentication in Medical Cyber-Physical Systems: A comprehensive literature review of blockchain technology integration with machine learning}, volume={83}, ISSN={1573-7721}, url={http://dx.doi.org/10.1007/s11042-023-17065-3}, DOI={10.1007/s11042-023-17065-3}, number={12}, journal={Multimedia Tools and Applications}, publisher={Springer Science and Business Media LLC}, author={Al-Ghuraybi, Hind A. and AlZain, Mohammed A. and Soh, Ben}, year={2023}, month=sep, pages={35673â€“35707} }</t>
  </si>
  <si>
    <t>Multimedia Tools and Applications</t>
  </si>
  <si>
    <t>Industry 5.0: a review of emerging trends and transformative technologies in the next industrial revolution</t>
  </si>
  <si>
    <t>@article{Rijwani_2024, title={Industry 5.0: a review of emerging trends and transformative technologies in the next industrial revolution}, volume={19}, ISSN={1955-2505}, url={http://dx.doi.org/10.1007/s12008-024-01943-7}, DOI={10.1007/s12008-024-01943-7}, number={2}, journal={International Journal on Interactive Design and Manufacturing (IJIDeM)}, publisher={Springer Science and Business Media LLC}, author={Rijwani, Tarun and Kumari, Soni and Srinivas, R and Abhishek, Kumar and Iyer, Ganesh and Vara, Harsh and Dubey, Shreya and Revathi, V and Gupta, Manish}, year={2024}, month=jun, pages={667â€“679} }</t>
  </si>
  <si>
    <t>International Journal on Interactive Design and Manufacturing (IJIDeM)</t>
  </si>
  <si>
    <t>Enhancing the requirements engineering of configurable systems by the ongoing use of variability models</t>
  </si>
  <si>
    <t>@article{Khor_2024, title={Enhancing the requirements engineering of configurable systems by the ongoing use of variability models}, volume={29}, ISSN={1432-010X}, url={http://dx.doi.org/10.1007/s00766-024-00421-6}, DOI={10.1007/s00766-024-00421-6}, number={3}, journal={Requirements Engineering}, publisher={Springer Science and Business Media LLC}, author={Khor, Chin and Lutz, Robyn R.}, year={2024}, month=jun, pages={303â€“328} }</t>
  </si>
  <si>
    <t>XIRAC: an optimized product-oriented near-real-time operating system with unlimited tasks and an innovative programming paradigm based on the maximum entropy method</t>
  </si>
  <si>
    <t>@article{Zirak_2025, title={XIRAC: an optimized product-oriented near-real-time operating system with unlimited tasks and an innovative programming paradigm based on the maximum entropy method}, volume={26}, ISSN={2095-9230}, url={http://dx.doi.org/10.1631/FITEE.2400102}, DOI={10.1631/fitee.2400102}, number={4}, journal={Frontiers of Information Technology &amp;amp; Electronic Engineering}, publisher={Zhejiang University Press}, author={Zirak, Alireza}, year={2025}, month=apr, pages={568â€“587} }</t>
  </si>
  <si>
    <t>Frontiers of Information Technology &amp; Electronic Engineering</t>
  </si>
  <si>
    <t>Satisfaction of Modeling Requirements for Intelligent Navigation Systems: Risk Management Context</t>
  </si>
  <si>
    <t>@inbook{Ben_Lakhal_2022, title={Satisfaction of Modeling Requirements for Intelligent Navigation Systems: Risk Management Context}, ISBN={9783030924423}, ISSN={1876-1119}, url={http://dx.doi.org/10.1007/978-3-030-92442-3_23}, DOI={10.1007/978-3-030-92442-3_23}, booktitle={Informatics in Control, Automation and Robotics}, publisher={Springer International Publishing}, author={Ben Lakhal, Nadhir Mansour and Nasri, Othman and Adouane, Lounis and Ben Hadj Slama, Jaleleddine}, year={2022}, pages={456–478} }</t>
  </si>
  <si>
    <t>Informatics in Control, Automation and Robotics</t>
  </si>
  <si>
    <t>Real-time defect monitoring in material extrusion 3D printing using optimized YOLO models</t>
  </si>
  <si>
    <t>@article{Sani_2025, title={Real-time defect monitoring in material extrusion 3D printing using optimized YOLO models}, ISSN={2363-9520}, url={http://dx.doi.org/10.1007/s40964-025-01401-0}, DOI={10.1007/s40964-025-01401-0}, journal={Progress in Additive Manufacturing}, publisher={Springer Science and Business Media LLC}, author={Sani, Abdul Rahman and Kouzani, Abbas Z. and Zolfagharian, Ali}, year={2025}, month=nov }</t>
  </si>
  <si>
    <t>Progress in Additive Manufacturing</t>
  </si>
  <si>
    <t>Safety by simulation: theorizing the future of robot regulation</t>
  </si>
  <si>
    <t>@article{Viljanen_2023, title={Safety by simulation: theorizing the future of robot regulation}, volume={39}, ISSN={1435-5655}, url={http://dx.doi.org/10.1007/s00146-023-01730-0}, DOI={10.1007/s00146-023-01730-0}, number={1}, journal={AI &amp;amp; SOCIETY}, publisher={Springer Science and Business Media LLC}, author={Viljanen, Mika}, year={2023}, month=aug, pages={139â€“154} }</t>
  </si>
  <si>
    <t>AI &amp; SOCIETY</t>
  </si>
  <si>
    <t>Adaptive step size numerical integration for stochastic differential equations with discontinuous drift and diffusion</t>
  </si>
  <si>
    <t>@article{Malik_2020, title={Adaptive step size numerical integration for stochastic differential equations with discontinuous drift and diffusion}, volume={87}, ISSN={1572-9265}, url={http://dx.doi.org/10.1007/s11075-020-00990-x}, DOI={10.1007/s11075-020-00990-x}, number={2}, journal={Numerical Algorithms}, publisher={Springer Science and Business Media LLC}, author={Malik, Avinash}, year={2020}, month=aug, pages={849â€“872} }</t>
  </si>
  <si>
    <t>Numerical Algorithms</t>
  </si>
  <si>
    <t>Digital twin and the asset administration shell</t>
  </si>
  <si>
    <t>@article{Zhang_2025, title={Digital twin and the asset administration shell: An Analysis of the Three Types of AASs and their Feasibility for Digital Twin Engineering}, volume={24}, ISSN={1619-1374}, url={http://dx.doi.org/10.1007/s10270-024-01255-0}, DOI={10.1007/s10270-024-01255-0}, number={3}, journal={Software and Systems Modeling}, publisher={Springer Science and Business Media LLC}, author={Zhang, Jingxi and Ellwein, Carsten and Heithoff, Malte and Michael, Judith and Wortmann, Andreas}, year={2025}, month=jan, pages={771â€“793} }</t>
  </si>
  <si>
    <t>Optimization of uncertain dependent task mapping on heterogeneous computing platforms</t>
  </si>
  <si>
    <t>@article{Zhang_2024, title={Optimization of uncertain dependent task mapping on heterogeneous computing platforms}, volume={80}, ISSN={1573-0484}, url={http://dx.doi.org/10.1007/s11227-024-06032-w}, DOI={10.1007/s11227-024-06032-w}, number={11}, journal={The Journal of Supercomputing}, publisher={Springer Science and Business Media LLC}, author={Zhang, Jing and Han, Zhanwei}, year={2024}, month=apr, pages={15868â€“15893} }</t>
  </si>
  <si>
    <t>The Journal of Supercomputing</t>
  </si>
  <si>
    <t>Enhanced islanding detection using a hybrid machine learning approach</t>
  </si>
  <si>
    <t>@article{Shahade_2025, title={Enhanced islanding detection using a hybrid machine learning approach}, volume={8}, ISSN={2520-8942}, url={http://dx.doi.org/10.1186/s42162-025-00607-4}, DOI={10.1186/s42162-025-00607-4}, number={1}, journal={Energy Informatics}, publisher={Springer Science and Business Media LLC}, author={Shahade, Samiksha K. and Jawadekar, Anjali U. and Shahade, Aniket K.}, year={2025}, month=dec }</t>
  </si>
  <si>
    <t>Energy Informatics</t>
  </si>
  <si>
    <t>The Black-Box Simplex Architecture for Runtime Assurance of Autonomous CPS</t>
  </si>
  <si>
    <t>@inbook{Mehmood_2022, title={The Black-Box Simplex Architecture for Runtime Assurance of Autonomous CPS}, ISBN={9783031067730}, ISSN={1611-3349}, url={http://dx.doi.org/10.1007/978-3-031-06773-0_12}, DOI={10.1007/978-3-031-06773-0_12}, booktitle={NASA Formal Methods}, publisher={Springer International Publishing}, author={Mehmood, Usama and Sheikhi, Sanaz and Bak, Stanley and Smolka, Scott A. and Stoller, Scott D.}, year={2022}, pages={231–250} }</t>
  </si>
  <si>
    <t>NASA Formal Methods</t>
  </si>
  <si>
    <t>Fuzzy logic for situation awareness: a systematic review</t>
  </si>
  <si>
    <t>@article{D_Aniello_2023, title={Fuzzy logic for situation awareness: a systematic review}, ISSN={1868-5145}, url={http://dx.doi.org/10.1007/s12652-023-04560-6}, DOI={10.1007/s12652-023-04560-6}, journal={Journal of Ambient Intelligence and Humanized Computing}, publisher={Springer Science and Business Media LLC}, author={Dâ€™Aniello, Giuseppe}, year={2023}, month=feb }</t>
  </si>
  <si>
    <t>Journal of Ambient Intelligence and Humanized Computing</t>
  </si>
  <si>
    <t>Online simulation at machine level: a systematic review</t>
  </si>
  <si>
    <t>@article{Deubert_2024, title={Online simulation at machine level: a systematic review}, volume={131}, ISSN={1433-3015}, url={http://dx.doi.org/10.1007/s00170-024-13065-1}, DOI={10.1007/s00170-024-13065-1}, number={3–4}, journal={The International Journal of Advanced Manufacturing Technology}, publisher={Springer Science and Business Media LLC}, author={Deubert, Darius and Klingel, Lars and Selig, Andreas}, year={2024}, month=feb, pages={977–998} }</t>
  </si>
  <si>
    <t>The International Journal of Advanced Manufacturing Technology</t>
  </si>
  <si>
    <t>Securing industry 4.0: a systematic review of AI-driven intrusion detection approaches and emerging trends</t>
  </si>
  <si>
    <t>@article{Kalpani_2025, title={Securing industryÂ 4.0: a systematic review of AI-driven intrusion detection approaches and emerging trends}, volume={12}, ISSN={2199-4676}, url={http://dx.doi.org/10.1007/s40860-025-00264-0}, DOI={10.1007/s40860-025-00264-0}, number={1}, journal={Journal of Reliable Intelligent Environments}, publisher={Springer Science and Business Media LLC}, author={Kalpani, Nethma and Rodrigo, Nureka}, year={2025}, month=dec }</t>
  </si>
  <si>
    <t>Journal of Reliable Intelligent Environments</t>
  </si>
  <si>
    <t>HAMR: An AADL Multi-platform Code Generation Toolset</t>
  </si>
  <si>
    <t>@inbook{Hatcliff_2021, title={HAMR: An AADL Multi-platform Code Generation Toolset}, ISBN={9783030891596}, ISSN={1611-3349}, url={http://dx.doi.org/10.1007/978-3-030-89159-6_18}, DOI={10.1007/978-3-030-89159-6_18}, booktitle={Leveraging Applications of Formal Methods, Verification and Validation}, publisher={Springer International Publishing}, author={Hatcliff, John and Belt, Jason and Robby and Carpenter, Todd}, year={2021}, pages={274â€“295} }</t>
  </si>
  <si>
    <t>Leveraging Applications of Formal Methods, Verification and Validation</t>
  </si>
  <si>
    <t>Formal Modeling and Verification of the Functionality of Electronic Urban Railway Control Systems Through a Case Study</t>
  </si>
  <si>
    <t>@article{Luk_cs_2022, title={Formal Modeling and Verification of the Functionality of Electronic Urban Railway Control Systems Through a Case Study}, volume={8}, ISSN={2199-6679}, url={http://dx.doi.org/10.1007/s40864-022-00177-8}, DOI={10.1007/s40864-022-00177-8}, number={3–4}, journal={Urban Rail Transit}, publisher={Springer Science and Business Media LLC}, author={Lukács, Gábor and Bartha, Tamás}, year={2022}, month=nov, pages={217–245} }</t>
  </si>
  <si>
    <t>Urban Rail Transit</t>
  </si>
  <si>
    <t>DiverGet: a Search-Based Software Testing approach for Deep Neural Network Quantization assessment</t>
  </si>
  <si>
    <t>@article{Yahmed_2022, title={DiverGet: a Search-Based Software Testing approach for Deep Neural Network Quantization assessment}, volume={27}, ISSN={1573-7616}, url={http://dx.doi.org/10.1007/s10664-022-10202-w}, DOI={10.1007/s10664-022-10202-w}, number={7}, journal={Empirical Software Engineering}, publisher={Springer Science and Business Media LLC}, author={Yahmed, Ahmed Haj and Braiek, Houssem Ben and Khomh, Foutse and Bouzidi, Sonia and Zaatour, Rania}, year={2022}, month=oct }</t>
  </si>
  <si>
    <t>Empirical Software Engineering</t>
  </si>
  <si>
    <t>Ranking of components for reliability estimation of CBSS: an application of entropy weight fuzzy comprehensive evaluation model</t>
  </si>
  <si>
    <t>@article{Siddiqui_2024, title={Ranking of components for reliability estimation of CBSS: an application of entropy weight fuzzy comprehensive evaluation model}, volume={15}, ISSN={0976-4348}, url={http://dx.doi.org/10.1007/s13198-024-02263-5}, DOI={10.1007/s13198-024-02263-5}, number={6}, journal={International Journal of System Assurance Engineering and Management}, publisher={Springer Science and Business Media LLC}, author={Siddiqui, Zeeshan Ali and Haroon, Mohd.}, year={2024}, month=feb, pages={2438â€“2452} }</t>
  </si>
  <si>
    <t>International Journal of System Assurance Engineering and Management</t>
  </si>
  <si>
    <t>Applications of Blockchain in Industry 4.0: a Review</t>
  </si>
  <si>
    <t>@article{Chen_2022, title={Applications of Blockchain in Industry 4.0: a Review}, volume={26}, ISSN={1572-9419}, url={http://dx.doi.org/10.1007/s10796-022-10248-7}, DOI={10.1007/s10796-022-10248-7}, number={5}, journal={Information Systems Frontiers}, publisher={Springer Science and Business Media LLC}, author={Chen, Yong and Lu, Yang and Bulysheva, Larisa and Kataev, Mikhail Yu.}, year={2022}, month=feb, pages={1715â€“1729} }</t>
  </si>
  <si>
    <t>Information Systems Frontiers</t>
  </si>
  <si>
    <t>A Modular SystemC RTOS Model for Uncertainty Analysis</t>
  </si>
  <si>
    <t>@inbook{Lazzara_2020, title={A Modular SystemC RTOS Model for Uncertainty Analysis}, ISBN={9783030411312}, ISSN={1611-3349}, url={http://dx.doi.org/10.1007/978-3-030-41131-2_1}, DOI={10.1007/978-3-030-41131-2_1}, booktitle={Cyber Physical Systems. Model-Based Design}, publisher={Springer International Publishing}, author={Lazzara, Lorenzo and Mancuso, Giulio Mosé and Cremona, Fabio and Ulisse, Alessandro}, year={2020}, pages={3–27} }</t>
  </si>
  <si>
    <t>Cyber Physical Systems. Model-Based Design</t>
  </si>
  <si>
    <t>Autonomous Vehicles Meet the Physical World: RSS, Variability, Uncertainty, and Proving Safety</t>
  </si>
  <si>
    <t>@inbook{Koopman_2019, title={Autonomous Vehicles Meet the Physical World: RSS, Variability, Uncertainty, and Proving Safety}, ISBN={9783030266011}, ISSN={1611-3349}, url={http://dx.doi.org/10.1007/978-3-030-26601-1_17}, DOI={10.1007/978-3-030-26601-1_17}, booktitle={Computer Safety, Reliability, and Security}, publisher={Springer International Publishing}, author={Koopman, Philip and Osyk, Beth and Weast, Jack}, year={2019}, pages={245â€“253} }</t>
  </si>
  <si>
    <t>Computer Safety, Reliability, and Security</t>
  </si>
  <si>
    <t>Future of Engineering Education: Cyber-Physical Systems Engineering</t>
  </si>
  <si>
    <t>@inbook{Ekren_2021, title={Future of Engineering Education: Cyber-Physical Systems Engineering}, ISBN={9783030767242}, ISSN={2198-0780}, url={http://dx.doi.org/10.1007/978-3-030-76724-2_4}, DOI={10.1007/978-3-030-76724-2_4}, booktitle={Industrial Engineering in the Internet-of-Things World}, publisher={Springer International Publishing}, author={Ekren, Banu Yetkin and Kumar, Vikas}, year={2021}, month=aug, pages={45â€“54} }</t>
  </si>
  <si>
    <t>Industrial Engineering in the Internet-of-Things World</t>
  </si>
  <si>
    <t>Learning safe neural network controllers with barrier certificates</t>
  </si>
  <si>
    <t>@article{Zhao_2021, title={Learning safe neural network controllers with barrier certificates}, volume={33}, ISSN={1433-299X}, url={http://dx.doi.org/10.1007/s00165-021-00544-5}, DOI={10.1007/s00165-021-00544-5}, number={3}, journal={Formal Aspects of Computing}, publisher={Association for Computing Machinery (ACM)}, author={Zhao, Hengjun and Zeng, Xia and Chen, Taolue and Liu, Zhiming and Woodcock, Jim}, year={2021}, month=jun, pages={437â€“455} }</t>
  </si>
  <si>
    <t>Formal Aspects of Computing</t>
  </si>
  <si>
    <t>Runtime Verification of Correct-by-Construction Driving Maneuvers</t>
  </si>
  <si>
    <t>@inbook{Kittelmann_2022, title={Runtime Verification of Correct-by-Construction Driving Maneuvers}, ISBN={9783031198496}, ISSN={1611-3349}, url={http://dx.doi.org/10.1007/978-3-031-19849-6_15}, DOI={10.1007/978-3-031-19849-6_15}, booktitle={Leveraging Applications of Formal Methods, Verification and Validation. Verification Principles}, publisher={Springer International Publishing}, author={Kittelmann, Alexander and Runge, Tobias and Bordis, Tabea and Schaefer, Ina}, year={2022}, pages={242–263} }</t>
  </si>
  <si>
    <t>Leveraging Applications of Formal Methods, Verification and Validation. Verification Principles</t>
  </si>
  <si>
    <t>Digital Twin-based manufacturing system: a survey based on a novel reference model</t>
  </si>
  <si>
    <t>@article{Liu_2023, title={Digital Twin-based manufacturing system: a survey based on a novel reference model}, volume={35}, ISSN={1572-8145}, url={http://dx.doi.org/10.1007/s10845-023-02172-7}, DOI={10.1007/s10845-023-02172-7}, number={6}, journal={Journal of Intelligent Manufacturing}, publisher={Springer Science and Business Media LLC}, author={Liu, Shimin and Zheng, Pai and Bao, Jinsong}, year={2023}, month=jul, pages={2517â€“2546} }</t>
  </si>
  <si>
    <t>Journal of Intelligent Manufacturing</t>
  </si>
  <si>
    <t>A systematic mapping of semi-formal and formal methods in requirements engineering of industrial Cyber-Physical systems</t>
  </si>
  <si>
    <t>@article{Zahid_2021, title={A systematic mapping of semi-formal and formal methods in requirements engineering of industrial Cyber-Physical systems}, volume={33}, ISSN={1572-8145}, url={http://dx.doi.org/10.1007/s10845-021-01753-8}, DOI={10.1007/s10845-021-01753-8}, number={6}, journal={Journal of Intelligent Manufacturing}, publisher={Springer Science and Business Media LLC}, author={Zahid, Farzana and Tanveer, Awais and Kuo, Matthew M. Y. and Sinha, Roopak}, year={2021}, month=apr, pages={1603â€“1638} }</t>
  </si>
  <si>
    <t>Safety Cases for Adaptive Systems of Systems: State of the Art and Current Challenges</t>
  </si>
  <si>
    <t>@inbook{Mirzaei_2020, title={Safety Cases for Adaptive Systems of Systems: State of the Art and Current Challenges}, ISBN={9783030584627}, ISSN={1865-0937}, url={http://dx.doi.org/10.1007/978-3-030-58462-7_11}, DOI={10.1007/978-3-030-58462-7_11}, booktitle={Dependable Computing - EDCC 2020 Workshops}, publisher={Springer International Publishing}, author={Mirzaei, Elham and Thomas, Carsten and Conrad, Mirko}, year={2020}, pages={127–138} }</t>
  </si>
  <si>
    <t>Dependable Computing - EDCC 2020 Workshops</t>
  </si>
  <si>
    <t>Advancing real-time validation of automotive software systems via continuous integration and intelligent failure analysis</t>
  </si>
  <si>
    <t>@article{Abboush_2025, title={Advancing real-time validation of automotive software systems via continuous integration and intelligent failure analysis}, volume={15}, ISSN={2045-2322}, url={http://dx.doi.org/10.1038/s41598-025-21416-5}, DOI={10.1038/s41598-025-21416-5}, number={1}, journal={Scientific Reports}, publisher={Springer Science and Business Media LLC}, author={Abboush, Mohammad and Knieke, Christoph and Rausch, Andreas}, year={2025}, month=sep }</t>
  </si>
  <si>
    <t>Integrating X-reality and lean into end-of-life aircraft parts disassembly sequence planning: a critical review and research agenda</t>
  </si>
  <si>
    <t>@article{Yang_2023, title={Integrating X-reality and lean into end-of-life aircraft parts disassembly sequence planning: a critical review and research agenda}, volume={127}, ISSN={1433-3015}, url={http://dx.doi.org/10.1007/s00170-023-11581-0}, DOI={10.1007/s00170-023-11581-0}, number={5–6}, journal={The International Journal of Advanced Manufacturing Technology}, publisher={Springer Science and Business Media LLC}, author={Yang, Yinong and Keivanpour, Samira and Imbeau, Daniel}, year={2023}, month=jun, pages={2181–2210} }</t>
  </si>
  <si>
    <t>Computing the execution probability of jobs with replication in mixed-criticality schedules</t>
  </si>
  <si>
    <t>@article{Novak_2022, title={Computing the execution probability of jobs with replication in mixed-criticality schedules}, volume={309}, ISSN={1572-9338}, url={http://dx.doi.org/10.1007/s10479-021-04445-x}, DOI={10.1007/s10479-021-04445-x}, number={1}, journal={Annals of Operations Research}, publisher={Springer Science and Business Media LLC}, author={Novak, Antonin and Hanzalek, Zdenek}, year={2022}, month=jan, pages={209â€“232} }</t>
  </si>
  <si>
    <t>Annals of Operations Research</t>
  </si>
  <si>
    <t>Cyber resilience of autonomous mobility systems: cyber-attacks and resilience-enhancing strategies</t>
  </si>
  <si>
    <t>@article{Zou_2021, title={Cyber resilience of autonomous mobility systems: cyber-attacks and resilience-enhancing strategies}, volume={14}, ISSN={1938-775X}, url={http://dx.doi.org/10.1007/s12198-021-00230-w}, DOI={10.1007/s12198-021-00230-w}, number={3–4}, journal={Journal of Transportation Security}, publisher={Springer Science and Business Media LLC}, author={Zou, Bo and Choobchian, Pooria and Rozenberg, Julie}, year={2021}, month=mar, pages={137–155} }</t>
  </si>
  <si>
    <t>Human-cyber-physical systems: concepts, challenges, and research opportunities</t>
  </si>
  <si>
    <t>@article{Liu_2020, title={Human-cyber-physical systems: concepts, challenges, and research opportunities}, volume={21}, ISSN={2095-9230}, url={http://dx.doi.org/10.1631/FITEE.2000537}, DOI={10.1631/fitee.2000537}, number={11}, journal={Frontiers of Information Technology &amp;amp; Electronic Engineering}, publisher={Zhejiang University Press}, author={Liu, Zhiming and Wang, Ji}, year={2020}, month=nov, pages={1535â€“1553} }</t>
  </si>
  <si>
    <t>On the preferences of quality indicators for multi-objective search algorithms in search-based software engineering</t>
  </si>
  <si>
    <t>@article{Wu_2022, title={On the preferences of quality indicators for multi-objective search algorithms in search-based software engineering}, volume={27}, ISSN={1573-7616}, url={http://dx.doi.org/10.1007/s10664-022-10127-4}, DOI={10.1007/s10664-022-10127-4}, number={6}, journal={Empirical Software Engineering}, publisher={Springer Science and Business Media LLC}, author={Wu, Jiahui and Arcaini, Paolo and Yue, Tao and Ali, Shaukat and Zhang, Huihui}, year={2022}, month=aug }</t>
  </si>
  <si>
    <t>A spatio-temporal specification language and its completeness &amp;amp; decidability</t>
  </si>
  <si>
    <t>@article{Li_2020, title={A spatio-temporal specification language and its completeness &amp;amp; decidability}, volume={9}, ISSN={2192-113X}, url={http://dx.doi.org/10.1186/s13677-020-00209-3}, DOI={10.1186/s13677-020-00209-3}, number={1}, journal={Journal of Cloud Computing}, publisher={Springer Science and Business Media LLC}, author={Li, Tengfei and Liu, Jing and Sun, Haiying and Chen, Xiang and Zhang, Lipeng and Sun, Junfeng}, year={2020}, month=nov }</t>
  </si>
  <si>
    <t>Journal of Cloud Computing</t>
  </si>
  <si>
    <t>XIRAC-Q: a near-real-time quantum operating system scheduling structure based on Shannon information theorem</t>
  </si>
  <si>
    <t>@article{Zirak_2023, title={XIRAC-Q: a near-real-time quantum operating system scheduling structure based on Shannon information theorem}, volume={22}, ISSN={1573-1332}, url={http://dx.doi.org/10.1007/s11128-023-04155-2}, DOI={10.1007/s11128-023-04155-2}, number={11}, journal={Quantum Information Processing}, publisher={Springer Science and Business Media LLC}, author={Zirak, Alireza}, year={2023}, month=nov }</t>
  </si>
  <si>
    <t>Quantum Information Processing</t>
  </si>
  <si>
    <t>Winternitz stack protocols for embedded systems and IoT</t>
  </si>
  <si>
    <t>@article{Shafarenko_2024, title={Winternitz stack protocols for embedded systems and IoT}, volume={7}, ISSN={2523-3246}, url={http://dx.doi.org/10.1186/s42400-024-00225-9}, DOI={10.1186/s42400-024-00225-9}, number={1}, journal={Cybersecurity}, publisher={Springer Science and Business Media LLC}, author={Shafarenko, Alex}, year={2024}, month=apr }</t>
  </si>
  <si>
    <t>Cybersecurity</t>
  </si>
  <si>
    <t>A new enhanced cyber security framework for medical cyber physical systems</t>
  </si>
  <si>
    <t>@article{Priyadarshini_2021, title={A new enhanced cyber security framework for medical cyber physical systems}, volume={35}, ISSN={2524-8529}, url={http://dx.doi.org/10.1007/s00450-021-00427-3}, DOI={10.1007/s00450-021-00427-3}, number={3–4}, journal={SICS Software-Intensive Cyber-Physical Systems}, publisher={Springer Science and Business Media LLC}, author={Priyadarshini, Ishaani and Kumar, Raghvendra and Tuan, Le Minh and Son, Le Hoang and Long, Hoang Viet and Sharma, Rohit and Rai, Sakshi}, year={2021}, month=mar, pages={159–183} }</t>
  </si>
  <si>
    <t>SICS Software-Intensive Cyber-Physical Systems</t>
  </si>
  <si>
    <t>Guess What I’m Doing!</t>
  </si>
  <si>
    <t>@inbook{Fr_nzle_2020, title={Guess What I’m Doing!: Rendering Formal Verification Methods Ripe for the Era of Interacting Intelligent Systems}, ISBN={9783030614676}, ISSN={1611-3349}, url={http://dx.doi.org/10.1007/978-3-030-61467-6_17}, DOI={10.1007/978-3-030-61467-6_17}, booktitle={Leveraging Applications of Formal Methods, Verification and Validation: Applications}, publisher={Springer International Publishing}, author={Fränzle, Martin and Kröger, Paul}, year={2020}, pages={255–272} }</t>
  </si>
  <si>
    <t>Leveraging Applications of Formal Methods, Verification and Validation: Applications</t>
  </si>
  <si>
    <t>Model-Based Risk Analysis Approach for Network Vulnerability and Security of the Critical Railway Infrastructure</t>
  </si>
  <si>
    <t>@inbook{Neema_2021, title={Model-Based Risk Analysis Approach for Network Vulnerability and Security of the Critical Railway Infrastructure}, ISBN={9783030932008}, ISSN={1611-3349}, url={http://dx.doi.org/10.1007/978-3-030-93200-8_5}, DOI={10.1007/978-3-030-93200-8_5}, booktitle={Critical Information Infrastructures Security}, publisher={Springer International Publishing}, author={Neema, Himanshu and Wang, Leqiang and Koutsoukos, Xenofon and Tang, CheeYee and Stouffer, Keith}, year={2021}, pages={79–98} }</t>
  </si>
  <si>
    <t>Critical Information Infrastructures Security</t>
  </si>
  <si>
    <t>Abstracts of the 11th DACH+ Conference on Energy Informatics</t>
  </si>
  <si>
    <t>@article{2022, volume={5}, ISSN={2520-8942}, url={http://dx.doi.org/10.1186/s42162-022-00215-6}, DOI={10.1186/s42162-022-00215-6}, number={S2}, journal={Energy Informatics}, publisher={Springer Science and Business Media LLC}, year={2022}, month=sep }</t>
  </si>
  <si>
    <t>Emergence in cyber-physical systems: potential and risk</t>
  </si>
  <si>
    <t>@article{Tyszberowicz_2020, title={Emergence in cyber-physical systems: potential and risk}, volume={21}, ISSN={2095-9230}, url={http://dx.doi.org/10.1631/FITEE.2000279}, DOI={10.1631/fitee.2000279}, number={11}, journal={Frontiers of Information Technology &amp;amp; Electronic Engineering}, publisher={Zhejiang University Press}, author={Tyszberowicz, Shmuel and Faitelson, David}, year={2020}, month=nov, pages={1554â€“1566} }</t>
  </si>
  <si>
    <t>Real-time multi-agent systems: rationality, formal model, and empirical results</t>
  </si>
  <si>
    <t>@article{Calvaresi_2021, title={Real-time multi-agent systems: rationality, formal model, and empirical results}, volume={35}, ISSN={1573-7454}, url={http://dx.doi.org/10.1007/s10458-020-09492-5}, DOI={10.1007/s10458-020-09492-5}, number={1}, journal={Autonomous Agents and Multi-Agent Systems}, publisher={Springer Science and Business Media LLC}, author={Calvaresi, Davide and Dicente Cid, Yashin and Marinoni, Mauro and Dragoni, Aldo Franco and Najjar, Amro and Schumacher, Michael}, year={2021}, month=feb }</t>
  </si>
  <si>
    <t>Autonomous Agents and Multi-Agent Systems</t>
  </si>
  <si>
    <t>Conceptual model of real-time IoT systems</t>
  </si>
  <si>
    <t>@article{Yuan_2019, title={Conceptual model of real-time IoT systems}, volume={20}, ISSN={2095-9230}, url={http://dx.doi.org/10.1631/FITEE.1900115}, DOI={10.1631/fitee.1900115}, number={11}, journal={Frontiers of Information Technology &amp;amp; Electronic Engineering}, publisher={Zhejiang University Press}, author={Yuan, Bo and Chen, De-ji and Xu, Dong-mei and Chen, Ming}, year={2019}, month=nov, pages={1457â€“1464} }</t>
  </si>
  <si>
    <t>Deep learning: survey of environmental and camera impacts on internet of things images</t>
  </si>
  <si>
    <t>@article{Kaur_2023, title={Deep learning: survey of environmental and camera impacts on internet of things images}, volume={56}, ISSN={1573-7462}, url={http://dx.doi.org/10.1007/s10462-023-10405-7}, DOI={10.1007/s10462-023-10405-7}, number={9}, journal={Artificial Intelligence Review}, publisher={Springer Science and Business Media LLC}, author={Kaur, Roopdeep and Karmakar, Gour and Xia, Feng and Imran, Muhammad}, year={2023}, month=feb, pages={9605â€“9638} }</t>
  </si>
  <si>
    <t>Computational Intelligence in Embedded System Design: A Review</t>
  </si>
  <si>
    <t>@inbook{Talukdar_2018, title={Computational Intelligence in Embedded System Design: A Review}, ISBN={9789811317422}, ISSN={2190-3026}, url={http://dx.doi.org/10.1007/978-981-13-1742-2_47}, DOI={10.1007/978-981-13-1742-2_47}, booktitle={Information and Communication Technology for Intelligent Systems}, publisher={Springer Singapore}, author={Talukdar, Jonti and Mehta, Bhavana and Gajjar, Sachin}, year={2018}, month=dec, pages={473â€“484} }</t>
  </si>
  <si>
    <t>Information and Communication Technology for Intelligent Systems</t>
  </si>
  <si>
    <t>Organizing the fragmented landscape of multidisciplinary product development: a mapping of approaches, processes, methods and tools from the scientific literature</t>
  </si>
  <si>
    <t>@article{Gu_rineau_2022, title={Organizing the fragmented landscape of multidisciplinary product development: a mapping of approaches, processes, methods and tools from the scientific literature}, volume={33}, ISSN={1435-6066}, url={http://dx.doi.org/10.1007/s00163-022-00389-w}, DOI={10.1007/s00163-022-00389-w}, number={3}, journal={Research in Engineering Design}, publisher={Springer Science and Business Media LLC}, author={Guérineau, Julia and Bricogne, Matthieu and Rivest, Louis and Durupt, Alexandre}, year={2022}, month=may, pages={307–349} }</t>
  </si>
  <si>
    <t>Research in Engineering Design</t>
  </si>
  <si>
    <t>Quantum secured 6G technology-based applications in Internet of Everything</t>
  </si>
  <si>
    <t>@article{Prateek_2022, title={Quantum secured 6G technology-based applications in Internet of Everything}, volume={82}, ISSN={1572-9451}, url={http://dx.doi.org/10.1007/s11235-022-00979-y}, DOI={10.1007/s11235-022-00979-y}, number={2}, journal={Telecommunication Systems}, publisher={Springer Science and Business Media LLC}, author={Prateek, Kumar and Ojha, Nitish Kumar and Altaf, Fahiem and Maity, Soumyadev}, year={2022}, month=nov, pages={315â€“344} }</t>
  </si>
  <si>
    <t>Telecommunication Systems</t>
  </si>
  <si>
    <t>RTOS Solution for NoC-Based COTS MPSoC Usage in Mixed-Criticality Systems</t>
  </si>
  <si>
    <t>@article{Avramenko_2019, title={RTOS Solution for NoC-Based COTS MPSoC Usage in Mixed-Criticality Systems}, volume={35}, ISSN={1573-0727}, url={http://dx.doi.org/10.1007/s10836-019-05779-y}, DOI={10.1007/s10836-019-05779-y}, number={1}, journal={Journal of Electronic Testing}, publisher={Springer Science and Business Media LLC}, author={Avramenko, Serhiy and Violante, Massimo}, year={2019}, month=feb, pages={29â€“44} }</t>
  </si>
  <si>
    <t>Journal of Electronic Testing</t>
  </si>
  <si>
    <t>Using Knowledge Synthesis to Identify Multi-dimensional Risk Factors in IoT Assets</t>
  </si>
  <si>
    <t>@inbook{Ward_2021, title={Using Knowledge Synthesis to Identify Multi-dimensional Risk Factors in IoT Assets}, ISBN={9789811680595}, ISSN={1865-0937}, url={http://dx.doi.org/10.1007/978-981-16-8059-5_11}, DOI={10.1007/978-981-16-8059-5_11}, booktitle={Advances in Cyber Security}, publisher={Springer Singapore}, author={Ward, Gerard and Janczewski, Lech}, year={2021}, pages={176â€“197} }</t>
  </si>
  <si>
    <t>Advances in Cyber Security</t>
  </si>
  <si>
    <t>The 2020 Expert Survey on Formal Methods</t>
  </si>
  <si>
    <t>@inbook{Garavel_2020, title={The 2020 Expert Survey on Formal Methods}, ISBN={9783030582982}, ISSN={1611-3349}, url={http://dx.doi.org/10.1007/978-3-030-58298-2_1}, DOI={10.1007/978-3-030-58298-2_1}, booktitle={Formal Methods for Industrial Critical Systems}, publisher={Springer International Publishing}, author={Garavel, Hubert and ter Beek, Maurice H. and van de Pol, Jaco}, year={2020}, pages={3â€“69} }</t>
  </si>
  <si>
    <t>Formal Methods for Industrial Critical Systems</t>
  </si>
  <si>
    <t>A survey of model-driven techniques and tools for cyber-physical systems</t>
  </si>
  <si>
    <t>@article{Liu_2020, title={A survey of model-driven techniques and tools for cyber-physical systems}, volume={21}, ISSN={2095-9230}, url={http://dx.doi.org/10.1631/FITEE.2000311}, DOI={10.1631/fitee.2000311}, number={11}, journal={Frontiers of Information Technology &amp;amp; Electronic Engineering}, publisher={Zhejiang University Press}, author={Liu, Bo and Zhang, Yuan-rui and Cao, Xue-lian and Liu, Yu and Gu, Bin and Wang, Tie-xin}, year={2020}, month=nov, pages={1567â€“1590} }</t>
  </si>
  <si>
    <t>A heuristically self-organised Linguistic Attribute Deep Learning for edge intelligence</t>
  </si>
  <si>
    <t>@article{He_2022, title={A heuristically self-organised Linguistic Attribute Deep Learning for edge intelligence}, volume={13}, ISSN={1868-808X}, url={http://dx.doi.org/10.1007/s13042-022-01544-4}, DOI={10.1007/s13042-022-01544-4}, number={9}, journal={International Journal of Machine Learning and Cybernetics}, publisher={Springer Science and Business Media LLC}, author={He, Hongmei and Zhu, Zhenhuan}, year={2022}, month=apr, pages={2559â€“2579} }</t>
  </si>
  <si>
    <t>International Journal of Machine Learning and Cybernetics</t>
  </si>
  <si>
    <t>Assessing the Robustness of Arrival Curves Models for Real-Time Systems</t>
  </si>
  <si>
    <t>@inbook{Salem_2019, title={Assessing the Robustness of Arrival Curves Models for Real-Time Systems}, ISBN={9783030296629}, ISSN={1611-3349}, url={http://dx.doi.org/10.1007/978-3-030-29662-9_2}, DOI={10.1007/978-3-030-29662-9_2}, booktitle={Formal Modeling and Analysis of Timed Systems}, publisher={Springer International Publishing}, author={Salem, Mahmoud and Carvajal, Gonzalo and Liu, Tong and Fischmeister, Sebastian}, year={2019}, pages={23â€“40} }</t>
  </si>
  <si>
    <t>Formal Modeling and Analysis of Timed Systems</t>
  </si>
  <si>
    <t>A survey on verification strategies for intelligent transportation systems</t>
  </si>
  <si>
    <t>@article{Schmidtke_2018, title={A survey on verification strategies for intelligent transportation systems}, volume={4}, ISSN={2199-4676}, url={http://dx.doi.org/10.1007/s40860-018-0070-5}, DOI={10.1007/s40860-018-0070-5}, number={4}, journal={Journal of Reliable Intelligent Environments}, publisher={Springer Science and Business Media LLC}, author={Schmidtke, Hedda R.}, year={2018}, month=oct, pages={211â€“224} }</t>
  </si>
  <si>
    <t>AADL+: a simulation-based methodology for cyber-physical systems</t>
  </si>
  <si>
    <t>@article{Liu_2018, title={AADL+: a simulation-based methodology for cyber-physical systems}, volume={13}, ISSN={2095-2236}, url={http://dx.doi.org/10.1007/s11704-018-7039-7}, DOI={10.1007/s11704-018-7039-7}, number={3}, journal={Frontiers of Computer Science}, publisher={Springer Science and Business Media LLC}, author={Liu, Jing and Li, Tengfei and Ding, Zuohua and Qian, Yuqing and Sun, Haiying and He, Jifeng}, year={2018}, month=dec, pages={516â€“538} }</t>
  </si>
  <si>
    <t>Frontiers of Computer Science</t>
  </si>
  <si>
    <t>VerifAI: A Toolkit for the Formal Design and Analysis of Artificial Intelligence-Based Systems</t>
  </si>
  <si>
    <t>@inbook{Dreossi_2019, title={VerifAI: A Toolkit for the Formal Design and Analysis of Artificial Intelligence-Based Systems}, ISBN={9783030255404}, ISSN={1611-3349}, url={http://dx.doi.org/10.1007/978-3-030-25540-4_25}, DOI={10.1007/978-3-030-25540-4_25}, booktitle={Computer Aided Verification}, publisher={Springer International Publishing}, author={Dreossi, Tommaso and Fremont, Daniel J. and Ghosh, Shromona and Kim, Edward and Ravanbakhsh, Hadi and Vazquez-Chanlatte, Marcell and Seshia, Sanjit A.}, year={2019}, pages={432â€“442} }</t>
  </si>
  <si>
    <t>Neural Predictive Monitoring</t>
  </si>
  <si>
    <t>@inbook{Bortolussi_2019, title={Neural Predictive Monitoring}, ISBN={9783030320799}, ISSN={1611-3349}, url={http://dx.doi.org/10.1007/978-3-030-32079-9_8}, DOI={10.1007/978-3-030-32079-9_8}, booktitle={Runtime Verification}, publisher={Springer International Publishing}, author={Bortolussi, Luca and Cairoli, Francesca and Paoletti, Nicola and Smolka, Scott A. and Stoller, Scott D.}, year={2019}, pages={129â€“147} }</t>
  </si>
  <si>
    <t>Runtime Verification</t>
  </si>
  <si>
    <t>Countering targeted cyber-physical attacks using anomaly detection in self-adaptive Industry 4.0 Systems</t>
  </si>
  <si>
    <t>@article{Settanni_2018, title={Countering targeted cyber-physical attacks using anomaly detection in self-adaptive Industry 4.0 Systems}, volume={135}, ISSN={1613-7620}, url={http://dx.doi.org/10.1007/s00502-018-0615-6}, DOI={10.1007/s00502-018-0615-6}, number={3}, journal={e &amp;amp; i Elektrotechnik und Informationstechnik}, publisher={Springer Science and Business Media LLC}, author={Settanni, Giuseppe and Skopik, Florian and Wurzenberger, Markus and Fiedler, Roman}, year={2018}, month=may, pages={278â€“285} }</t>
  </si>
  <si>
    <t>e &amp; i Elektrotechnik und Informationstechnik</t>
  </si>
  <si>
    <t>Trustworthy Data Collection for Cyber Systems: A Taxonomy and Future Directions</t>
  </si>
  <si>
    <t>@inbook{Rahman_2019, title={Trustworthy Data Collection for Cyber Systems: A Taxonomy and Future Directions}, ISBN={9789811513015}, ISSN={1865-0937}, url={http://dx.doi.org/10.1007/978-981-15-1301-5_13}, DOI={10.1007/978-981-15-1301-5_13}, booktitle={Smart City and Informatization}, publisher={Springer Singapore}, author={Rahman, Hafiz ur and Wang, Guojun and Alam Bhuiyan, Md Zakirul and Chen, Jianer}, year={2019}, pages={152â€“164} }</t>
  </si>
  <si>
    <t>Smart City and Informatization</t>
  </si>
  <si>
    <t>Towards Integrated Quantitative Security and Safety Risk Assessment</t>
  </si>
  <si>
    <t>@inbook{Dobaj_2019, title={Towards Integrated Quantitative Security and Safety Risk Assessment}, ISBN={9783030262501}, ISSN={1611-3349}, url={http://dx.doi.org/10.1007/978-3-030-26250-1_8}, DOI={10.1007/978-3-030-26250-1_8}, booktitle={Computer Safety, Reliability, and Security}, publisher={Springer International Publishing}, author={Dobaj, Jürgen and Schmittner, Christoph and Krisper, Michael and Macher, Georg}, year={2019}, pages={102–116} }</t>
  </si>
  <si>
    <t>Compositional Falsification of Cyber-Physical Systems with Machine Learning Components</t>
  </si>
  <si>
    <t>@article{Dreossi_2019, title={Compositional Falsification of Cyber-Physical Systems with Machine Learning Components}, volume={63}, ISSN={1573-0670}, url={http://dx.doi.org/10.1007/s10817-018-09509-5}, DOI={10.1007/s10817-018-09509-5}, number={4}, journal={Journal of Automated Reasoning}, publisher={Springer Science and Business Media LLC}, author={Dreossi, Tommaso and Donzé, Alexandre and Seshia, Sanjit A.}, year={2019}, month=jan, pages={1031–1053} }</t>
  </si>
  <si>
    <t>Journal of Automated Reasoning</t>
  </si>
  <si>
    <t>Building simulation: Ten challenges</t>
  </si>
  <si>
    <t>@article{Hong_2018, title={Building simulation: Ten challenges}, volume={11}, ISSN={1996-8744}, url={http://dx.doi.org/10.1007/s12273-018-0444-x}, DOI={10.1007/s12273-018-0444-x}, number={5}, journal={Building Simulation}, publisher={Springer Science and Business Media LLC}, author={Hong, Tianzhen and Langevin, Jared and Sun, Kaiyu}, year={2018}, month=apr, pages={871â€“898} }</t>
  </si>
  <si>
    <t>Building Simulation</t>
  </si>
  <si>
    <t>A Methodological Framework for Model-Based Self-management of Services and Components in Dependable Cyber-Physical Systems</t>
  </si>
  <si>
    <t>@inbook{Chen_2017, title={A Methodological Framework for Model-Based Self-management of Services and Components in Dependable Cyber-Physical Systems}, ISBN={9783319594156}, ISSN={2194-5365}, url={http://dx.doi.org/10.1007/978-3-319-59415-6_10}, DOI={10.1007/978-3-319-59415-6_10}, booktitle={Advances in Dependability Engineering of Complex Systems}, publisher={Springer International Publishing}, author={Chen, DeJiu and Lu, Zhonghai}, year={2017}, month=may, pages={97â€“105} }</t>
  </si>
  <si>
    <t>Advances in Dependability Engineering of Complex Systems</t>
  </si>
  <si>
    <t>A systematic review of design for X techniques from 1980 to 2018: concepts, applications, and perspectives</t>
  </si>
  <si>
    <t>@article{Benabdellah_2019, title={A systematic review of design for X techniques from 1980 to 2018: concepts, applications, and perspectives}, volume={102}, ISSN={1433-3015}, url={http://dx.doi.org/10.1007/s00170-019-03418-6}, DOI={10.1007/s00170-019-03418-6}, number={9–12}, journal={The International Journal of Advanced Manufacturing Technology}, publisher={Springer Science and Business Media LLC}, author={Benabdellah, Abla Chaouni and Bouhaddou, Imane and Benghabrit, Asmaa and Benghabrit, Oussama}, year={2019}, month=feb, pages={3473–3502} }</t>
  </si>
  <si>
    <t>Models of Timed Systems</t>
  </si>
  <si>
    <t>@inbook{Lee_2018, title={Models of Timed Systems}, ISBN={9783030001513}, ISSN={1611-3349}, url={http://dx.doi.org/10.1007/978-3-030-00151-3_2}, DOI={10.1007/978-3-030-00151-3_2}, booktitle={Formal Modeling and Analysis of Timed Systems}, publisher={Springer International Publishing}, author={Lee, Edward A.}, year={2018}, pages={17â€“33} }</t>
  </si>
  <si>
    <t>Iterative Prototyping Methodology for the Development of Innovative and Dependable Complex Embedded Systems Through SPC&amp;amp;KPI Techniques</t>
  </si>
  <si>
    <t>@inbook{L_pez_2018, title={Iterative Prototyping Methodology for the Development of Innovative and Dependable Complex Embedded Systems Through SPC&amp;amp;KPI Techniques}, ISBN={9783030036737}, ISSN={1611-3349}, url={http://dx.doi.org/10.1007/978-3-030-03673-7_5}, DOI={10.1007/978-3-030-03673-7_5}, booktitle={Product-Focused Software Process Improvement}, publisher={Springer International Publishing}, author={López, Patricia and Mabe, Jon and Etxeberria, Leire and Gorritxategi, Eneko}, year={2018}, pages={65–80} }</t>
  </si>
  <si>
    <t>Product-Focused Software Process Improvement</t>
  </si>
  <si>
    <t>Challenges and Strategies for Undertaking Continuous Experimentation to Embedded Systems: Industry and Research Perspectives</t>
  </si>
  <si>
    <t>@inbook{Mattos_2018, title={Challenges and Strategies for Undertaking Continuous Experimentation to Embedded Systems: Industry and Research Perspectives}, ISBN={9783319916026}, ISSN={1865-1356}, url={http://dx.doi.org/10.1007/978-3-319-91602-6_20}, DOI={10.1007/978-3-319-91602-6_20}, booktitle={Agile Processes in Software Engineering and Extreme Programming}, publisher={Springer International Publishing}, author={Mattos, David Issa and Bosch, Jan and Olsson, Helena Holmström}, year={2018}, pages={277–292} }</t>
  </si>
  <si>
    <t>Agile Processes in Software Engineering and Extreme Programming</t>
  </si>
  <si>
    <t>Distributed Graph Queries for Runtime Monitoring of Cyber-Physical Systems</t>
  </si>
  <si>
    <t>@inbook{B_r_2018, title={Distributed Graph Queries for Runtime Monitoring of Cyber-Physical Systems}, ISBN={9783319893631}, ISSN={1611-3349}, url={http://dx.doi.org/10.1007/978-3-319-89363-1_7}, DOI={10.1007/978-3-319-89363-1_7}, booktitle={Fundamental Approaches to Software Engineering}, publisher={Springer International Publishing}, author={Búr, Márton and Szilágyi, Gábor and Vörös, András and Varró, Dániel }, year={2018}, pages={111–128} }</t>
  </si>
  <si>
    <t>Systematic exploration of signal-based indicators for failure diagnosis in the context of cyber-physical systems</t>
  </si>
  <si>
    <t>@article{Ruiz_Arenas_2019, title={Systematic exploration of signal-based indicators for failure diagnosis in the context of cyber-physical systems}, volume={20}, ISSN={2095-9230}, url={http://dx.doi.org/10.1631/FITEE.1700277}, DOI={10.1631/fitee.1700277}, number={2}, journal={Frontiers of Information Technology &amp;amp; Electronic Engineering}, publisher={Zhejiang University Press}, author={Ruiz-Arenas, Santiago and Rusák, Zoltán and Horváth, Imre and Mejí-Gutierrez, Ricardo}, year={2019}, month=feb, pages={152–175} }</t>
  </si>
  <si>
    <t>ModelPlex: verified runtime validation of verified cyber-physical system models</t>
  </si>
  <si>
    <t>@article{Mitsch_2016, title={ModelPlex: verified runtime validation of verified cyber-physical system models}, volume={49}, ISSN={1572-8102}, url={http://dx.doi.org/10.1007/s10703-016-0241-z}, DOI={10.1007/s10703-016-0241-z}, number={1–2}, journal={Formal Methods in System Design}, publisher={Springer Science and Business Media LLC}, author={Mitsch, Stefan and Platzer, André}, year={2016}, month=feb, pages={33–74} }</t>
  </si>
  <si>
    <t>Formal Methods in System Design</t>
  </si>
  <si>
    <t>A Modest Security Analysis of Cyber-Physical Systems: A Case Study</t>
  </si>
  <si>
    <t>@inbook{Lanotte_2018, title={A Modest Security Analysis of Cyber-Physical Systems: A Case Study}, ISBN={9783319926124}, ISSN={1611-3349}, url={http://dx.doi.org/10.1007/978-3-319-92612-4_4}, DOI={10.1007/978-3-319-92612-4_4}, booktitle={Formal Techniques for Distributed Objects, Components, and Systems}, publisher={Springer International Publishing}, author={Lanotte, Ruggero and Merro, Massimo and Munteanu, Andrei}, year={2018}, pages={58–78} }</t>
  </si>
  <si>
    <t>Formal Techniques for Distributed Objects, Components, and Systems</t>
  </si>
  <si>
    <t>A Model-Based Approach to Dynamic Self-assessment for Automated Performance and Safety Awareness of Cyber-Physical Systems</t>
  </si>
  <si>
    <t>@inbook{Chen_2017, title={A Model-Based Approach to Dynamic Self-assessment for Automated Performance and Safety Awareness of Cyber-Physical Systems}, ISBN={9783319641195}, ISSN={1611-3349}, url={http://dx.doi.org/10.1007/978-3-319-64119-5_15}, DOI={10.1007/978-3-319-64119-5_15}, booktitle={Model-Based Safety and Assessment}, publisher={Springer International Publishing}, author={Chen, DeJiu and Lu, Zhonghai}, year={2017}, pages={227â€“240} }</t>
  </si>
  <si>
    <t>Cyber-physical systems: challenge of the 21st century</t>
  </si>
  <si>
    <t>@article{Esterle_2016, title={Cyber-physical systems: challenge of the 21st century}, volume={133}, ISSN={1613-7620}, url={http://dx.doi.org/10.1007/s00502-016-0426-6}, DOI={10.1007/s00502-016-0426-6}, number={7}, journal={e &amp;amp; i Elektrotechnik und Informationstechnik}, publisher={Springer Science and Business Media LLC}, author={Esterle, Lukas and Grosu, Radu}, year={2016}, month=nov, pages={299â€“303} }</t>
  </si>
  <si>
    <t>The role of model checking in software engineering</t>
  </si>
  <si>
    <t>@article{Karna_2018, title={The role of model checking in software engineering}, volume={12}, ISSN={2095-2236}, url={http://dx.doi.org/10.1007/s11704-016-6192-0}, DOI={10.1007/s11704-016-6192-0}, number={4}, journal={Frontiers of Computer Science}, publisher={Springer Science and Business Media LLC}, author={Karna, Anil Kumar and Chen, Yuting and Yu, Haibo and Zhong, Hao and Zhao, Jianjun}, year={2018}, month=apr, pages={642â€“668} }</t>
  </si>
  <si>
    <t>AmbISPDM</t>
  </si>
  <si>
    <t>@article{Hatzivasilis_2017, title={AmbISPDM: Managing embedded systems in ambient environments and disaster mitigation planning}, volume={48}, ISSN={1573-7497}, url={http://dx.doi.org/10.1007/s10489-017-1030-0}, DOI={10.1007/s10489-017-1030-0}, number={6}, journal={Applied Intelligence}, publisher={Springer Science and Business Media LLC}, author={Hatzivasilis, George and Papaefstathiou, Ioannis and Plexousakis, Dimitris and Manifavas, Charalampos and Papadakis, Nikos}, year={2017}, month=aug, pages={1623â€“1643} }</t>
  </si>
  <si>
    <t>Applied Intelligence</t>
  </si>
  <si>
    <t>Deeper in BLUE</t>
  </si>
  <si>
    <t>@article{del_Pino_2019, title={Deeper in BLUE: Development of a roBot for Localization in Unstructured Environments}, volume={98}, ISSN={1573-0409}, url={http://dx.doi.org/10.1007/s10846-019-00983-6}, DOI={10.1007/s10846-019-00983-6}, number={1}, journal={Journal of Intelligent &amp;amp; Robotic Systems}, publisher={Springer Science and Business Media LLC}, author={del Pino, Iván and Muñoz-Bañon, Miguel Á. and Cova-Rocamora, Saúl and Contreras, Miguel Á. and Candelas, Francisco A. and Torres, Fernando}, year={2019}, month=feb, pages={207–225} }</t>
  </si>
  <si>
    <t>An improved formalization analysis approach to determine schedulability of global multiprocessor scheduling based on symbolic safety analysis and statistical model checking in smartphone systems</t>
  </si>
  <si>
    <t>@article{Cai_2018, title={An improved formalization analysis approach to determine schedulability of global multiprocessor scheduling based on symbolic safety analysis and statistical model checking in smartphone systems}, volume={22}, ISSN={1573-7543}, url={http://dx.doi.org/10.1007/s10586-017-1319-0}, DOI={10.1007/s10586-017-1319-0}, number={S2}, journal={Cluster Computing}, publisher={Springer Science and Business Media LLC}, author={Cai, Haibin and Wu, Hao}, year={2018}, month=feb, pages={2543â€“2554} }</t>
  </si>
  <si>
    <t>Cluster Computing</t>
  </si>
  <si>
    <t>An Incremental Verification Paradigm for Embedded Systems</t>
  </si>
  <si>
    <t>@inbook{Pakala_2017, title={An Incremental Verification Paradigm for Embedded Systems}, ISBN={9789811054273}, ISSN={1865-0937}, url={http://dx.doi.org/10.1007/978-981-10-5427-3_5}, DOI={10.1007/978-981-10-5427-3_5}, booktitle={Advances in Computing and Data Sciences}, publisher={Springer Singapore}, author={Pakala, Hara Gopal Mani}, year={2017}, pages={40â€“49} }</t>
  </si>
  <si>
    <t>Advances in Computing and Data Sciences</t>
  </si>
  <si>
    <t>Comparison of the FMEA and STPA safety analysis methods–a case study</t>
  </si>
  <si>
    <t>@article{Sulaman_2017, title={Comparison of the FMEA and STPA safety analysis methods–a case study}, volume={27}, ISSN={1573-1367}, url={http://dx.doi.org/10.1007/s11219-017-9396-0}, DOI={10.1007/s11219-017-9396-0}, number={1}, journal={Software Quality Journal}, publisher={Springer Science and Business Media LLC}, author={Sulaman, Sardar Muhammad and Beer, Armin and Felderer, Michael and Höst, Martin}, year={2017}, month=dec, pages={349–387} }</t>
  </si>
  <si>
    <t>Aid for the User-Centered Evaluation of Human Machine Interfaces During Ramp-up of Socio-Cyber-Physical Production Systems</t>
  </si>
  <si>
    <t>@inbook{Heine_2016, title={Aid for the User-Centered Evaluation of Human Machine Interfaces During Ramp-up of Socio-Cyber-Physical Production Systems}, ISBN={9783319416854}, ISSN={2194-5365}, url={http://dx.doi.org/10.1007/978-3-319-41685-4_13}, DOI={10.1007/978-3-319-41685-4_13}, booktitle={Advances in Ergonomics Modeling, Usability &amp;amp; Special Populations}, publisher={Springer International Publishing}, author={Heine, Ina and Beaujean, Patrick and Schmitt, Robert}, year={2016}, month=jul, pages={139â€“152} }</t>
  </si>
  <si>
    <t>Advances in Ergonomics Modeling, Usability &amp; Special Populations</t>
  </si>
  <si>
    <t>Macrocognition Applied to the Hybrid Space: Team Environment, Functions and Processes in Cyber Operations</t>
  </si>
  <si>
    <t>@inbook{J_sok_2017, title={Macrocognition Applied to the Hybrid Space: Team Environment, Functions and Processes in Cyber Operations}, ISBN={9783319586250}, ISSN={1611-3349}, url={http://dx.doi.org/10.1007/978-3-319-58625-0_35}, DOI={10.1007/978-3-319-58625-0_35}, booktitle={Augmented Cognition. Enhancing Cognition and Behavior in Complex Human Environments}, publisher={Springer International Publishing}, author={Jøsok, Øyvind and Knox, Benjamin J. and Helkala, Kirsi and Wilson, Kyle and Sütterlin, Stefan and Lugo, Ricardo G. and Ødegaard, Terje}, year={2017}, pages={486–500} }</t>
  </si>
  <si>
    <t>Augmented Cognition. Enhancing Cognition and Behavior in Complex Human Environments</t>
  </si>
  <si>
    <t>The Culture Variable &lt;i&gt;Vis-à-Vis&lt;/i&gt; Anti-bribery Law: A Grey Area in Transnational Corporate Criminal Liability</t>
  </si>
  <si>
    <t>@article{Bu_2017, title={The Culture Variable Vis-à-Vis Anti-bribery Law: A Grey Area in Transnational Corporate Criminal Liability}, volume={19}, ISSN={1741-6205}, url={http://dx.doi.org/10.1007/s40804-017-0089-8}, DOI={10.1007/s40804-017-0089-8}, number={1}, journal={European Business Organization Law Review}, publisher={Springer Science and Business Media LLC}, author={Bu, Qingxiu}, year={2017}, month=oct, pages={183–213} }</t>
  </si>
  <si>
    <t>European Business Organization Law Review</t>
  </si>
  <si>
    <t>Agent-Based Systems for Telerehabilitation: Strengths, Limitations and Future Challenges</t>
  </si>
  <si>
    <t>@inbook{Calvaresi_2017, title={Agent-Based Systems for Telerehabilitation: Strengths, Limitations and Future Challenges}, ISBN={9783319708874}, ISSN={1611-3349}, url={http://dx.doi.org/10.1007/978-3-319-70887-4_1}, DOI={10.1007/978-3-319-70887-4_1}, booktitle={Agents and Multi-Agent Systems for Health Care}, publisher={Springer International Publishing}, author={Calvaresi, Davide and Schumacher, Michael and Marinoni, Mauro and Hilfiker, Roger and Dragoni, Aldo F. and Buttazzo, Giorgio}, year={2017}, pages={3â€“24} }</t>
  </si>
  <si>
    <t>Agents and Multi-Agent Systems for Health Care</t>
  </si>
  <si>
    <t>Using Runtime Quantitative Verification to Provide Assurance Evidence for Self-Adaptive Software</t>
  </si>
  <si>
    <t>@inbook{Calinescu_2017, title={Using Runtime Quantitative Verification to Provide Assurance Evidence for Self-Adaptive Software}, ISBN={9783319741833}, ISSN={1611-3349}, url={http://dx.doi.org/10.1007/978-3-319-74183-3_8}, DOI={10.1007/978-3-319-74183-3_8}, booktitle={Software Engineering for Self-Adaptive Systems III. Assurances}, publisher={Springer International Publishing}, author={Calinescu, Radu and Gerasimou, Simos and Johnson, Kenneth and Paterson, Colin}, year={2017}, pages={223â€“248} }</t>
  </si>
  <si>
    <t>Software Engineering for Self-Adaptive Systems III. Assurances</t>
  </si>
  <si>
    <t>Improving the Success Rate of Student Software Projects through Developing Effort Estimation Practices</t>
  </si>
  <si>
    <t>@inbook{Skruch_2017, title={Improving the Success Rate of Student Software Projects through Developing Effort Estimation Practices}, ISBN={9783319606996}, ISSN={2194-5365}, url={http://dx.doi.org/10.1007/978-3-319-60699-6_83}, DOI={10.1007/978-3-319-60699-6_83}, booktitle={Trends in Advanced Intelligent Control, Optimization and Automation}, publisher={Springer International Publishing}, author={Skruch, Paweł and Długosz, Marek and Mitkowski, Wojciech}, year={2017}, pages={869–880} }</t>
  </si>
  <si>
    <t>Trends in Advanced Intelligent Control, Optimization and Automation</t>
  </si>
  <si>
    <t>Multi-Directional Space Tessellation to Improve the Decision Boundary in Indirect Mixed-Signal Testing</t>
  </si>
  <si>
    <t>@article{G_mez_Pau_2017, title={Multi-Directional Space Tessellation to Improve the Decision Boundary in Indirect Mixed-Signal Testing}, volume={33}, ISSN={1573-0727}, url={http://dx.doi.org/10.1007/s10836-017-5648-y}, DOI={10.1007/s10836-017-5648-y}, number={3}, journal={Journal of Electronic Testing}, publisher={Springer Science and Business Media LLC}, author={Gómez-Pau, Álvaro and Balado, Luz and Figueras, Joan}, year={2017}, month=feb, pages={315–328} }</t>
  </si>
  <si>
    <t>Cyber-physical systems challenges: a needs analysis for collaborating embedded software systems</t>
  </si>
  <si>
    <t>@article{Mosterman_2015, title={Cyber-physical systems challenges: a needs analysis for collaborating embedded software systems}, volume={15}, ISSN={1619-1374}, url={http://dx.doi.org/10.1007/s10270-015-0469-x}, DOI={10.1007/s10270-015-0469-x}, number={1}, journal={Software &amp;amp; Systems Modeling}, publisher={Springer Science and Business Media LLC}, author={Mosterman, Pieter J. and Zander, Justyna}, year={2015}, month=aug, pages={5â€“16} }</t>
  </si>
  <si>
    <t>Software &amp; Systems Modeling</t>
  </si>
  <si>
    <t>A mixed integer linear programming model for reliability optimisation in the component deployment problem</t>
  </si>
  <si>
    <t>@article{Nazari_2016, title={A mixed integer linear programming model for reliability optimisation in the component deployment problem}, volume={67}, ISSN={1476-9360}, url={http://dx.doi.org/10.1057/jors.2015.119}, DOI={10.1057/jors.2015.119}, number={8}, journal={Journal of the Operational Research Society}, publisher={Informa UK Limited}, author={Nazari, Asef and Thiruvady, Dhananjay and Aleti, Aldeida and Moser, Irene}, year={2016}, month=aug, pages={1050â€“1060} }</t>
  </si>
  <si>
    <t>Journal of the Operational Research Society</t>
  </si>
  <si>
    <t>Quantifying Resilience for Resilience Engineering of Socio Technical Systems</t>
  </si>
  <si>
    <t>@article{H_ring_2016, title={Quantifying Resilience for Resilience Engineering of Socio Technical Systems}, volume={1}, ISSN={2365-1695}, url={http://dx.doi.org/10.1007/s41125-015-0001-x}, DOI={10.1007/s41125-015-0001-x}, number={1}, journal={European Journal for Security Research}, publisher={Springer Science and Business Media LLC}, author={Häring, Ivo and Ebenhöch, Stefan and Stolz, Alexander}, year={2016}, month=mar, pages={21–58} }</t>
  </si>
  <si>
    <t>European Journal for Security Research</t>
  </si>
  <si>
    <t>Swarm Distribution and Deployment for Cooperative Surveillance by Micro-Aerial Vehicles</t>
  </si>
  <si>
    <t>@article{Saska_2016, title={Swarm Distribution and Deployment for Cooperative Surveillance by Micro-Aerial Vehicles}, volume={84}, ISSN={1573-0409}, url={http://dx.doi.org/10.1007/s10846-016-0338-z}, DOI={10.1007/s10846-016-0338-z}, number={1–4}, journal={Journal of Intelligent &amp;amp; Robotic Systems}, publisher={Springer Science and Business Media LLC}, author={Saska, Martin and Vonásek, Vojtěch and Chudoba, Jan and Thomas, Justin and Loianno, Giuseppe and Kumar, Vijay}, year={2016}, month=feb, pages={469–492} }</t>
  </si>
  <si>
    <t>Metric for Security Activities Assisted by Argumentative Logic</t>
  </si>
  <si>
    <t>@inbook{Bouyahia_2015, title={Metric for Security Activities Assisted by Argumentative Logic}, ISBN={9783319170169}, ISSN={1611-3349}, url={http://dx.doi.org/10.1007/978-3-319-17016-9_12}, DOI={10.1007/978-3-319-17016-9_12}, booktitle={Data Privacy Management, Autonomous Spontaneous Security, and Security Assurance}, publisher={Springer International Publishing}, author={Bouyahia, Tarek and Idrees, Muhammad Sabir and Cuppens-Boulahia, Nora and Cuppens, Frédéric and Autrel, Fabien}, year={2015}, pages={183–197} }</t>
  </si>
  <si>
    <t>Data Privacy Management, Autonomous Spontaneous Security, and Security Assurance</t>
  </si>
  <si>
    <t>Design Methods</t>
  </si>
  <si>
    <t>@inbook{Espinach_2016, title={Design Methods}, ISBN={9783319261218}, url={http://dx.doi.org/10.1007/978-3-319-26121-8_11}, DOI={10.1007/978-3-319-26121-8_11}, booktitle={Research in Interactive Design (Vol. 4)}, publisher={Springer International Publishing}, author={Espinach, Xavier and Mancuso, Antonio and Eynard, Benoit}, year={2016}, pages={83â€“150} }</t>
  </si>
  <si>
    <t>Research in Interactive Design (Vol. 4)</t>
  </si>
  <si>
    <t>A review of recent AI applications in next-generation power electronics</t>
  </si>
  <si>
    <t>Safari, A., Oshnoei, A., Blaabjerg, F. (2025) A review of recent AI applications in next-generation power electronics. Applied Energy. 402 pp. 126923 DOI: https://doi.org/10.1016/j.apenergy.2025.126923</t>
  </si>
  <si>
    <t>Applied Energy</t>
  </si>
  <si>
    <t>Science Direct</t>
  </si>
  <si>
    <t>Human-centric artificial intelligence towards Industry 5.0: retrospect and prospect</t>
  </si>
  <si>
    <t>Yan, J., Liu, Z., Leng, J., Zhao, J., Chen, C., Zhang, D., Tao, Y., Wang, Y., Liu, T., Zhang, C., et al. (2025) Human-centric artificial intelligence towards Industry 5.0: retrospect and prospect. Journal of Industrial Information Integration. 47 pp. 100903 DOI: https://doi.org/10.1016/j.jii.2025.100903</t>
  </si>
  <si>
    <t>Journal of Industrial Information Integration</t>
  </si>
  <si>
    <t>Human-centric assembly in smart factories</t>
  </si>
  <si>
    <t>Wang, L., Gao, R.X., Krüger, J., Váncza, J. (2025) Human-centric assembly in smart factories. CIRP Annals. 74(2) pp. 789-815 DOI: https://doi.org/10.1016/j.cirp.2025.04.058</t>
  </si>
  <si>
    <t>CIRP Annals</t>
  </si>
  <si>
    <t>Artificial intelligence in safety-critical systems: a systematic review</t>
  </si>
  <si>
    <t>Wang, Y., Chung, S.H. (2021) Artificial intelligence in safety-critical systems: a systematic review. Industrial Management &amp; Data Systems. 122(2) pp. 442-470 DOI: https://doi.org/10.1108/IMDS-07-2021-0419</t>
  </si>
  <si>
    <t>Industrial Management &amp; Data Systems</t>
  </si>
  <si>
    <t>Reliability assessment of service-based software under operational profile uncertainty</t>
  </si>
  <si>
    <t>Pietrantuono, R., Popov, P., Russo, S. (2020) Reliability assessment of service-based software under operational profile uncertainty. Reliability Engineering &amp; System Safety. 204 pp. 107193 DOI: https://doi.org/10.1016/j.ress.2020.107193</t>
  </si>
  <si>
    <t>Reliability Engineering &amp; System Safety</t>
  </si>
  <si>
    <t>Optimizing mineral identification for sustainable resource extraction through hybrid deep learning enabled FinTech model</t>
  </si>
  <si>
    <t>Radulescu, M., Dalal, S., Lilhore, U.K., Saimiya, S. (2024) Optimizing mineral identification for sustainable resource extraction through hybrid deep learning enabled FinTech model. Resources Policy. 89 pp. 104692 DOI: https://doi.org/10.1016/j.resourpol.2024.104692</t>
  </si>
  <si>
    <t>Resources Policy</t>
  </si>
  <si>
    <t>Formal verification of robustness and resilience of learning-enabled state estimation systems</t>
  </si>
  <si>
    <t>Huang, W., Zhou, Y., Jin, G., Sun, Y., Meng, J., Zhang, F., Huang, X. (2024) Formal verification of robustness and resilience of learning-enabled state estimation systems. Neurocomputing. 585 pp. 127643 DOI: https://doi.org/10.1016/j.neucom.2024.127643</t>
  </si>
  <si>
    <t>Neurocomputing</t>
  </si>
  <si>
    <t>A probabilistic neural network-based bimanual control method with multimodal haptic perception fusion</t>
  </si>
  <si>
    <t>Chi, X., Guo, Z., Cheng, F. (2025) A probabilistic neural network-based bimanual control method with multimodal haptic perception fusion. Alexandria Engineering Journal. 127 pp. 892-919 DOI: https://doi.org/10.1016/j.aej.2025.06.024</t>
  </si>
  <si>
    <t>Alexandria Engineering Journal</t>
  </si>
  <si>
    <t>Multi-Expert Collaboration Based Information Graph Learning for Anomaly Diagnosis in Smart Grids</t>
  </si>
  <si>
    <t>Tian, Z., Lv, L., Deng, W. (2025) Multi-Expert Collaboration Based Information Graph Learning for Anomaly Diagnosis in Smart Grids. Computers, Materials and Continua. 85(3) pp. 5359-5376 DOI: https://doi.org/10.32604/cmc.2025.069427</t>
  </si>
  <si>
    <t>Computers, Materials and Continua</t>
  </si>
  <si>
    <t>Explainable Artificial Intelligence (XAI): Concepts, taxonomies, opportunities and challenges toward responsible AI</t>
  </si>
  <si>
    <t>Barredo Arrieta, A., Díaz-Rodríguez, N., Del Ser, J., Bennetot, A., Tabik, S., Barbado, A., Garcia, S., Gil-Lopez, S., Molina, D., Benjamins, R., et al. (2020) Explainable Artificial Intelligence (XAI): Concepts, taxonomies, opportunities and challenges toward responsible AI. Information Fusion. 58 pp. 82-115 DOI: https://doi.org/10.1016/j.inffus.2019.12.012</t>
  </si>
  <si>
    <t>Information Fusion</t>
  </si>
  <si>
    <t>Analysis of safety and security challenges and opportunities related to cyber-physical systems</t>
  </si>
  <si>
    <t>El-Kady, A.H., Halim, S., El-Halwagi, M.M., Khan, F. (2023) Analysis of safety and security challenges and opportunities related to cyber-physical systems. Process Safety and Environmental Protection. 173 pp. 384-413 DOI: https://doi.org/10.1016/j.psep.2023.03.012</t>
  </si>
  <si>
    <t>Process Safety and Environmental Protection</t>
  </si>
  <si>
    <t>A computer-based simulation methodology of the predetermined maintenance scheme of an irradiation facility</t>
  </si>
  <si>
    <t>Ismail, M.H., Chiachío, M., Chiachío, J., Arranz, F., Saleh, A. (2024) A computer-based simulation methodology of the predetermined maintenance scheme of an irradiation facility. Computers &amp; Industrial Engineering. 198 pp. 110671 DOI: https://doi.org/10.1016/j.cie.2024.110671</t>
  </si>
  <si>
    <t>Computers &amp; Industrial Engineering</t>
  </si>
  <si>
    <t>Adaptive resource management in dynamic Cyber–Physical Systems using Artificial Intelligence</t>
  </si>
  <si>
    <t>Zhao, X., Guo, F., Huang, A., Ding, J., Yan, C., Yuan, W., Su, Y., Li, Q., Zhang, Q. (2025) Adaptive resource management in dynamic Cyber–Physical Systems using Artificial Intelligence. Engineering Applications of Artificial Intelligence. 162 pp. 112409 DOI: https://doi.org/10.1016/j.engappai.2025.112409</t>
  </si>
  <si>
    <t>Engineering Applications of Artificial Intelligence</t>
  </si>
  <si>
    <t>Towards robust autonomous driving systems through adversarial test set generation</t>
  </si>
  <si>
    <t>Unal, D., Catak, F.O., Houkan, M.T., Mudassir, M., Hammoudeh, M. (2023) Towards robust autonomous driving systems through adversarial test set generation. ISA Transactions. 132 pp. 69-79 DOI: https://doi.org/10.1016/j.isatra.2022.11.007</t>
  </si>
  <si>
    <t>ISA Transactions</t>
  </si>
  <si>
    <t>Cloud-enabled prognosis for manufacturing</t>
  </si>
  <si>
    <t>Gao, R., Wang, L., Teti, R., Dornfeld, D., Kumara, S., Mori, M., Helu, M. (2015) Cloud-enabled prognosis for manufacturing. CIRP Annals. 64(2) pp. 749-772 DOI: https://doi.org/10.1016/j.cirp.2015.05.011</t>
  </si>
  <si>
    <t>Intelligent additive manufacturing and design: state of the art and future perspectives</t>
  </si>
  <si>
    <t>Xiong, Y., Tang, Y., Zhou, Q., Ma, Y., Rosen, D.W. (2022) Intelligent additive manufacturing and design: state of the art and future perspectives. Additive Manufacturing. 59 pp. 103139 DOI: https://doi.org/10.1016/j.addma.2022.103139</t>
  </si>
  <si>
    <t>Additive Manufacturing</t>
  </si>
  <si>
    <t>Intelligent Transportation Systems: A Critical Review of Integration of Cyber-physical Systems (CPS) and Industry 4.0</t>
  </si>
  <si>
    <t>Aslam, M.M., Shafik, W., Hidayatullah, A.F., Kalinaki, K., Gul, H., Zakari, R.Y., Tufail, A. (2025) Intelligent Transportation Systems: A Critical Review of Integration of Cyber-physical Systems (CPS) and Industry 4.0. Digital Communications and Networks. DOI: https://doi.org/10.1016/j.dcan.2025.06.014</t>
  </si>
  <si>
    <t>Digital Communications and Networks</t>
  </si>
  <si>
    <t>Prognostics and Health Management (PHM): Where are we and where do we (need to) go in theory and practice</t>
  </si>
  <si>
    <t>Zio, E. (2022) Prognostics and Health Management (PHM): Where are we and where do we (need to) go in theory and practice. Reliability Engineering &amp; System Safety. 218 pp. 108119 DOI: https://doi.org/10.1016/j.ress.2021.108119</t>
  </si>
  <si>
    <t>Distribution-aware fairness test generation</t>
  </si>
  <si>
    <t>Rajan, S.S., Soremekun, E., Le Traon, Y., Chattopadhyay, S. (2024) Distribution-aware fairness test generation. Journal of Systems and Software. 215 pp. 112090 DOI: https://doi.org/10.1016/j.jss.2024.112090</t>
  </si>
  <si>
    <t>Journal of Systems and Software</t>
  </si>
  <si>
    <t>Safe event-triggered control of unmanned surface vehicles with Gaussian processes: Resilience in denial of service attacks and uncertain dynamics</t>
  </si>
  <si>
    <t>Yang, Z., Dai, X., Fang, L., Zhou, J., Yan, Z. (2025) Safe event-triggered control of unmanned surface vehicles with Gaussian processes: Resilience in denial of service attacks and uncertain dynamics. Engineering Applications of Artificial Intelligence. 153 pp. 110776 DOI: https://doi.org/10.1016/j.engappai.2025.110776</t>
  </si>
  <si>
    <t>Physics-informed machine learning for reliability and systems safety applications: State of the art and challenges</t>
  </si>
  <si>
    <t>Xu, Y., Kohtz, S., Boakye, J., Gardoni, P., Wang, P. (2023) Physics-informed machine learning for reliability and systems safety applications: State of the art and challenges. Reliability Engineering &amp; System Safety. 230 pp. 108900 DOI: https://doi.org/10.1016/j.ress.2022.108900</t>
  </si>
  <si>
    <t>Developing and leveraging digital twins in engineering design</t>
  </si>
  <si>
    <t>Anwer, N., Stark, R., Tao, F., Erkoyuncu, J. (2025) Developing and leveraging digital twins in engineering design. CIRP Annals. 74(2) pp. 843-868 DOI: https://doi.org/10.1016/j.cirp.2025.05.002</t>
  </si>
  <si>
    <t>Vision on metal additive manufacturing: Developments, challenges and future trends</t>
  </si>
  <si>
    <t>Bernard, A., Kruth, J., Cao, J., Lanza, G., Bruschi, S., Merklein, M., Vaneker, T., Schmidt, M., Sutherland, J.W., Donmez, A., et al. (2023) Vision on metal additive manufacturing: Developments, challenges and future trends. CIRP Journal of Manufacturing Science and Technology. 47 pp. 18-58 DOI: https://doi.org/10.1016/j.cirpj.2023.08.005</t>
  </si>
  <si>
    <t>CIRP Journal of Manufacturing Science and Technology</t>
  </si>
  <si>
    <t>Efficient crack segmentation with multi-decoder networks and enhanced feature fusion</t>
  </si>
  <si>
    <t>Okran, A.M., Rashwan, H.A., Saleh, A., Puig, D. (2025) Efficient crack segmentation with multi-decoder networks and enhanced feature fusion. Engineering Applications of Artificial Intelligence. 152 pp. 110697 DOI: https://doi.org/10.1016/j.engappai.2025.110697</t>
  </si>
  <si>
    <t>Efficient spatio-temporal out-of-distribution detection for learning-enabled autonomous systems</t>
  </si>
  <si>
    <t>Ren, J., Li, S., Li, Y., Yang, X., Liu, L., Li, S. (2025) Efficient spatio-temporal out-of-distribution detection for learning-enabled autonomous systems. Journal of Systems Architecture. 168 pp. 103525 DOI: https://doi.org/10.1016/j.sysarc.2025.103525</t>
  </si>
  <si>
    <t>Journal of Systems Architecture</t>
  </si>
  <si>
    <t>Trustworthiness modeling and evaluation for a nearly autonomous management and control system</t>
  </si>
  <si>
    <t>Wang, L., Lin, L., Dinh, N. (2024) Trustworthiness modeling and evaluation for a nearly autonomous management and control system. Reliability Engineering &amp; System Safety. 245 pp. 110008 DOI: https://doi.org/10.1016/j.ress.2024.110008</t>
  </si>
  <si>
    <t>Reasoning about sensing uncertainty and its reduction in decision-making for self-adaptation</t>
  </si>
  <si>
    <t>Cámara, J., Peng, W., Garlan, D., Schmerl, B. (2018) Reasoning about sensing uncertainty and its reduction in decision-making for self-adaptation. Science of Computer Programming. 167 pp. 51-69 DOI: https://doi.org/10.1016/j.scico.2018.07.002</t>
  </si>
  <si>
    <t>Science of Computer Programming</t>
  </si>
  <si>
    <t>Integration of data analytics with cloud services for safer process systems, application examples and implementation challenges</t>
  </si>
  <si>
    <t>Goel, P., Jain, P., Pasman, H.J., Pistikopoulos, E., Datta, A. (2020) Integration of data analytics with cloud services for safer process systems, application examples and implementation challenges. Journal of Loss Prevention in the Process Industries. 68 pp. 104316 DOI: https://doi.org/10.1016/j.jlp.2020.104316</t>
  </si>
  <si>
    <t>Journal of Loss Prevention in the Process Industries</t>
  </si>
  <si>
    <t>Execution allowance based fixed priority scheduling for probabilistic real-time systems</t>
  </si>
  <si>
    <t>Ren, J., Xu, Z., Yu, C., Lin, C., Wu, G., Tan, G. (2019) Execution allowance based fixed priority scheduling for probabilistic real-time systems. Journal of Systems and Software. 152 pp. 120-133 DOI: https://doi.org/10.1016/j.jss.2019.03.001</t>
  </si>
  <si>
    <t>An EMD-based forecasting framework integrating GMM and BiLSTM for helicopter engine anomaly detection</t>
  </si>
  <si>
    <t>Shen, Q., Guo, J., Tian, Y., Chen, Z. (2025) An EMD-based forecasting framework integrating GMM and BiLSTM for helicopter engine anomaly detection. Journal of Industrial Information Integration. 48 pp. 101003 DOI: https://doi.org/10.1016/j.jii.2025.101003</t>
  </si>
  <si>
    <t>Uncertainty propagation from sensor data to deep learning models in autonomous driving</t>
  </si>
  <si>
    <t>Wang, Y., Wang, T., Yue, T. (2025) Uncertainty propagation from sensor data to deep learning models in autonomous driving. Information and Software Technology. 183 pp. 107735 DOI: https://doi.org/10.1016/j.infsof.2025.107735</t>
  </si>
  <si>
    <t>Information and Software Technology</t>
  </si>
  <si>
    <t>Non-deterministic model validation methodology for simulation-based safety assessment of automated vehicles</t>
  </si>
  <si>
    <t>Riedmaier, S., Schneider, J., Danquah, B., Schick, B., Diermeyer, F. (2021) Non-deterministic model validation methodology for simulation-based safety assessment of automated vehicles. Simulation Modelling Practice and Theory. 109 pp. 102274 DOI: https://doi.org/10.1016/j.simpat.2021.102274</t>
  </si>
  <si>
    <t>Simulation Modelling Practice and Theory</t>
  </si>
  <si>
    <t>Reliability assessment of autonomous maritime navigation systems under uncertainty</t>
  </si>
  <si>
    <t>Başhan, V. (2025) Reliability assessment of autonomous maritime navigation systems under uncertainty. Ocean Engineering. 333 pp. 121588 DOI: https://doi.org/10.1016/j.oceaneng.2025.121588</t>
  </si>
  <si>
    <t>Ocean Engineering</t>
  </si>
  <si>
    <t>Data-Driven Abstractions via Binary-Tree Gaussian Processes for Formal Verification</t>
  </si>
  <si>
    <t>Schön, O., Naseer, S., Wooding, B., Soudjani, S. (2024) Data-Driven Abstractions via Binary-Tree Gaussian Processes for Formal Verification. IFAC-PapersOnLine. 58(11) pp. 115-122 DOI: https://doi.org/10.1016/j.ifacol.2024.07.434</t>
  </si>
  <si>
    <t>IFAC-PapersOnLine</t>
  </si>
  <si>
    <t>A novel fractional-order heuristic grey model for robust prognostics of PEMFC degradation under static and dynamic operating regimes</t>
  </si>
  <si>
    <t>Sapnken, F.E., Wang, Y., Posso, F., Xie, N., Noumo, P.G., Ntegmi, G.J.B., Molu, R.J.J., Tamba, J.G. (2025) A novel fractional-order heuristic grey model for robust prognostics of PEMFC degradation under static and dynamic operating regimes. Energy 360. 4 pp. 100046 DOI: https://doi.org/10.1016/j.energ.2025.100046</t>
  </si>
  <si>
    <t>Energy 360</t>
  </si>
  <si>
    <t>QDQN-ThermoNet: A quantum-driven dual deep Q-Network framework for intelligent thermal regulation in solid-state and hydrogen fuel cell systems of future electric vehicles</t>
  </si>
  <si>
    <t>Aurangzeb, M., Shusheng, X., Iqbal, S., Shafiullah, M., Ahmed Mohammed, O.A., Dafalla, A.M., Qingsheng, L., Kai, M., Afzal, M.Z. (2025) QDQN-ThermoNet: A quantum-driven dual deep Q-Network framework for intelligent thermal regulation in solid-state and hydrogen fuel cell systems of future electric vehicles. International Journal of Hydrogen Energy. 189 pp. 151979 DOI: https://doi.org/10.1016/j.ijhydene.2025.151979</t>
  </si>
  <si>
    <t>International Journal of Hydrogen Energy</t>
  </si>
  <si>
    <t>A review on physics-informed data-driven remaining useful life prediction: Challenges and opportunities</t>
  </si>
  <si>
    <t>Li, H., Zhang, Z., Li, T., Si, X. (2024) A review on physics-informed data-driven remaining useful life prediction: Challenges and opportunities. Mechanical Systems and Signal Processing. 209 pp. 111120 DOI: https://doi.org/10.1016/j.ymssp.2024.111120</t>
  </si>
  <si>
    <t>Mechanical Systems and Signal Processing</t>
  </si>
  <si>
    <t>Probabilistic unifying relations for modelling epistemic and aleatoric uncertainty: Semantics and automated reasoning with theorem proving</t>
  </si>
  <si>
    <t>Ye, K., Woodcock, J., Foster, S. (2024) Probabilistic unifying relations for modelling epistemic and aleatoric uncertainty: Semantics and automated reasoning with theorem proving. Theoretical Computer Science. 1021 pp. 114876 DOI: https://doi.org/10.1016/j.tcs.2024.114876</t>
  </si>
  <si>
    <t>Theoretical Computer Science</t>
  </si>
  <si>
    <t>Reliability modeling for perception systems in autonomous vehicles: A recursive event-triggering point process approach</t>
  </si>
  <si>
    <t>Pan, F., Zhang, Y., Liu, J., Head, L., Elli, M., Alvarez, I. (2024) Reliability modeling for perception systems in autonomous vehicles: A recursive event-triggering point process approach. Transportation Research Part C: Emerging Technologies. 169 pp. 104868 DOI: https://doi.org/10.1016/j.trc.2024.104868</t>
  </si>
  <si>
    <t>Transportation Research Part C: Emerging Technologies</t>
  </si>
  <si>
    <t>Risk assessment: What is it worth? Shall we just do away with it, or can it do a better job?</t>
  </si>
  <si>
    <t>Pasman, H.J., Rogers, W.J., Mannan, M.S. (2017) Risk assessment: What is it worth? Shall we just do away with it, or can it do a better job?. Safety Science. 99 pp. 140-155 DOI: https://doi.org/10.1016/j.ssci.2017.01.011</t>
  </si>
  <si>
    <t>Safety Science</t>
  </si>
  <si>
    <t>Descriptive proximity-based modeling for accurate and explainable battery state-of-charge estimation</t>
  </si>
  <si>
    <t>İnan, E., Aksöz, A., Oyucu, S., Biçer, E. (2025) Descriptive proximity-based modeling for accurate and explainable battery state-of-charge estimation. Journal of Energy Storage. 136 pp. 118150 DOI: https://doi.org/10.1016/j.est.2025.118150</t>
  </si>
  <si>
    <t>Journal of Energy Storage</t>
  </si>
  <si>
    <t>Estimating uncertainty from feed-forward network based sensing using quasi-linear approximation</t>
  </si>
  <si>
    <t>Zhang, S., Singh, M., Menolascino, D., Ching, S. (2025) Estimating uncertainty from feed-forward network based sensing using quasi-linear approximation. Neural Networks. 188 pp. 107376 DOI: https://doi.org/10.1016/j.neunet.2025.107376</t>
  </si>
  <si>
    <t>Neural Networks</t>
  </si>
  <si>
    <t>Dynamic validation of safety integrity level for safety instrumented system considering random/fuzzy uncertainty</t>
  </si>
  <si>
    <t>Zhou, J., Cao, X., Liu, X., Zhang, Z., Bian, J. (2025) Dynamic validation of safety integrity level for safety instrumented system considering random/fuzzy uncertainty. Measurement. 253 pp. 117797 DOI: https://doi.org/10.1016/j.measurement.2025.117797</t>
  </si>
  <si>
    <t>Measurement</t>
  </si>
  <si>
    <t>An AI-Driven Thermal-Fluid Testbed for Advanced Small Modular Reactors: Integration of Digital Twin and Large Language Models</t>
  </si>
  <si>
    <t>Lim, D., Ndum, Z.N., Young, C., Hassan, Y., Liu, Y. (2025) An AI-Driven Thermal-Fluid Testbed for Advanced Small Modular Reactors: Integration of Digital Twin and Large Language Models. AI Thermal Fluids. 4 pp. 100023 DOI: https://doi.org/10.1016/j.aitf.2025.100023</t>
  </si>
  <si>
    <t>AI Thermal Fluids</t>
  </si>
  <si>
    <t>Markov/CCMT: Towards an integrated platform for dynamic reliability and risk analysis</t>
  </si>
  <si>
    <t>Jun, Y., Chenyu, J., Zhihui, X., Mengkun, L., Ming, Y. (2021) Markov/CCMT: Towards an integrated platform for dynamic reliability and risk analysis. Process Safety and Environmental Protection. 155 pp. 498-517 DOI: https://doi.org/10.1016/j.psep.2021.09.043</t>
  </si>
  <si>
    <t>SNR estimation uncertainty in ADC testing caused by additive noise with experimental validation</t>
  </si>
  <si>
    <t>Joaquim, M., Corrêa Alegria, F. (2025) SNR estimation uncertainty in ADC testing caused by additive noise with experimental validation. Journal of the Franklin Institute. 362(16) pp. 108105 DOI: https://doi.org/10.1016/j.jfranklin.2025.108105</t>
  </si>
  <si>
    <t>Journal of the Franklin Institute</t>
  </si>
  <si>
    <t>Artificial Intelligence for Safety-Critical Systems in Industrial and Transportation Domains: A Survey</t>
  </si>
  <si>
    <t>Perez-Cerrolaza (2024) Artificial Intelligence for Safety-Critical Systems in Industrial and Transportation Domains: A Survey. ACM Comput. Surv.</t>
  </si>
  <si>
    <t>ACM Comput. Surv.</t>
  </si>
  <si>
    <t>Cyber Physical System: Achievements and challenges</t>
  </si>
  <si>
    <t>Ong (2020) Cyber Physical System: Achievements and challenges. Proceedings of the 4th International Conference on Machine Learning and Soft Computing</t>
  </si>
  <si>
    <t>Proceedings of the 4th International Conference on Machine Learning and Soft Computing</t>
  </si>
  <si>
    <t>Architectural Patterns for Integrating AI Technology into Safety-Critical Systems</t>
  </si>
  <si>
    <t>Macher (2022) Architectural Patterns for Integrating AI Technology into Safety-Critical Systems. Proceedings of the 26th European Conference on Pattern Languages of Programs</t>
  </si>
  <si>
    <t>Proceedings of the 26th European Conference on Pattern Languages of Programs</t>
  </si>
  <si>
    <t>Stochastic Assume-Guarantee Contracts for Cyber-Physical System Design</t>
  </si>
  <si>
    <t>Nuzzo (2019) Stochastic Assume-Guarantee Contracts for Cyber-Physical System Design. ACM Trans. Embed. Comput. Syst.</t>
  </si>
  <si>
    <t>ACM Trans. Embed. Comput. Syst.</t>
  </si>
  <si>
    <t>VeriPhy: verified controller executables from verified cyber-physical system models</t>
  </si>
  <si>
    <t>Bohrer (2018) VeriPhy: verified controller executables from verified cyber-physical system models. Proceedings of the 39th ACM SIGPLAN Conference on Programming Language Design and Implementation</t>
  </si>
  <si>
    <t>Proceedings of the 39th ACM SIGPLAN Conference on Programming Language Design and Implementation</t>
  </si>
  <si>
    <t>A Cyber-Physical System to Improve the Management of a Large Suite of Operating Rooms</t>
  </si>
  <si>
    <t>Joerger (2018) A Cyber-Physical System to Improve the Management of a Large Suite of Operating Rooms. ACM Trans. Cyber-Phys. Syst.</t>
  </si>
  <si>
    <t>ACM Trans. Cyber-Phys. Syst.</t>
  </si>
  <si>
    <t>On using blockchains for safety-critical systems</t>
  </si>
  <si>
    <t>Berger (2018) On using blockchains for safety-critical systems. Proceedings of the 4th International Workshop on Software Engineering for Smart Cyber-Physical Systems</t>
  </si>
  <si>
    <t>Proceedings of the 4th International Workshop on Software Engineering for Smart Cyber-Physical Systems</t>
  </si>
  <si>
    <t>Stochastic contracts for cyber-physical system design under probabilistic requirements</t>
  </si>
  <si>
    <t>Li (2017) Stochastic contracts for cyber-physical system design under probabilistic requirements. Proceedings of the 15th ACM-IEEE International Conference on Formal Methods and Models for System Design</t>
  </si>
  <si>
    <t>Proceedings of the 15th ACM-IEEE International Conference on Formal Methods and Models for System Design</t>
  </si>
  <si>
    <t>ForSyDe-Atom: Taming Complexity in Cyber Physical System Design with Layers</t>
  </si>
  <si>
    <t>Ungureanu (2021) ForSyDe-Atom: Taming Complexity in Cyber Physical System Design with Layers. ACM Trans. Embed. Comput. Syst.</t>
  </si>
  <si>
    <t>Probabilistic Graph Queries for Design Space Exploration Under Uncertainty</t>
  </si>
  <si>
    <t>F\"oldi\'ak (2024) Probabilistic Graph Queries for Design Space Exploration Under Uncertainty. Proceedings of the ACM/IEEE 27th International Conference on Model Driven Engineering Languages and Systems</t>
  </si>
  <si>
    <t>Proceedings of the ACM/IEEE 27th International Conference on Model Driven Engineering Languages and Systems</t>
  </si>
  <si>
    <t>A Probabilistic Approach to Adaptive Protection in the Smart Grid</t>
  </si>
  <si>
    <t>Mohamed (2025) A Probabilistic Approach to Adaptive Protection in the Smart Grid. ACM Trans. Cyber-Phys. Syst.</t>
  </si>
  <si>
    <t>Modeling and Verification of Hybrid Systems by Extending AADL</t>
  </si>
  <si>
    <t>Xu (2025) Modeling and Verification of Hybrid Systems by Extending AADL. ACM Trans. Softw. Eng. Methodol.</t>
  </si>
  <si>
    <t>ACM Trans. Softw. Eng. Methodol.</t>
  </si>
  <si>
    <t>Towards Building AI-CPS with NVIDIA Isaac Sim: An Industrial Benchmark and Case Study for Robotics Manipulation</t>
  </si>
  <si>
    <t>Zhou (2024) Towards Building AI-CPS with NVIDIA Isaac Sim: An Industrial Benchmark and Case Study for Robotics Manipulation. Proceedings of the 46th International Conference on Software Engineering: Software Engineering in Practice</t>
  </si>
  <si>
    <t>Proceedings of the 46th International Conference on Software Engineering: Software Engineering in Practice</t>
  </si>
  <si>
    <t>Harnessing Large Language Models for Simulink Toolchain Testing and Developing Diverse Open-Source Corpora of Simulink Models for Metric and Evolution Analysis</t>
  </si>
  <si>
    <t>Shrestha (2023) Harnessing Large Language Models for Simulink Toolchain Testing and Developing Diverse Open-Source Corpora of Simulink Models for Metric and Evolution Analysis. Proceedings of the 32nd ACM SIGSOFT International Symposium on Software Testing and Analysis</t>
  </si>
  <si>
    <t>Proceedings of the 32nd ACM SIGSOFT International Symposium on Software Testing and Analysis</t>
  </si>
  <si>
    <t>Towards automated safety analysis for architectures of dynamically forming networks of cyber-physical systems</t>
  </si>
  <si>
    <t>Brings (2020) Towards automated safety analysis for architectures of dynamically forming networks of cyber-physical systems. Proceedings of the IEEE/ACM 42nd International Conference on Software Engineering Workshops</t>
  </si>
  <si>
    <t>Proceedings of the IEEE/ACM 42nd International Conference on Software Engineering Workshops</t>
  </si>
  <si>
    <t>Safety Monitoring for Learning-Enabled Cyber-Physical Systems in Out-of-Distribution Scenarios</t>
  </si>
  <si>
    <t>Lin (2025) Safety Monitoring for Learning-Enabled Cyber-Physical Systems in Out-of-Distribution Scenarios. Proceedings of the ACM/IEEE 16th International Conference on Cyber-Physical Systems (with CPS-IoT Week 2025)</t>
  </si>
  <si>
    <t>Proceedings of the ACM/IEEE 16th International Conference on Cyber-Physical Systems (with CPS-IoT Week 2025)</t>
  </si>
  <si>
    <t>MoveAR: Continuous Biometric Authentication for Augmented Reality Headsets</t>
  </si>
  <si>
    <t>Bhalla (2021) MoveAR: Continuous Biometric Authentication for Augmented Reality Headsets. Proceedings of the 7th ACM on Cyber-Physical System Security Workshop</t>
  </si>
  <si>
    <t>Proceedings of the 7th ACM on Cyber-Physical System Security Workshop</t>
  </si>
  <si>
    <t>Achieving the Safety and Security of the End-to-End AV Pipeline</t>
  </si>
  <si>
    <t>Curran (2024) Achieving the Safety and Security of the End-to-End AV Pipeline. Proceedings of the 2024 Cyber Security in CarS Workshop</t>
  </si>
  <si>
    <t>Proceedings of the 2024 Cyber Security in CarS Workshop</t>
  </si>
  <si>
    <t>AADL and Modelica model combination and model conversion based on CPS</t>
  </si>
  <si>
    <t>Zhu (2021) AADL and Modelica model combination and model conversion based on CPS. Proceedings of the 2020 4th International Conference on Electronic Information Technology and Computer Engineering</t>
  </si>
  <si>
    <t>Proceedings of the 2020 4th International Conference on Electronic Information Technology and Computer Engineering</t>
  </si>
  <si>
    <t>Stealthy Cyber Anomaly Detection On Large Noisy Multi-material 3D Printer Datasets Using Probabilistic Models</t>
  </si>
  <si>
    <t>Yoginath (2022) Stealthy Cyber Anomaly Detection On Large Noisy Multi-material 3D Printer Datasets Using Probabilistic Models. Proceedings of the 2022 ACM CCS Workshop on Additive Manufacturing (3D Printing) Security</t>
  </si>
  <si>
    <t>Proceedings of the 2022 ACM CCS Workshop on Additive Manufacturing (3D Printing) Security</t>
  </si>
  <si>
    <t>A Functional Co-Design towards Safe and Secure Vehicle Platooning</t>
  </si>
  <si>
    <t>Liu (2017) A Functional Co-Design towards Safe and Secure Vehicle Platooning. Proceedings of the 3rd ACM Workshop on Cyber-Physical System Security</t>
  </si>
  <si>
    <t>Proceedings of the 3rd ACM Workshop on Cyber-Physical System Security</t>
  </si>
  <si>
    <t>Zhao (2021) Learning safe neural network controllers with barrier certificates. Form. Asp. Comput.</t>
  </si>
  <si>
    <t>Form. Asp. Comput.</t>
  </si>
  <si>
    <t>Formal Methods in Industry</t>
  </si>
  <si>
    <t>ter Beek (2024) Formal Methods in Industry. Form. Asp. Comput.</t>
  </si>
  <si>
    <t>Transparent End-to-End Security for Publish/Subscribe Communication in Cyber-Physical Systems</t>
  </si>
  <si>
    <t>Dahlmanns (2021) Transparent End-to-End Security for Publish/Subscribe Communication in Cyber-Physical Systems. Proceedings of the 2021 ACM Workshop on Secure and Trustworthy Cyber-Physical Systems</t>
  </si>
  <si>
    <t>Proceedings of the 2021 ACM Workshop on Secure and Trustworthy Cyber-Physical Systems</t>
  </si>
  <si>
    <t>Statistical Verification using Surrogate Models and Conformal Inference and a Comparison with Risk-Aware Verification</t>
  </si>
  <si>
    <t>Qin (2024) Statistical Verification using Surrogate Models and Conformal Inference and a Comparison with Risk-Aware Verification. ACM Trans. Cyber-Phys. Syst.</t>
  </si>
  <si>
    <t>A Reference Architecture of Human Cyber-Physical Systems – Part III: Semantic Foundations</t>
  </si>
  <si>
    <t>Damm (2024) A Reference Architecture of Human Cyber-Physical Systems – Part III: Semantic Foundations. ACM Trans. Cyber-Phys. Syst.</t>
  </si>
  <si>
    <t>Secure Autonomous Cyber-Physical Systems Through Verifiable Information Flow Control</t>
  </si>
  <si>
    <t>Liu (2018) Secure Autonomous Cyber-Physical Systems Through Verifiable Information Flow Control. Proceedings of the 2018 Workshop on Cyber-Physical Systems Security and PrivaCy</t>
  </si>
  <si>
    <t>Proceedings of the 2018 Workshop on Cyber-Physical Systems Security and PrivaCy</t>
  </si>
  <si>
    <t>Architectural Abstractions for Hybrid Programs</t>
  </si>
  <si>
    <t>Ruchkin (2015) Architectural Abstractions for Hybrid Programs. Proceedings of the 18th International ACM SIGSOFT Symposium on Component-Based Software Engineering</t>
  </si>
  <si>
    <t>Proceedings of the 18th International ACM SIGSOFT Symposium on Component-Based Software Engineering</t>
  </si>
  <si>
    <t>Investigating the Inherent Soft Error Resilience of Embedded Applications by Full-System Simulation</t>
  </si>
  <si>
    <t>Sharif (2020) Investigating the Inherent Soft Error Resilience of Embedded Applications by Full-System Simulation. Proceedings of the 25th Asia and South Pacific Design Automation Conference</t>
  </si>
  <si>
    <t>Proceedings of the 25th Asia and South Pacific Design Automation Conference</t>
  </si>
  <si>
    <t>Explaining Control Policies through Predicate Decision Diagrams</t>
  </si>
  <si>
    <t>Chakraborty (2025) Explaining Control Policies through Predicate Decision Diagrams. Proceedings of the 28th ACM International Conference on Hybrid Systems: Computation and Control</t>
  </si>
  <si>
    <t>Proceedings of the 28th ACM International Conference on Hybrid Systems: Computation and Control</t>
  </si>
  <si>
    <t>METASAT's Model Based Design Solutions</t>
  </si>
  <si>
    <t>Kosmidis (2024) METASAT's Model Based Design Solutions. Ada Lett.</t>
  </si>
  <si>
    <t>Ada Lett.</t>
  </si>
  <si>
    <t>TORUS: Scalable Requirements Traceability for Large-Scale Cyber-Physical Systems</t>
  </si>
  <si>
    <t>Sinha (2018) TORUS: Scalable Requirements Traceability for Large-Scale Cyber-Physical Systems. ACM Trans. Cyber-Phys. Syst.</t>
  </si>
  <si>
    <t>Publish or Drop Traffic Event Alerts? Quality-aware Decision Making in Participatory Sensing-based Vehicular CPS</t>
  </si>
  <si>
    <t>Barnwal (2019) Publish or Drop Traffic Event Alerts? Quality-aware Decision Making in Participatory Sensing-based Vehicular CPS. ACM Trans. Cyber-Phys. Syst.</t>
  </si>
  <si>
    <t>Designing Swarms of Cyber-Physical Systems: the H2020 CPSwarm Project: Invited Paper</t>
  </si>
  <si>
    <t>Bagnato (2017) Designing Swarms of Cyber-Physical Systems: the H2020 CPSwarm Project: Invited Paper. Proceedings of the Computing Frontiers Conference</t>
  </si>
  <si>
    <t>Proceedings of the Computing Frontiers Conference</t>
  </si>
  <si>
    <t>Conformal Prediction for STL Runtime Verification</t>
  </si>
  <si>
    <t>Lindemann (2023) Conformal Prediction for STL Runtime Verification. Proceedings of the ACM/IEEE 14th International Conference on Cyber-Physical Systems (with CPS-IoT Week 2023)</t>
  </si>
  <si>
    <t>Proceedings of the ACM/IEEE 14th International Conference on Cyber-Physical Systems (with CPS-IoT Week 2023)</t>
  </si>
  <si>
    <t>AdaFT: A Framework for Adaptive Fault Tolerance for Cyber-Physical Systems</t>
  </si>
  <si>
    <t>Xu (2017) AdaFT: A Framework for Adaptive Fault Tolerance for Cyber-Physical Systems. ACM Trans. Embed. Comput. Syst.</t>
  </si>
  <si>
    <t>A Formal Approach to Physics-based Attacks in Cyber-physical Systems</t>
  </si>
  <si>
    <t>Lanotte (2020) A Formal Approach to Physics-based Attacks in Cyber-physical Systems. ACM Trans. Priv. Secur.</t>
  </si>
  <si>
    <t>ACM Trans. Priv. Secur.</t>
  </si>
  <si>
    <t>Oracles for Testing Software Timeliness with Uncertainty</t>
  </si>
  <si>
    <t>Wang (2018) Oracles for Testing Software Timeliness with Uncertainty. ACM Trans. Softw. Eng. Methodol.</t>
  </si>
  <si>
    <t>Temporal Consistency of Integrity-Ensuring Computations and Applications to Embedded Systems Security</t>
  </si>
  <si>
    <t>Carpent (2018) Temporal Consistency of Integrity-Ensuring Computations and Applications to Embedded Systems Security. Proceedings of the 2018 on Asia Conference on Computer and Communications Security</t>
  </si>
  <si>
    <t>Proceedings of the 2018 on Asia Conference on Computer and Communications Security</t>
  </si>
  <si>
    <t>Tighter Dimensioning of Heterogeneous Multi-Resource Autonomous CPS with Control Performance Guarantees</t>
  </si>
  <si>
    <t>Roy (2019) Tighter Dimensioning of Heterogeneous Multi-Resource Autonomous CPS with Control Performance Guarantees. Proceedings of the 56th Annual Design Automation Conference 2019</t>
  </si>
  <si>
    <t>Proceedings of the 56th Annual Design Automation Conference 2019</t>
  </si>
  <si>
    <t>Foreseeing the Impact of the Proposed AI Act on the Sustainability and Safety of Critical Infrastructures</t>
  </si>
  <si>
    <t>Sovrano (2022) Foreseeing the Impact of the Proposed AI Act on the Sustainability and Safety of Critical Infrastructures. Proceedings of the 15th International Conference on Theory and Practice of Electronic Governance</t>
  </si>
  <si>
    <t>Proceedings of the 15th International Conference on Theory and Practice of Electronic Governance</t>
  </si>
  <si>
    <t>SafeSpect: Safety-First Augmented Reality Heads-up Display for Drone Inspections</t>
  </si>
  <si>
    <t>Xu (2025) SafeSpect: Safety-First Augmented Reality Heads-up Display for Drone Inspections. Proceedings of the 2025 CHI Conference on Human Factors in Computing Systems</t>
  </si>
  <si>
    <t>Proceedings of the 2025 CHI Conference on Human Factors in Computing Systems</t>
  </si>
  <si>
    <t>Dependable Model-driven Development of CPS: From Stateflow Simulation to Verified Implementation</t>
  </si>
  <si>
    <t>Jiang (2018) Dependable Model-driven Development of CPS: From Stateflow Simulation to Verified Implementation. ACM Trans. Cyber-Phys. Syst.</t>
  </si>
  <si>
    <t>Uncertainty-aware reliability analysis and optimization</t>
  </si>
  <si>
    <t>Khosravi (2015) Uncertainty-aware reliability analysis and optimization. Proceedings of the 2015 Design, Automation &amp;amp; Test in Europe Conference &amp;amp; Exhibition</t>
  </si>
  <si>
    <t>Proceedings of the 2015 Design, Automation &amp;amp; Test in Europe Conference &amp;amp; Exhibition</t>
  </si>
  <si>
    <t>A References Architecture for Human Cyber Physical Systems, Part II: Fundamental Design Principles for Human-CPS Interaction</t>
  </si>
  <si>
    <t>Bengler (2024) A References Architecture for Human Cyber Physical Systems, Part II: Fundamental Design Principles for Human-CPS Interaction. ACM Trans. Cyber-Phys. Syst.</t>
  </si>
  <si>
    <t>Analyzing Cyber-Physical Systems from the Perspective of Artificial Intelligence</t>
  </si>
  <si>
    <t>Veith (2020) Analyzing Cyber-Physical Systems from the Perspective of Artificial Intelligence. Proceedings of the 2019 International Conference on Artificial Intelligence, Robotics and Control</t>
  </si>
  <si>
    <t>Proceedings of the 2019 International Conference on Artificial Intelligence, Robotics and Control</t>
  </si>
  <si>
    <t>Interval constraint-based mutation testing of numerical specifications</t>
  </si>
  <si>
    <t>Jeangoudoux (2021) Interval constraint-based mutation testing of numerical specifications. Proceedings of the 30th ACM SIGSOFT International Symposium on Software Testing and Analysis</t>
  </si>
  <si>
    <t>Proceedings of the 30th ACM SIGSOFT International Symposium on Software Testing and Analysis</t>
  </si>
  <si>
    <t>Software Engineering for Smart Cyber-Physical Systems (SEsCPS 2018) - Workshop Report</t>
  </si>
  <si>
    <t>Bures (2019) Software Engineering for Smart Cyber-Physical Systems (SEsCPS 2018) - Workshop Report. SIGSOFT Softw. Eng. Notes</t>
  </si>
  <si>
    <t>SIGSOFT Softw. Eng. Notes</t>
  </si>
  <si>
    <t>Structured Proofs for Adversarial Cyber-Physical Systems</t>
  </si>
  <si>
    <t>Bohrer (2021) Structured Proofs for Adversarial Cyber-Physical Systems. ACM Trans. Embed. Comput. Syst.</t>
  </si>
  <si>
    <t>Pattern catalog for multicore migration of embedded automotive systems</t>
  </si>
  <si>
    <t>Macher (2015) Pattern catalog for multicore migration of embedded automotive systems. Proceedings of the 20th European Conference on Pattern Languages of Programs</t>
  </si>
  <si>
    <t>Proceedings of the 20th European Conference on Pattern Languages of Programs</t>
  </si>
  <si>
    <t>Bridging the Abstraction Gap: A Systematic Approach to Rule-Based Transformational Design for Embedded Systems</t>
  </si>
  <si>
    <t>Bahrami (2025) Bridging the Abstraction Gap: A Systematic Approach to Rule-Based Transformational Design for Embedded Systems. ACM Trans. Embed. Comput. Syst.</t>
  </si>
  <si>
    <t>Deductive Verification of Cooperative RTOS Applications</t>
  </si>
  <si>
    <t>Tasche (2025) Deductive Verification of Cooperative RTOS Applications. ACM Trans. Embed. Comput. Syst.</t>
  </si>
  <si>
    <t>Model-based design for CPS with learning-enabled components</t>
  </si>
  <si>
    <t>Hartsell (2019) Model-based design for CPS with learning-enabled components. Proceedings of the Workshop on Design Automation for CPS and IoT</t>
  </si>
  <si>
    <t>Proceedings of the Workshop on Design Automation for CPS and IoT</t>
  </si>
  <si>
    <t>Embedded out-of-distribution detection on an autonomous robot platform</t>
  </si>
  <si>
    <t>Yuhas (2021) Embedded out-of-distribution detection on an autonomous robot platform. Proceedings of the Workshop on Design Automation for CPS and IoT</t>
  </si>
  <si>
    <t>Quasi-Static Scheduling for Deterministic Timed Concurrent Models on Multi-Core Hardware</t>
  </si>
  <si>
    <t>Lin (2025) Quasi-Static Scheduling for Deterministic Timed Concurrent Models on Multi-Core Hardware. ACM Trans. Embed. Comput. Syst.</t>
  </si>
  <si>
    <t>Iterative development and changing requirements: drivers of variability in an industrial system for veterinary anesthesia</t>
  </si>
  <si>
    <t>Kuiter (2021) Iterative development and changing requirements: drivers of variability in an industrial system for veterinary anesthesia. Proceedings of the 25th ACM International Systems and Software Product Line Conference - Volume B</t>
  </si>
  <si>
    <t>Proceedings of the 25th ACM International Systems and Software Product Line Conference - Volume B</t>
  </si>
  <si>
    <t>Automated approach for system-level testing of unmanned aerial systems</t>
  </si>
  <si>
    <t>Sartaj (2022) Automated approach for system-level testing of unmanned aerial systems. Proceedings of the 36th IEEE/ACM International Conference on Automated Software Engineering</t>
  </si>
  <si>
    <t>Proceedings of the 36th IEEE/ACM International Conference on Automated Software Engineering</t>
  </si>
  <si>
    <t>Assuring the runtime behavior of self-adaptive cyber-physical systems using feature modeling</t>
  </si>
  <si>
    <t>Islam (2018) Assuring the runtime behavior of self-adaptive cyber-physical systems using feature modeling. Proceedings of the 28th Annual International Conference on Computer Science and Software Engineering</t>
  </si>
  <si>
    <t>Proceedings of the 28th Annual International Conference on Computer Science and Software Engineering</t>
  </si>
  <si>
    <t>Green Data Center Cooling Control via Physics-guided Safe Reinforcement Learning</t>
  </si>
  <si>
    <t>Wang (2024) Green Data Center Cooling Control via Physics-guided Safe Reinforcement Learning. ACM Trans. Cyber-Phys. Syst.</t>
  </si>
  <si>
    <t>A Hybrid Target Selection Model of Functional Safety Compliance for Autonomous Driving System</t>
  </si>
  <si>
    <t>Liu (2025) A Hybrid Target Selection Model of Functional Safety Compliance for Autonomous Driving System. ACM Trans. Embed. Comput. Syst.</t>
  </si>
  <si>
    <t>Anti-ROP Based on a Shadow Stack for Critical Embedded Systems</t>
  </si>
  <si>
    <t>Li (2024) Anti-ROP Based on a Shadow Stack for Critical Embedded Systems. Proceedings of the 3rd International Conference on Computer, Artificial Intelligence and Control Engineering</t>
  </si>
  <si>
    <t>Proceedings of the 3rd International Conference on Computer, Artificial Intelligence and Control Engineering</t>
  </si>
  <si>
    <t>Socially Aware Path Planning for a Flying Robot in Close Proximity of Humans</t>
  </si>
  <si>
    <t>Yoon (2019) Socially Aware Path Planning for a Flying Robot in Close Proximity of Humans. ACM Trans. Cyber-Phys. Syst.</t>
  </si>
  <si>
    <t>Improving Variational Autoencoder based Out-of-Distribution Detection for Embedded Real-time Applications</t>
  </si>
  <si>
    <t>Feng (2021) Improving Variational Autoencoder based Out-of-Distribution Detection for Embedded Real-time Applications. ACM Trans. Embed. Comput. Syst.</t>
  </si>
  <si>
    <t>Reliable and Secure Design-Space-Exploration for Cyber-Physical Systems</t>
  </si>
  <si>
    <t>Ghosh (2020) Reliable and Secure Design-Space-Exploration for Cyber-Physical Systems. ACM Trans. Embed. Comput. Syst.</t>
  </si>
  <si>
    <t>Requirements-Driven Automated Software Testing: A Systematic Review</t>
  </si>
  <si>
    <t>Wang (2025) Requirements-Driven Automated Software Testing: A Systematic Review. ACM Trans. Softw. Eng. Methodol.</t>
  </si>
  <si>
    <t>A Review of AI in Human-Machine Cooperation: Machine Perspective</t>
  </si>
  <si>
    <t>Sourav (2025) A Review of AI in Human-Machine Cooperation: Machine Perspective. ACM Trans. Auton. Adapt. Syst.</t>
  </si>
  <si>
    <t>ACM Trans. Auton. Adapt. Syst.</t>
  </si>
  <si>
    <t>Verification of machine learning based cyber-physical systems: a comparative study</t>
  </si>
  <si>
    <t>Clavi\`ere (2022) Verification of machine learning based cyber-physical systems: a comparative study. Proceedings of the 25th ACM International Conference on Hybrid Systems: Computation and Control</t>
  </si>
  <si>
    <t>Proceedings of the 25th ACM International Conference on Hybrid Systems: Computation and Control</t>
  </si>
  <si>
    <t>“You can’t write down the logic”: Bringing smart technology into the water infrastructure control room</t>
  </si>
  <si>
    <t>Schmidt (2024) “You can’t write down the logic”: Bringing smart technology into the water infrastructure control room. Proceedings of the 2024 CHI Conference on Human Factors in Computing Systems</t>
  </si>
  <si>
    <t>Proceedings of the 2024 CHI Conference on Human Factors in Computing Systems</t>
  </si>
  <si>
    <t>A Systematic Review on Software Robustness Assessment</t>
  </si>
  <si>
    <t>Laranjeiro (2021) A Systematic Review on Software Robustness Assessment. ACM Comput. Surv.</t>
  </si>
  <si>
    <t>Safe Self-Triggered Control Based on Precomputed Reachability Sequences</t>
  </si>
  <si>
    <t>Adimoolam (2023) Safe Self-Triggered Control Based on Precomputed Reachability Sequences. Proceedings of the 26th ACM International Conference on Hybrid Systems: Computation and Control</t>
  </si>
  <si>
    <t>Proceedings of the 26th ACM International Conference on Hybrid Systems: Computation and Control</t>
  </si>
  <si>
    <t>Dynamic Simplex: Balancing Safety and Performance in Autonomous Cyber Physical Systems</t>
  </si>
  <si>
    <t>Luo (2023) Dynamic Simplex: Balancing Safety and Performance in Autonomous Cyber Physical Systems. Proceedings of the ACM/IEEE 14th International Conference on Cyber-Physical Systems (with CPS-IoT Week 2023)</t>
  </si>
  <si>
    <t>Testing Deep Learning-based Visual Perception for Automated Driving</t>
  </si>
  <si>
    <t>Abrecht (2021) Testing Deep Learning-based Visual Perception for Automated Driving. ACM Trans. Cyber-Phys. Syst.</t>
  </si>
  <si>
    <t>Automatic Synthesis of FSMs for Enforcing Non-functional Requirements on MPSoCs Using Multi-objective Evolutionary Algorithms</t>
  </si>
  <si>
    <t>Esper (2023) Automatic Synthesis of FSMs for Enforcing Non-functional Requirements on MPSoCs Using Multi-objective Evolutionary Algorithms. ACM Trans. Des. Autom. Electron. Syst.</t>
  </si>
  <si>
    <t>ACM Trans. Des. Autom. Electron. Syst.</t>
  </si>
  <si>
    <t>Tight Error Analysis in Fixed-point Arithmetic</t>
  </si>
  <si>
    <t>Simi\'c (2022) Tight Error Analysis in Fixed-point Arithmetic. Form. Asp. Comput.</t>
  </si>
  <si>
    <t>Schedulability analysis of mixed-criticality systems with multiple frequency specifications</t>
  </si>
  <si>
    <t>Baruah (2016) Schedulability analysis of mixed-criticality systems with multiple frequency specifications. Proceedings of the 13th International Conference on Embedded Software</t>
  </si>
  <si>
    <t>Proceedings of the 13th International Conference on Embedded Software</t>
  </si>
  <si>
    <t>A systems of systems perspective on the internet of things: invited paper</t>
  </si>
  <si>
    <t>Lukkien (2016) A systems of systems perspective on the internet of things: invited paper. SIGBED Rev.</t>
  </si>
  <si>
    <t>SIGBED Rev.</t>
  </si>
  <si>
    <t>Toward Improving the Security of IoT and CPS Devices: An AI Approach</t>
  </si>
  <si>
    <t>Albasir (2023) Toward Improving the Security of IoT and CPS Devices: An AI Approach. Digital Threats</t>
  </si>
  <si>
    <t>Digital Threats</t>
  </si>
  <si>
    <t>SPARTA: Signal Propagation-based Attack Recognition and Threat Avoidance for Automotive Networks</t>
  </si>
  <si>
    <t>Schell (2023) SPARTA: Signal Propagation-based Attack Recognition and Threat Avoidance for Automotive Networks. Proceedings of the 2023 ACM Asia Conference on Computer and Communications Security</t>
  </si>
  <si>
    <t>Proceedings of the 2023 ACM Asia Conference on Computer and Communications Security</t>
  </si>
  <si>
    <t>Security Modelling for Cyber-Physical Systems: A Systematic Literature Review</t>
  </si>
  <si>
    <t>Huang (2025) Security Modelling for Cyber-Physical Systems: A Systematic Literature Review. ACM Trans. Cyber-Phys. Syst.</t>
  </si>
  <si>
    <t>Model Driven Engineering, Artificial Intelligence, and DevOps for Software and Systems Engineering: A Systematic Mapping Study of Synergies and Challenges</t>
  </si>
  <si>
    <t>Berardinelli (2025) Model Driven Engineering, Artificial Intelligence, and DevOps for Software and Systems Engineering: A Systematic Mapping Study of Synergies and Challenges. ACM Trans. Softw. Eng. Methodol.</t>
  </si>
  <si>
    <t>AdaptiveSound: An Interactive Feedback-Loop System to Improve Sound Recognition for Deaf and Hard of Hearing Users</t>
  </si>
  <si>
    <t>Do (2023) AdaptiveSound: An Interactive Feedback-Loop System to Improve Sound Recognition for Deaf and Hard of Hearing Users. Proceedings of the 25th International ACM SIGACCESS Conference on Computers and Accessibility</t>
  </si>
  <si>
    <t>Proceedings of the 25th International ACM SIGACCESS Conference on Computers and Accessibility</t>
  </si>
  <si>
    <t>Simulation of a runoff model running with multi-criteria in a cluster system</t>
  </si>
  <si>
    <t>Portero (2015) Simulation of a runoff model running with multi-criteria in a cluster system. Proceedings of the Conference on Summer Computer Simulation</t>
  </si>
  <si>
    <t>Proceedings of the Conference on Summer Computer Simulation</t>
  </si>
  <si>
    <t>Self-aware systems for the internet-of-things</t>
  </si>
  <si>
    <t>M\"ostl (2016) Self-aware systems for the internet-of-things. Proceedings of the Eleventh IEEE/ACM/IFIP International Conference on Hardware/Software Codesign and System Synthesis</t>
  </si>
  <si>
    <t>Proceedings of the Eleventh IEEE/ACM/IFIP International Conference on Hardware/Software Codesign and System Synthesis</t>
  </si>
  <si>
    <t>Toward verified artificial intelligence</t>
  </si>
  <si>
    <t>Seshia (2022) Toward verified artificial intelligence. Commun. ACM</t>
  </si>
  <si>
    <t>Commun. ACM</t>
  </si>
  <si>
    <t>SCAPI: a scalable attestation protocol to detect software and physical attacks</t>
  </si>
  <si>
    <t>Kohnh\"auser (2017) SCAPI: a scalable attestation protocol to detect software and physical attacks. Proceedings of the 10th ACM Conference on Security and Privacy in Wireless and Mobile Networks</t>
  </si>
  <si>
    <t>Proceedings of the 10th ACM Conference on Security and Privacy in Wireless and Mobile Networks</t>
  </si>
  <si>
    <t>RSU Placement Optimization for Securing Vehicle Platoon Against False Injection Attacks</t>
  </si>
  <si>
    <t>Roy (2025) RSU Placement Optimization for Securing Vehicle Platoon Against False Injection Attacks. ACM Trans. Cyber-Phys. Syst.</t>
  </si>
  <si>
    <t>CPS Design with Learning-Enabled Components: A Case Study</t>
  </si>
  <si>
    <t>Hartsell (2019) CPS Design with Learning-Enabled Components: A Case Study. Proceedings of the 30th International Workshop on Rapid System Prototyping (RSP'19)</t>
  </si>
  <si>
    <t>Proceedings of the 30th International Workshop on Rapid System Prototyping (RSP'19)</t>
  </si>
  <si>
    <t>RoboFuzz: fuzzing robotic systems over robot operating system (ROS) for finding correctness bugs</t>
  </si>
  <si>
    <t>Kim (2022) RoboFuzz: fuzzing robotic systems over robot operating system (ROS) for finding correctness bugs. Proceedings of the 30th ACM Joint European Software Engineering Conference and Symposium on the Foundations of Software Engineering</t>
  </si>
  <si>
    <t>Proceedings of the 30th ACM Joint European Software Engineering Conference and Symposium on the Foundations of Software Engineering</t>
  </si>
  <si>
    <t>Indistinguishability Prevents Scheduler Side Channels in Real-Time Systems</t>
  </si>
  <si>
    <t>Chen (2021) Indistinguishability Prevents Scheduler Side Channels in Real-Time Systems. Proceedings of the 2021 ACM SIGSAC Conference on Computer and Communications Security</t>
  </si>
  <si>
    <t>Proceedings of the 2021 ACM SIGSAC Conference on Computer and Communications Security</t>
  </si>
  <si>
    <t>IoTranx: Transactions for Safer Smart Spaces</t>
  </si>
  <si>
    <t>Chen (2021) IoTranx: Transactions for Safer Smart Spaces. ACM Trans. Cyber-Phys. Syst.</t>
  </si>
  <si>
    <t>Using traffic phase shifting to improve AFDX link utilization</t>
  </si>
  <si>
    <t>Mancuso (2015) Using traffic phase shifting to improve AFDX link utilization. Proceedings of the 12th International Conference on Embedded Software</t>
  </si>
  <si>
    <t>Proceedings of the 12th International Conference on Embedded Software</t>
  </si>
  <si>
    <t>REPAIRS: Gaussian Mixture Model-based Completion and Optimization of Partially Specified Systems</t>
  </si>
  <si>
    <t>Terway (2023) REPAIRS: Gaussian Mixture Model-based Completion and Optimization of Partially Specified Systems. ACM Trans. Embed. Comput. Syst.</t>
  </si>
  <si>
    <t>Exploiting cache conflicts to reduce radiation sensitivity of operating systems on embedded systems</t>
  </si>
  <si>
    <t>Santini (2015) Exploiting cache conflicts to reduce radiation sensitivity of operating systems on embedded systems. Proceedings of the 2015 International Conference on Compilers, Architecture and Synthesis for Embedded Systems</t>
  </si>
  <si>
    <t>Proceedings of the 2015 International Conference on Compilers, Architecture and Synthesis for Embedded Systems</t>
  </si>
  <si>
    <t>Finding 709 Defects in 258 Projects: An Experience Report on Applying CodeQL to Open-Source Embedded Software (Experience Paper)</t>
  </si>
  <si>
    <t>Shen (2025) Finding 709 Defects in 258 Projects: An Experience Report on Applying CodeQL to Open-Source Embedded Software (Experience Paper). Proc. ACM Softw. Eng.</t>
  </si>
  <si>
    <t>Proc. ACM Softw. Eng.</t>
  </si>
  <si>
    <t>Integrated systems engineering and software requirements engineering for technical systems</t>
  </si>
  <si>
    <t>Holtmann (2015) Integrated systems engineering and software requirements engineering for technical systems. Proceedings of the 2015 International Conference on Software and System Process</t>
  </si>
  <si>
    <t>Proceedings of the 2015 International Conference on Software and System Process</t>
  </si>
  <si>
    <t>Early Reliability Assessment of AI-based Automotive Systems</t>
  </si>
  <si>
    <t>Hegde (2025) Early Reliability Assessment of AI-based Automotive Systems. ACM Trans. Internet Things</t>
  </si>
  <si>
    <t>ACM Trans. Internet Things</t>
  </si>
  <si>
    <t>Leveraging hardware-dependent knowledge extraction with multiple program analysis techniques</t>
  </si>
  <si>
    <t>Nguyen (2022) Leveraging hardware-dependent knowledge extraction with multiple program analysis techniques. Proceedings of the 37th ACM/SIGAPP Symposium on Applied Computing</t>
  </si>
  <si>
    <t>Proceedings of the 37th ACM/SIGAPP Symposium on Applied Computing</t>
  </si>
  <si>
    <t>Workshop Report on Generative AI-based Software Engineering</t>
  </si>
  <si>
    <t>Naik (2024) Workshop Report on Generative AI-based Software Engineering. Proceedings of the 17th Innovations in Software Engineering Conference</t>
  </si>
  <si>
    <t>Proceedings of the 17th Innovations in Software Engineering Conference</t>
  </si>
  <si>
    <t>In memory of Oded Maler: automatic reachability analysis of hybrid-state automata</t>
  </si>
  <si>
    <t>Fr\"anzle (2019) In memory of Oded Maler: automatic reachability analysis of hybrid-state automata. ACM SIGLOG News</t>
  </si>
  <si>
    <t>ACM SIGLOG News</t>
  </si>
  <si>
    <t>Practices in Model Component Reuse for Efficient Dependability Analysis</t>
  </si>
  <si>
    <t>Machida (2019) Practices in Model Component Reuse for Efficient Dependability Analysis. Companion of the 2019 ACM/SPEC International Conference on Performance Engineering</t>
  </si>
  <si>
    <t>Companion of the 2019 ACM/SPEC International Conference on Performance Engineering</t>
  </si>
  <si>
    <t>Quality Evaluation of Self-Adaptive Systems: Challenges and Opportunities</t>
  </si>
  <si>
    <t>de Sousa (2019) Quality Evaluation of Self-Adaptive Systems: Challenges and Opportunities. Proceedings of the XXXIII Brazilian Symposium on Software Engineering</t>
  </si>
  <si>
    <t>Proceedings of the XXXIII Brazilian Symposium on Software Engineering</t>
  </si>
  <si>
    <t>Self-aware Cyber-Physical Systems</t>
  </si>
  <si>
    <t>Bellman (2020) Self-aware Cyber-Physical Systems. ACM Trans. Cyber-Phys. Syst.</t>
  </si>
  <si>
    <t>Lessons Learned from Developing a Sustainability Awareness Framework for Software Engineering Using Design Science</t>
  </si>
  <si>
    <t>Betz (2024) Lessons Learned from Developing a Sustainability Awareness Framework for Software Engineering Using Design Science. ACM Trans. Softw. Eng. Methodol.</t>
  </si>
  <si>
    <t>Is Fault Localization Effective on Industrial Software? A Case Study on Computer-Aided Engineering Projects</t>
  </si>
  <si>
    <t>Ren (2025) Is Fault Localization Effective on Industrial Software? A Case Study on Computer-Aided Engineering Projects. ACM Trans. Softw. Eng. Methodol.</t>
  </si>
  <si>
    <t>A safety and security architecture for reducing accidents in intelligent transportation systems</t>
  </si>
  <si>
    <t>Chen (2018) A safety and security architecture for reducing accidents in intelligent transportation systems. Proceedings of the International Conference on Computer-Aided Design</t>
  </si>
  <si>
    <t>Proceedings of the International Conference on Computer-Aided Design</t>
  </si>
  <si>
    <t>Understanding Credibility of Adversarial Examples against Smart Grid: A Case Study for Voltage Stability Assessment</t>
  </si>
  <si>
    <t>Song (2021) Understanding Credibility of Adversarial Examples against Smart Grid: A Case Study for Voltage Stability Assessment. Proceedings of the Twelfth ACM International Conference on Future Energy Systems</t>
  </si>
  <si>
    <t>Proceedings of the Twelfth ACM International Conference on Future Energy Systems</t>
  </si>
  <si>
    <t>Eliminating Inter-Domain Vulnerabilities in Cyber-Physical Systems: An Analysis Contracts Approach</t>
  </si>
  <si>
    <t>Ruchkin (2015) Eliminating Inter-Domain Vulnerabilities in Cyber-Physical Systems: An Analysis Contracts Approach. Proceedings of the First ACM Workshop on Cyber-Physical Systems-Security and/or PrivaCy</t>
  </si>
  <si>
    <t>Proceedings of the First ACM Workshop on Cyber-Physical Systems-Security and/or PrivaCy</t>
  </si>
  <si>
    <t>Evolving Needs in IoT Control and Accountability: A Longitudinal Study on Smart Home Intelligibility</t>
  </si>
  <si>
    <t>Jakobi (2018) Evolving Needs in IoT Control and Accountability: A Longitudinal Study on Smart Home Intelligibility. Proc. ACM Interact. Mob. Wearable Ubiquitous Technol.</t>
  </si>
  <si>
    <t>Proc. ACM Interact. Mob. Wearable Ubiquitous Technol.</t>
  </si>
  <si>
    <t>A learning approach to enhance assurances for real-time self-adaptive systems</t>
  </si>
  <si>
    <t>Rodrigues (2018) A learning approach to enhance assurances for real-time self-adaptive systems. Proceedings of the 13th International Conference on Software Engineering for Adaptive and Self-Managing Systems</t>
  </si>
  <si>
    <t>Proceedings of the 13th International Conference on Software Engineering for Adaptive and Self-Managing Systems</t>
  </si>
  <si>
    <t>SMT-Based Context-Bounded Model Checking for Embedded Systems: Challenges and Future Trends</t>
  </si>
  <si>
    <t>Cordeiro (2016) SMT-Based Context-Bounded Model Checking for Embedded Systems: Challenges and Future Trends. SIGSOFT Softw. Eng. Notes</t>
  </si>
  <si>
    <t>SMT-Based Observer Design for Cyber-Physical Systems under Sensor Attacks</t>
  </si>
  <si>
    <t>Shoukry (2018) SMT-Based Observer Design for Cyber-Physical Systems under Sensor Attacks. ACM Trans. Cyber-Phys. Syst.</t>
  </si>
  <si>
    <t>Online robustness testing of distributed embedded systems: an industrial approach</t>
  </si>
  <si>
    <t>Alnawasreh (2017) Online robustness testing of distributed embedded systems: an industrial approach. Proceedings of the 39th International Conference on Software Engineering: Software Engineering in Practice Track</t>
  </si>
  <si>
    <t>Proceedings of the 39th International Conference on Software Engineering: Software Engineering in Practice Track</t>
  </si>
  <si>
    <t>Automatically Generating SystemC Code from HCSP Formal Models</t>
  </si>
  <si>
    <t>Yan (2020) Automatically Generating SystemC Code from HCSP Formal Models. ACM Trans. Softw. Eng. Methodol.</t>
  </si>
  <si>
    <t>Switching and Data Injection Attacks on Stochastic Cyber-Physical Systems: Modeling, Resilient Estimation, and Attack Mitigation</t>
  </si>
  <si>
    <t>Yong (2018) Switching and Data Injection Attacks on Stochastic Cyber-Physical Systems: Modeling, Resilient Estimation, and Attack Mitigation. ACM Trans. Cyber-Phys. Syst.</t>
  </si>
  <si>
    <t>Embedded multimodal interfaces in robotics: applications, future trends, and societal implications</t>
  </si>
  <si>
    <t>Kirchner (2019) Embedded multimodal interfaces in robotics: applications, future trends, and societal implications. The Handbook of Multimodal-Multisensor Interfaces: Language Processing, Software, Commercialization, and Emerging Directions</t>
  </si>
  <si>
    <t>The Handbook of Multimodal-Multisensor Interfaces: Language Processing, Software, Commercialization, and Emerging Directions</t>
  </si>
  <si>
    <t>Easy modelling and verification of unpredictable and preemptive interrupt-driven systems</t>
  </si>
  <si>
    <t>Pan (2019) Easy modelling and verification of unpredictable and preemptive interrupt-driven systems. Proceedings of the 41st International Conference on Software Engineering</t>
  </si>
  <si>
    <t>Proceedings of the 41st International Conference on Software Engineering</t>
  </si>
  <si>
    <t>Self-healing robust neural networks via closed-loop control</t>
  </si>
  <si>
    <t>Chen (2022) Self-healing robust neural networks via closed-loop control. J. Mach. Learn. Res.</t>
  </si>
  <si>
    <t>J. Mach. Learn. Res.</t>
  </si>
  <si>
    <t>Building Power Consumption Models from Executable Timed I/O Automata Specifications</t>
  </si>
  <si>
    <t>Barbot (2016) Building Power Consumption Models from Executable Timed I/O Automata Specifications. Proceedings of the 19th International Conference on Hybrid Systems: Computation and Control</t>
  </si>
  <si>
    <t>Proceedings of the 19th International Conference on Hybrid Systems: Computation and Control</t>
  </si>
  <si>
    <t>Formal interpretation of cyber-physical system performance with temporal logic</t>
  </si>
  <si>
    <t>Chen, G., Sabato, Z., Kong, Z. (2018) Formal interpretation of cyber-physical system performance with temporal logic. Cyber-Physical Systems. 4(3) pp. 175-203 DOI: 10.1080/23335777.2018.1510857</t>
  </si>
  <si>
    <t>Cyber-Physical Systems</t>
  </si>
  <si>
    <t>Review of battery powered embedded systems design for mission-critical low-power applications</t>
  </si>
  <si>
    <t>Malewski, M., Cowell, D.M.J., Freear, S. (2018) Review of battery powered embedded systems design for mission-critical low-power applications. International Journal of Electronics. 105(6) pp. 893-909 DOI: 10.1080/00207217.2017.1409813</t>
  </si>
  <si>
    <t>International Journal of Electronics</t>
  </si>
  <si>
    <t>Analyzing execution path non-determinism of the Linux kernel in different scenarios</t>
  </si>
  <si>
    <t>Chen, Y., Tang, X., Xu, S., Zhu, F., Zhou, Q., Weng, T. (2023) Analyzing execution path non-determinism of the Linux kernel in different scenarios. Connection Science. 35(1) pp. 2192442 DOI: 10.1080/09540091.2023.2192442</t>
  </si>
  <si>
    <t>Connection Science</t>
  </si>
  <si>
    <t>Micro-credential for Industry 4.0: engineering safety and reliability with integrated machine learning and soft skills</t>
  </si>
  <si>
    <t>Abdullah, N.F., Heidary, S., Zulkifli, I.H., Abu-Samah, A., Ibrahim, R., Subhi, N., Nordin, R., Behjati, M., Zennaro, M. (2026) Micro-credential for Industry 4.0: engineering safety and reliability with integrated machine learning and soft skills. Cogent Education. 13(1) pp. 2598923 DOI: 10.1080/2331186X.2025.2598923</t>
  </si>
  <si>
    <t>Cogent Education</t>
  </si>
  <si>
    <t>Emergent behavior in the battle management system</t>
  </si>
  <si>
    <t>Seizovic, A., Thorpe, D., Goh, S. (2022) Emergent behavior in the battle management system. Applied Artificial Intelligence. 36(1) pp. 2151183 DOI: 10.1080/08839514.2022.2151183</t>
  </si>
  <si>
    <t>Applied Artificial Intelligence</t>
  </si>
  <si>
    <t>Probabilistic modeling of hardware and software interactions for system reliability assessment</t>
  </si>
  <si>
    <t>Davila-Frias, A., Yodo, N., Yadav, O.P., Khumprom, P. (2024) Probabilistic modeling of hardware and software interactions for system reliability assessment. Quality Engineering. 36(1) pp. 131-149 DOI: 10.1080/08982112.2023.2274563</t>
  </si>
  <si>
    <t>Quality Engineering</t>
  </si>
  <si>
    <t>Trends in preparing cyber-physical systems engineers</t>
  </si>
  <si>
    <t>Lieu Tran, T.B., Törngren, M., Nguyen, H.D., Paulen, R., Gleason, N.W., Duong, T.H. (2019) Trends in preparing cyber-physical systems engineers. Cyber-Physical Systems. 5(2) pp. 65-91 DOI: 10.1080/23335777.2019.1600034</t>
  </si>
  <si>
    <t>Big data analytics and big data science: a survey</t>
  </si>
  <si>
    <t>Chen, Y., Chen, H., Gorkhali, A., Lu, Y., Ma, Y., Li, L. (2016) Big data analytics and big data science: a survey. Journal of Management Analytics. 3(1) pp. 1-42 DOI: 10.1080/23270012.2016.1141332</t>
  </si>
  <si>
    <t>Journal of Management Analytics</t>
  </si>
  <si>
    <t>Nazari, A., Thiruvady, D., Aleti, A., Moser, I. (2016) A mixed integer linear programming model for reliability optimisation in the component deployment problem. Journal of the Operational Research Society. 67(8) pp. 1050-1060 DOI: 10.1057/jors.2015.119</t>
  </si>
  <si>
    <t>TDCS: a new scheduling framework for real-time multimedia OS</t>
  </si>
  <si>
    <t>Hu, W., Ma, T., Wang, Y., Xu, F., Reiss, J. (2020) TDCS: a new scheduling framework for real-time multimedia OS. International Journal of Parallel, Emergent and Distributed Systems. 35(3) pp. 396-411 DOI: 10.1080/17445760.2018.1539717</t>
  </si>
  <si>
    <t>International Journal of Parallel, Emergent and Distributed Systems</t>
  </si>
  <si>
    <t>Adversarial waypoint injection attacks on Maritime Autonomous Surface Ships (MASS) collision avoidance systems</t>
  </si>
  <si>
    <t>Longo, G., Martelli, M., Russo, E., Merlo, A., Zaccone, R. (2024) Adversarial waypoint injection attacks on Maritime Autonomous Surface Ships (MASS) collision avoidance systems. Journal of Marine Engineering &amp; Technology. 23(3) pp. 184-195 DOI: 10.1080/20464177.2023.2298521</t>
  </si>
  <si>
    <t>Journal of Marine Engineering &amp; Technology</t>
  </si>
  <si>
    <t>Detection of interferences in an additive manufacturing process: an experimental study integrating methods of feature selection and machine learning</t>
  </si>
  <si>
    <t>Stanisavljevic, D., Cemernek, D., Gursch, H., Urak, G., Lechner, G. (2020) Detection of interferences in an additive manufacturing process: an experimental study integrating methods of feature selection and machine learning. International Journal of Production Research. 58(9) pp. 2862-2884 DOI: 10.1080/00207543.2019.1694719</t>
  </si>
  <si>
    <t>International Journal of Production Research</t>
  </si>
  <si>
    <t>What Determines AI Adoption in Companies? Mixed-Method Evidence</t>
  </si>
  <si>
    <t>Polisetty, A., Chakraborty, D., G, S., Kar, A.K., Pahari, S. (2024) What Determines AI Adoption in Companies? Mixed-Method Evidence. Journal of Computer Information Systems. 64(3) pp. 370-387 DOI: 10.1080/08874417.2023.2219668</t>
  </si>
  <si>
    <t>Journal of Computer Information Systems</t>
  </si>
  <si>
    <t>A meta-learning framework for cross-domain order scheduling in intelligent warehouses</t>
  </si>
  <si>
    <t>Zhang, H., Chen, J., Ren, J., Zhao, Y., Wang, Y., Chen, J., Gao, B. (2025) A meta-learning framework for cross-domain order scheduling in intelligent warehouses. International Journal of Production Research. pp. 1-22 DOI: 10.1080/00207543.2025.2581853</t>
  </si>
  <si>
    <t>Explainable AI for Security of Human-Interactive Robots</t>
  </si>
  <si>
    <t>Roque, A., Damodaran, S.K. (2022) Explainable AI for Security of Human-Interactive Robots. International Journal of Human–Computer Interaction. 38(18-20) pp. 1789-1807 DOI: 10.1080/10447318.2022.2066246</t>
  </si>
  <si>
    <t>International Journal of Human–Computer Interaction</t>
  </si>
  <si>
    <t>Smart logistics nodes: concept and classification</t>
  </si>
  <si>
    <t>Brunetti, M., Mes, M., Lalla-Ruiz, E. (2024) Smart logistics nodes: concept and classification. International Journal of Logistics Research and Applications. 27(11) pp. 1984-2020 DOI: 10.1080/13675567.2024.2327394</t>
  </si>
  <si>
    <t>International Journal of Logistics Research and Applications</t>
  </si>
  <si>
    <t>AI-Based Autonomous Sailboat Navigation: A Review</t>
  </si>
  <si>
    <t>Mankina, V., Araújo, A.P.D., Guerra, R., Clua, E.W.G., Cernicchiaro, C., Gonçalves, L.M.G., Distante, C. (2025) AI-Based Autonomous Sailboat Navigation: A Review. Journal of Field Robotics. 42(8) pp. 4157-4180 DOI: https://doi.org/10.1002/rob.70004</t>
  </si>
  <si>
    <t>Journal of Field Robotics</t>
  </si>
  <si>
    <t>Abstracts</t>
  </si>
  <si>
    <t>(2021) Abstracts. Basic &amp; Clinical Pharmacology &amp; Toxicology. 128(S1) pp. 3-246 DOI: https://doi.org/10.1111/bcpt.13542</t>
  </si>
  <si>
    <t>Basic &amp; Clinical Pharmacology &amp; Toxicology</t>
  </si>
  <si>
    <t>Execution time analysis and optimisation techniques in the model-based development of a flight control software</t>
  </si>
  <si>
    <t>Nürnberger, K., Hochstrasser, M., Holzapfel, F. (2017) Execution time analysis and optimisation techniques in the model-based development of a flight control software. IET Cyber-Physical Systems: Theory &amp; Applications. 2(2) pp. 57-64 DOI: https://doi.org/10.1049/iet-cps.2016.0046</t>
  </si>
  <si>
    <t>IET Cyber-Physical Systems: Theory &amp; Applications</t>
  </si>
  <si>
    <t>Role of reinforcement learning for risk-based robust control of cyber-physical energy systems</t>
  </si>
  <si>
    <t>Du, Y., Chatterjee, S., Bhattacharya, A., Dutta, A., Halappanavar, M. (2023) Role of reinforcement learning for risk-based robust control of cyber-physical energy systems. Risk Analysis. 43(11) pp. 2280-2297 DOI: https://doi.org/10.1111/risa.14104</t>
  </si>
  <si>
    <t>Risk Analysis</t>
  </si>
  <si>
    <t>Assessing the Usefulness of Assurance Cases: Experience With the Large Hadron Collider</t>
  </si>
  <si>
    <t>Viger, T., Joyce, J., Diemert, S., Menghi, C., Chechik, M., Uythoven, J., Zerlauth, M., Felsberger, L. (2025) Assessing the Usefulness of Assurance Cases: Experience With the Large Hadron Collider. Systems Engineering. n/a(n/a) pp. e70010 DOI: https://doi.org/10.1002/sys.70010</t>
  </si>
  <si>
    <t>Systems Engineering</t>
  </si>
  <si>
    <t>Accelerating the Battery Revolution: AI-Driven Multiscale Innovation From Material Discovery to Smart Manufacturing</t>
  </si>
  <si>
    <t>Li, Y., Wu, C., Wang, Y., Li, N., Liu, T., Lu, J. (2025) Accelerating the Battery Revolution: AI-Driven Multiscale Innovation From Material Discovery to Smart Manufacturing. Advanced Functional Materials. n/a(n/a) pp. e14830 DOI: https://doi.org/10.1002/adfm.202514830</t>
  </si>
  <si>
    <t>Advanced Functional Materials</t>
  </si>
  <si>
    <t>Survey on automated symbolic verification and its application for synthesising cyber-physical systems</t>
  </si>
  <si>
    <t>Cordeiro, L.C., de Lima Filho, E.B., Bessa, I.V. (2020) Survey on automated symbolic verification and its application for synthesising cyber-physical systems. IET Cyber-Physical Systems: Theory &amp; Applications. 5(1) pp. 1-24 DOI: https://doi.org/10.1049/iet-cps.2018.5006</t>
  </si>
  <si>
    <t>Autonomous Vehicles and Intelligent Automation: Applications, Challenges, and Opportunities</t>
  </si>
  <si>
    <t>Bathla, G., Bhadane, K., Singh, R.K., Kumar, R., Aluvalu, R., Krishnamurthi, R., Kumar, A., Thakur, R.N., Basheer, S. (2022) Autonomous Vehicles and Intelligent Automation: Applications, Challenges, and Opportunities. Mobile Information Systems. 2022(1) pp. 7632892 DOI: https://doi.org/10.1155/2022/7632892</t>
  </si>
  <si>
    <t>Mobile Information Systems</t>
  </si>
  <si>
    <t>Issue Information</t>
  </si>
  <si>
    <t>(2024) Issue Information. Quality and Reliability Engineering International. 40(5) DOI: https://doi.org/10.1002/qre.3373</t>
  </si>
  <si>
    <t>Quality and Reliability Engineering International</t>
  </si>
  <si>
    <t>Toolchain-based approach to handling variability in embedded multiprocessor system on chips</t>
  </si>
  <si>
    <t>Gray, I., Plumbridge, G., Audsley, N.C. (2015) Toolchain-based approach to handling variability in embedded multiprocessor system on chips. IET Computers &amp; Digital Techniques. 9(1) pp. 82-92 DOI: https://doi.org/10.1049/iet-cdt.2014.0070</t>
  </si>
  <si>
    <t>IET Computers &amp; Digital Techniques</t>
  </si>
  <si>
    <t>Inaugural Editorial</t>
  </si>
  <si>
    <t>Hu, S., Zomaya, A.Y. (2016) Inaugural Editorial. IET Cyber-Physical Systems: Theory &amp; Applications. 1(1) pp. 1-2 DOI: https://doi.org/10.1049/iet-cps.2016.0029</t>
  </si>
  <si>
    <t>Calibration-Free Chemical Process and Quality Control Units as Enablers for Modular Production</t>
  </si>
  <si>
    <t>Bornemann-Pfeiffer, M., Kern, S., Maiwald, M., Meyer, K. (2021) Calibration-Free Chemical Process and Quality Control Units as Enablers for Modular Production. Chemie Ingenieur Technik. 93(1-2) pp. 62-70 DOI: https://doi.org/10.1002/cite.202000150</t>
  </si>
  <si>
    <t>Chemie Ingenieur Technik</t>
  </si>
  <si>
    <t>Language evolution and healthiness for critical cyber-physical systems</t>
  </si>
  <si>
    <t>Banach, R., Zhu, H. (2021) Language evolution and healthiness for critical cyber-physical systems. Journal of Software: Evolution and Process. 33(9) pp. e2301 DOI: https://doi.org/10.1002/smr.2301</t>
  </si>
  <si>
    <t>Journal of Software: Evolution and Process</t>
  </si>
  <si>
    <t>Controller area network reliability: overview of design challenges and safety related perspectives of future transportation systems</t>
  </si>
  <si>
    <t>Ben Lakhal, N.M., Nasri, O., Adouane, L., Hadj Slama, J.B. (2020) Controller area network reliability: overview of design challenges and safety related perspectives of future transportation systems. IET Intelligent Transport Systems. 14(13) pp. 1727-1739 DOI: https://doi.org/10.1049/iet-its.2019.0565</t>
  </si>
  <si>
    <t>IET Intelligent Transport Systems</t>
  </si>
  <si>
    <t>Configuration Testing of an Artificial Pancreas System Using a Digital Twin: An Evaluative Case Study</t>
  </si>
  <si>
    <t>Somers, R., Walkinshaw, N., Mark Hierons, R., Elliott, J., Iqbal, A., Walkinshaw, E. (2025) Configuration Testing of an Artificial Pancreas System Using a Digital Twin: An Evaluative Case Study. Software Testing, Verification and Reliability. 35(2) pp. e70000 DOI: https://doi.org/10.1002/stvr.70000</t>
  </si>
  <si>
    <t>Software Testing, Verification and Reliability</t>
  </si>
  <si>
    <t>A Modular Dynamic Probabilistic Risk Assessment Framework for Electric Grid Cybersecurity</t>
  </si>
  <si>
    <t>Diao, X., Zhao, Y., Li, R., Chakhchoukh, Y., Johnson, B., Le Blanc, K., Smidts, C. (2025) A Modular Dynamic Probabilistic Risk Assessment Framework for Electric Grid Cybersecurity. Engineering Reports. 7(10) pp. e70377 DOI: https://doi.org/10.1002/eng2.70377</t>
  </si>
  <si>
    <t>Engineering Reports</t>
  </si>
  <si>
    <t>Crowd intelligence for sustainable futuristic intelligent transportation system: a review</t>
  </si>
  <si>
    <t>Chandra Shit, R. (2020) Crowd intelligence for sustainable futuristic intelligent transportation system: a review. IET Intelligent Transport Systems. 14(6) pp. 480-494 DOI: https://doi.org/10.1049/iet-its.2019.0321</t>
  </si>
  <si>
    <t>Table-based formal specification approaches for control engineers—empirical studies of usability</t>
  </si>
  <si>
    <t>Cha, S., Vogel-Heuser, B., Weigl, A., Ulbrich, M., Beckert, B. (2021) Table-based formal specification approaches for control engineers—empirical studies of usability. IET Cyber-Physical Systems: Theory &amp; Applications. 6(4) pp. 193-207 DOI: https://doi.org/10.1049/cps2.12017</t>
  </si>
  <si>
    <t>Mobility and energy prediction models: Approach toward effective route management in mobile wireless sensor networks</t>
  </si>
  <si>
    <t>Olakanmi, O.O., Odeyemi, K.O., Abbas, A. (2020) Mobility and energy prediction models: Approach toward effective route management in mobile wireless sensor networks. Engineering Reports. 2(3) pp. e12095 DOI: https://doi.org/10.1002/eng2.12095</t>
  </si>
  <si>
    <t>Teaching C++ programming using automated unit testing and test-driven development—Design and efficacy study</t>
  </si>
  <si>
    <t>Sheikh, W. (2022) Teaching C++ programming using automated unit testing and test-driven development—Design and efficacy study. Computer Applications in Engineering Education. 30(3) pp. 821-851 DOI: https://doi.org/10.1002/cae.22488</t>
  </si>
  <si>
    <t>Computer Applications in Engineering Education</t>
  </si>
  <si>
    <t>[Retracted] An Individual Driving Behavior Portrait Approach for Professional Driver of HDVs with Naturalistic Driving Data</t>
  </si>
  <si>
    <t>He, Y., Yang, S., Zhou, X., Lu, X. (2022) [Retracted] An Individual Driving Behavior Portrait Approach for Professional Driver of HDVs with Naturalistic Driving Data. Computational Intelligence and Neuroscience. 2022(1) pp. 3970571 DOI: https://doi.org/10.1155/2022/3970571</t>
  </si>
  <si>
    <t>Computational Intelligence and Neuroscience</t>
  </si>
  <si>
    <t>Passive Wireless Sensor Network-Based In-Transit Health Status Monitoring for Railway Transportation</t>
  </si>
  <si>
    <t>Wei, J., Song, Y. (2021) Passive Wireless Sensor Network-Based In-Transit Health Status Monitoring for Railway Transportation. Journal of Sensors. 2021(1) pp. 3789699 DOI: https://doi.org/10.1155/2021/3789699</t>
  </si>
  <si>
    <t>Journal of Sensors</t>
  </si>
  <si>
    <t>A zonotopic characterization of cyber-physical system vulnerabilities</t>
  </si>
  <si>
    <t>Li, J., Wang, Z., Shen, Y., Xie, L. (2022) A zonotopic characterization of cyber-physical system vulnerabilities. International Journal of Robust and Nonlinear Control. 32(9) pp. 5379-5397 DOI: https://doi.org/10.1002/rnc.6091</t>
  </si>
  <si>
    <t>International Journal of Robust and Nonlinear Control</t>
  </si>
  <si>
    <t>Reliability of safety-critical systems: A state-of-the-art review</t>
  </si>
  <si>
    <t>Maurya, A., Kumar, D. (2020) Reliability of safety-critical systems: A state-of-the-art review. Quality and Reliability Engineering International. 36(7) pp. 2547-2568 DOI: https://doi.org/10.1002/qre.2715</t>
  </si>
  <si>
    <t>Safety analysis of safety-critical systems for their applicability on NPP systems: A state-of-the-art review</t>
  </si>
  <si>
    <t>Kumar, V., Maurya, A.K., Singh, K.V., Singh, L.K., Singh, P., Hati, A.N., Singh, V.P. (2021) Safety analysis of safety-critical systems for their applicability on NPP systems: A state-of-the-art review. Quality and Reliability Engineering International. 37(5) pp. 1796-1831 DOI: https://doi.org/10.1002/qre.2828</t>
  </si>
  <si>
    <t>Survey on test case generation, selection and prioritization for cyber-physical systems</t>
  </si>
  <si>
    <t>Sadri-Moshkenani, Z., Bradley, J., Rothermel, G. (2022) Survey on test case generation, selection and prioritization for cyber-physical systems. Software Testing, Verification and Reliability. 32(1) pp. e1794 DOI: https://doi.org/10.1002/stvr.1794</t>
  </si>
  <si>
    <t>Suitability analysis of software reliability models for its applicability on NPP systems</t>
  </si>
  <si>
    <t>Kumar, P., Singh, L.K., Kumar, C. (2018) Suitability analysis of software reliability models for its applicability on NPP systems. Quality and Reliability Engineering International. 34(8) pp. 1491-1509 DOI: https://doi.org/10.1002/qre.2315</t>
  </si>
  <si>
    <t>Towards a framework of enforcing resilient operation of cyber-physical systems with unknown dynamics</t>
  </si>
  <si>
    <t>Nguyen, L., Gupta, V. (2021) Towards a framework of enforcing resilient operation of cyber-physical systems with unknown dynamics. IET Cyber-Physical Systems: Theory &amp; Applications. 6(3) pp. 125-138 DOI: https://doi.org/10.1049/cps2.12009</t>
  </si>
  <si>
    <t>A comprehensive survey of UPPAAL-assisted formal modeling and verification</t>
  </si>
  <si>
    <t>Zhou, W., Zhao, Y., Zhang, Y., Wang, Y., Yin, M. (2025) A comprehensive survey of UPPAAL-assisted formal modeling and verification. Software: Practice and Experience. 55(2) pp. 272-297 DOI: https://doi.org/10.1002/spe.3372</t>
  </si>
  <si>
    <t>Software: Practice and Experience</t>
  </si>
  <si>
    <t>Resilient architecture for network and control co-design under wireless channel uncertainty in cyber-physical systems</t>
  </si>
  <si>
    <t>Kim, D., Won, Y., Eun, Y., Park, K. (2019) Resilient architecture for network and control co-design under wireless channel uncertainty in cyber-physical systems. Transactions on Emerging Telecommunications Technologies. 30(4) pp. e3499 DOI: https://doi.org/10.1002/ett.3499</t>
  </si>
  <si>
    <t>Transactions on Emerging Telecommunications Technologies</t>
  </si>
  <si>
    <t>Safety and security risks management process for cyber-physical systems: A case study</t>
  </si>
  <si>
    <t>Inayat, I., Farooq, M., Inayat, Z. (2023) Safety and security risks management process for cyber-physical systems: A case study. Journal of Software: Evolution and Process. 35(7) pp. e2482 DOI: https://doi.org/10.1002/smr.2482</t>
  </si>
  <si>
    <t>Dependability-aware routing and scheduling for Time-Sensitive Networking</t>
  </si>
  <si>
    <t>Reusch, N., Craciunas, S.S., Pop, P. (2022) Dependability-aware routing and scheduling for Time-Sensitive Networking. IET Cyber-Physical Systems: Theory &amp; Applications. 7(3) pp. 124-146 DOI: https://doi.org/10.1049/cps2.12030</t>
  </si>
  <si>
    <t>Safety and security risk assessment in cyber-physical systems</t>
  </si>
  <si>
    <t>Lyu, X., Ding, Y., Yang, S. (2019) Safety and security risk assessment in cyber-physical systems. IET Cyber-Physical Systems: Theory &amp; Applications. 4(3) pp. 221-232 DOI: https://doi.org/10.1049/iet-cps.2018.5068</t>
  </si>
  <si>
    <t>Model inspections in the engineering of collaborative cyber-physical systems with instance-level review diagrams</t>
  </si>
  <si>
    <t>Daun, M., Brings, J., Weyer, T. (2023) Model inspections in the engineering of collaborative cyber-physical systems with instance-level review diagrams. Journal of Software: Evolution and Process. 35(5) pp. e2392 DOI: https://doi.org/10.1002/smr.2392</t>
  </si>
  <si>
    <t>Unmanned aircraft flight control aided by phased-array radio navigation</t>
  </si>
  <si>
    <t>Gryte, K., Bryne, T.H., Johansen, T.A. (2021) Unmanned aircraft flight control aided by phased-array radio navigation. Journal of Field Robotics. 38(4) pp. 532-551 DOI: https://doi.org/10.1002/rob.22002</t>
  </si>
  <si>
    <t>Multiclock Constraint System Modelling and Verification for Ensuring Cooperative Autonomous Driving Safety</t>
  </si>
  <si>
    <t>Wang, J., Huang, Z., Huang, X., Zhu, Y., Wang, F. (2020) Multiclock Constraint System Modelling and Verification for Ensuring Cooperative Autonomous Driving Safety. Journal of Advanced Transportation. 2020(1) pp. 8830752 DOI: https://doi.org/10.1155/2020/8830752</t>
  </si>
  <si>
    <t>Journal of Advanced Transportation</t>
  </si>
  <si>
    <t>Integrated and iterative systems engineering and software requirements engineering for technical systems</t>
  </si>
  <si>
    <t>Holtmann, J., Bernijazov, R., Meyer, M., Schmelter, D., Tschirner, C. (2016) Integrated and iterative systems engineering and software requirements engineering for technical systems. Journal of Software: Evolution and Process. 28(9) pp. 722-743 DOI: https://doi.org/10.1002/smr.1780</t>
  </si>
  <si>
    <t>Reliability analysis of phasor measurement unit incorporating hardware and software interaction failures</t>
  </si>
  <si>
    <t>Roy, D.S., Murthy, C., Mohanta, D.K. (2015) Reliability analysis of phasor measurement unit incorporating hardware and software interaction failures. IET Generation, Transmission &amp; Distribution. 9(2) pp. 164-171 DOI: https://doi.org/10.1049/iet-gtd.2014.0115</t>
  </si>
  <si>
    <t>IET Generation, Transmission &amp; Distribution</t>
  </si>
  <si>
    <t>Modeling and reliability verification of industrial control network protocol based on time state transition matrix</t>
  </si>
  <si>
    <t>Wang, J., Wu, X., Hou, G., Li, P., Gao, A., Chen, Z., Gao, H. (2022) Modeling and reliability verification of industrial control network protocol based on time state transition matrix. International Journal of Communication Systems. 35(9) pp. e5140 DOI: https://doi.org/10.1002/dac.5140</t>
  </si>
  <si>
    <t>International Journal of Communication Systems</t>
  </si>
  <si>
    <t>Security risks in cyber physical systems—A systematic mapping study</t>
  </si>
  <si>
    <t>Zahid, M., Inayat, I., Daneva, M., Mehmood, Z. (2021) Security risks in cyber physical systems—A systematic mapping study. Journal of Software: Evolution and Process. 33(9) pp. e2346 DOI: https://doi.org/10.1002/smr.2346</t>
  </si>
  <si>
    <t>Artificial Intelligence in Wire Arc Additive Manufacturing: A Systematic Review and Patent Landscape Analysis</t>
  </si>
  <si>
    <t>Sitharaj, A., Balasubramanian, A., Sivanraju, R. (2025) Artificial Intelligence in Wire Arc Additive Manufacturing: A Systematic Review and Patent Landscape Analysis. Engineering Reports. 7(12) pp. e70518 DOI: https://doi.org/10.1002/eng2.70518</t>
  </si>
  <si>
    <t>*-Predictable MPSoC execution of real-time control applications using invasive computing</t>
  </si>
  <si>
    <t>Brand, M., Witterauf, M., Sousa, É., Tanase, A., Hannig, F., Teich, J. (2021) *-Predictable MPSoC execution of real-time control applications using invasive computing. Concurrency and Computation: Practice and Experience. 33(14) pp. e5149 DOI: https://doi.org/10.1002/cpe.5149</t>
  </si>
  <si>
    <t>Concurrency and Computation: Practice and Experience</t>
  </si>
  <si>
    <t>Safety-Assured Autonomy for Learning-Enabled Cyber-Physical Systems</t>
  </si>
  <si>
    <t>Wang, Y. (2024) Safety-Assured Autonomy for Learning-Enabled Cyber-Physical Systems. Northwestern University.</t>
  </si>
  <si>
    <t>Northwestern University</t>
  </si>
  <si>
    <t>Unknown</t>
  </si>
  <si>
    <t>Co-Design of Resilient Timing-Constrained Cyber-Physical Systems</t>
  </si>
  <si>
    <t>Liang, H. (2021) Co-Design of Resilient Timing-Constrained Cyber-Physical Systems. Northwestern University.</t>
  </si>
  <si>
    <t>PhD, Michael S. Moore, PhD,“Potential for VICTORY and FACE Alignment–Initial Exploration of Data Interoperability and Standards Compliance/Conformance”</t>
  </si>
  <si>
    <t>Elliott, L., Jenkins, S.P., Yee, H.S. PhD, Michael S. Moore, PhD,“Potential for VICTORY and FACE Alignment–Initial Exploration of Data Interoperability and Standards Compliance/Conformance”. Proceedings of the Ground Vehicle Systems Engineering and Technology Symposium. pp. 13-15</t>
  </si>
  <si>
    <t>Proceedings of the Ground Vehicle Systems Engineering and Technology Symposium</t>
  </si>
  <si>
    <t>The ‘smart cyber-physical systems’ cluster of EU projects</t>
  </si>
  <si>
    <t>Thompson, H. (2016) The ‘smart cyber-physical systems’ cluster of EU projects. Report from the Road2CPS Clustering and Communication Event, 14th April, Vienna, Austria.[Online].</t>
  </si>
  <si>
    <t>Report from the Road2CPS Clustering and Communication Event, 14th April, Vienna, Austria.[Online]</t>
  </si>
  <si>
    <t>Smart cyber-physical systems clustering and communication event synergies</t>
  </si>
  <si>
    <t>Thompson, H. (2016) Smart cyber-physical systems clustering and communication event synergies.</t>
  </si>
  <si>
    <t>Contribution to io-link wireless safety–architecture and system extensions</t>
  </si>
  <si>
    <t>Doebbert, T.R. (2024) Contribution to io-link wireless safety–architecture and system extensions. Universitätsbibliothek der HSU/UniBw H.</t>
  </si>
  <si>
    <t>Universitätsbibliothek der HSU/UniBw H</t>
  </si>
  <si>
    <t>Hardware/Software frameworks for control techniques to support real-time systems and runtime verification</t>
  </si>
  <si>
    <t>Zhang, P. (2021) Hardware/Software frameworks for control techniques to support real-time systems and runtime verification. Iowa State University.</t>
  </si>
  <si>
    <t>Iowa State University</t>
  </si>
  <si>
    <t>Institute for Software-Integrated Systems</t>
  </si>
  <si>
    <t>Sztipanovits, J., Bapty, T., Neema, S., Koutsoukos, X., Scott, J. (2015) Institute for Software-Integrated Systems. ISIS. 15 pp. 102</t>
  </si>
  <si>
    <t>ISIS</t>
  </si>
  <si>
    <t>Evaluating Adaptation Behavior of Adaptive Cruise Control (ACC) in Autonomous Vehicles</t>
  </si>
  <si>
    <t>Liggesmeyer, I.P., Patel, A.R., Haupt, M.S.N.B. (2019) Evaluating Adaptation Behavior of Adaptive Cruise Control (ACC) in Autonomous Vehicles.</t>
  </si>
  <si>
    <t>Mixed-criticality scheduling theory in safety-critical real-time systems</t>
  </si>
  <si>
    <t>Pavic, I. Mixed-criticality scheduling theory in safety-critical real-time systems.</t>
  </si>
  <si>
    <t>Context-aware detection and resolution of data anomalies for semi-autonomous cyber-physical systems</t>
  </si>
  <si>
    <t>Chen, C. (2022) Context-aware detection and resolution of data anomalies for semi-autonomous cyber-physical systems.</t>
  </si>
  <si>
    <t>Analysis and Research on Improving Real-time Performance of Linux Kernel</t>
  </si>
  <si>
    <t>Chun-yue, B. Analysis and Research on Improving Real-time Performance of Linux Kernel.</t>
  </si>
  <si>
    <t>A modeling and simulation framework for analyzing failures in cyber-physical systems for energy applications</t>
  </si>
  <si>
    <t>Wang, W. (2018) A modeling and simulation framework for analyzing failures in cyber-physical systems for energy applications. Politecnico di Milano.</t>
  </si>
  <si>
    <t>Politecnico di Milano</t>
  </si>
  <si>
    <t>A Methodology and Formalism to Handle Timing Uncertainties in Cyber-Physical Systems</t>
  </si>
  <si>
    <t>Mehrabian, M. (2021) A Methodology and Formalism to Handle Timing Uncertainties in Cyber-Physical Systems. Arizona State University.</t>
  </si>
  <si>
    <t>Arizona State University</t>
  </si>
  <si>
    <t>Using Value Engineering to Propel Cyber-Physical Systems Acquisition</t>
  </si>
  <si>
    <t>Schenker, A.R., Guertin, N.H. (2021) Using Value Engineering to Propel Cyber-Physical Systems Acquisition. Naval Engineers Journal. 133(4) pp. 65-75</t>
  </si>
  <si>
    <t>Naval Engineers Journal</t>
  </si>
  <si>
    <t>Methodology for selecting low-cost AUTOSAR tool-chain and its evaluation through a case study</t>
  </si>
  <si>
    <t>Janardhan, J. (2018) Methodology for selecting low-cost AUTOSAR tool-chain and its evaluation through a case study. master’s project, Eindhoven University of Technology, Department of Mathematics and Computer Science, avg.</t>
  </si>
  <si>
    <t>master’s project, Eindhoven University of Technology, Department of Mathematics and Computer Science, avg</t>
  </si>
  <si>
    <t>Reliable software development aided by QEMU simulation</t>
  </si>
  <si>
    <t>Almeida, R.J.M. (2020) Reliable software development aided by QEMU simulation. Universidade do Minho (Portugal).</t>
  </si>
  <si>
    <t>Universidade do Minho (Portugal)</t>
  </si>
  <si>
    <t>Selected Functionalities for Autonomous Intelligent Systems in Public Safety Scenarios</t>
  </si>
  <si>
    <t>Wzorek, M. (2023) Selected Functionalities for Autonomous Intelligent Systems in Public Safety Scenarios. Linkopings Universitet (Sweden).</t>
  </si>
  <si>
    <t>Linkopings Universitet (Sweden)</t>
  </si>
  <si>
    <t>A Link Between Anomaly Detection and Runtime Verification</t>
  </si>
  <si>
    <t>Heermann, H. (2025) A Link Between Anomaly Detection and Runtime Verification. University of Kaiserslautern.</t>
  </si>
  <si>
    <t>University of Kaiserslautern</t>
  </si>
  <si>
    <t>Data-driven cyber-physical systems via real-time stream analytics and machine learning</t>
  </si>
  <si>
    <t>Akkaya, I. (2016) Data-driven cyber-physical systems via real-time stream analytics and machine learning. UC Berkeley.</t>
  </si>
  <si>
    <t>UC Berkeley</t>
  </si>
  <si>
    <t>System-Level Mapping, Analysis, and Management of Real-Time Applications in Many-Core Systems</t>
  </si>
  <si>
    <t>Pourmohseni, B. (2021) System-Level Mapping, Analysis, and Management of Real-Time Applications in Many-Core Systems. Dissertation, Erlangen, Friedrich-Alexander-Universität Erlangen-Nürnberg ….</t>
  </si>
  <si>
    <t>Dissertation, Erlangen, Friedrich-Alexander-Universität Erlangen-Nürnberg …</t>
  </si>
  <si>
    <t>Cross-Abstraction Artifacts to Detect Adverse Manipulation</t>
  </si>
  <si>
    <t>Sandborn, M. (2024) Cross-Abstraction Artifacts to Detect Adverse Manipulation. Vanderbilt University.</t>
  </si>
  <si>
    <t>Vanderbilt University</t>
  </si>
  <si>
    <t>Formal Verification throughout the Development of Robust Systems</t>
  </si>
  <si>
    <t>Thole, N. (2016) Formal Verification throughout the Development of Robust Systems. Universität Bremen.</t>
  </si>
  <si>
    <t>Universität Bremen</t>
  </si>
  <si>
    <t>Falsification of robot safety systems using deep reinforcement learning</t>
  </si>
  <si>
    <t>Andersson, H., Kara, D. (2021) Falsification of robot safety systems using deep reinforcement learning.</t>
  </si>
  <si>
    <t>Transformer-Based Real-Time Terrain Recognition from Proprioceptive Signals in Cross-Domain and Heterogeneous Sensor Settings: Edge-Deployed Off-Road Terrain Recognition for Vehicle Navigation</t>
  </si>
  <si>
    <t>Zheng, P. (2025) Transformer-Based Real-Time Terrain Recognition from Proprioceptive Signals in Cross-Domain and Heterogeneous Sensor Settings: Edge-Deployed Off-Road Terrain Recognition for Vehicle Navigation.</t>
  </si>
  <si>
    <t>RESILIENT BY DESIGN: BUILDING CYBER-PHYSICAL INFRASTRUCTURES TO WITHSTAND ADVERSARIAL AI AND PSYCHOLOGICAL MANIPULATION</t>
  </si>
  <si>
    <t>Blessing Covenant, T.H., George, J. (2023) RESILIENT BY DESIGN: BUILDING CYBER-PHYSICAL INFRASTRUCTURES TO WITHSTAND ADVERSARIAL AI AND PSYCHOLOGICAL MANIPULATION.</t>
  </si>
  <si>
    <t>Code generation for model predictive control of embedded systems</t>
  </si>
  <si>
    <t>Menendez Zometa, J.P. (2017) Code generation for model predictive control of embedded systems. Universitätsbibliothek.</t>
  </si>
  <si>
    <t>Universitätsbibliothek</t>
  </si>
  <si>
    <t>Sensor Data</t>
  </si>
  <si>
    <t>Verma, A., Arya, M.R., Soni, M.S. (2025) Sensor Data. INFINITE RESEARCH.</t>
  </si>
  <si>
    <t>INFINITE RESEARCH</t>
  </si>
  <si>
    <t>An analysis-driven rapid design process for cyber-physical systems</t>
  </si>
  <si>
    <t>Lattmann, Z. (2016) An analysis-driven rapid design process for cyber-physical systems. Vanderbilt University.</t>
  </si>
  <si>
    <t>Attention-based machine perception for intelligent cyber-physical systems</t>
  </si>
  <si>
    <t>Liu, S. (2021) Attention-based machine perception for intelligent cyber-physical systems. University of Illinois at Urbana-Champaign.</t>
  </si>
  <si>
    <t>University of Illinois at Urbana-Champaign</t>
  </si>
  <si>
    <t>Hardware-Level Vulnerabilities and Support for Secure and Safe Cyber-Physical Systems</t>
  </si>
  <si>
    <t>Luo, M. (2023) Hardware-Level Vulnerabilities and Support for Secure and Safe Cyber-Physical Systems. Cornell University.</t>
  </si>
  <si>
    <t>Cornell University</t>
  </si>
  <si>
    <t>Intellectualization of information processing systems for monitoring complex objects and systems</t>
  </si>
  <si>
    <t>Aljarbouh, A., Ahmed, M.S., Vaquera, M., Dirting, B.D. (2022) Intellectualization of information processing systems for monitoring complex objects and systems. Современные инновации, системы и технологии. 2(1) pp. 9-17</t>
  </si>
  <si>
    <t>Современные инновации, системы и технологии</t>
  </si>
  <si>
    <t>A Framework for the TTE-less Railway: An End-to-end Operational Model for Automated Verification, Passenger Safety, and Service Management</t>
  </si>
  <si>
    <t>Majumdar, P. (2025) A Framework for the TTE-less Railway: An End-to-end Operational Model for Automated Verification, Passenger Safety, and Service Management.</t>
  </si>
  <si>
    <t>Object Detection from 2D to 3D</t>
  </si>
  <si>
    <t>Brazil, G. (2021) Object Detection from 2D to 3D. Michigan State University.</t>
  </si>
  <si>
    <t>Michigan State University</t>
  </si>
  <si>
    <t>Model based control of electro-pneumatic actuators</t>
  </si>
  <si>
    <t>Szabó, Á. (2021) Model based control of electro-pneumatic actuators. Budapest University of Technology and Economics (Hungary).</t>
  </si>
  <si>
    <t>Budapest University of Technology and Economics (Hungary)</t>
  </si>
  <si>
    <t>Reduced Order Model-Based Framework for Microsecond Model Updating of Two-Dimensional Structural Systems Using the Local Eigenvalue Modification Procedure</t>
  </si>
  <si>
    <t>Ogunniyi, E.A. (2025) Reduced Order Model-Based Framework for Microsecond Model Updating of Two-Dimensional Structural Systems Using the Local Eigenvalue Modification Procedure. University of South Carolina.</t>
  </si>
  <si>
    <t>University of South Carolina</t>
  </si>
  <si>
    <t>Kernel Concepts and Architecture: Definitive Reference for Developers and Engineers</t>
  </si>
  <si>
    <t>Johnson, R. (2025) Kernel Concepts and Architecture: Definitive Reference for Developers and Engineers. HiTeX Press.</t>
  </si>
  <si>
    <t>HiTeX Press</t>
  </si>
  <si>
    <t>Online optimization in dynamic real-time systems</t>
  </si>
  <si>
    <t>Plassart, S. (2020) Online optimization in dynamic real-time systems. Université Grenoble Alpes [2020-....].</t>
  </si>
  <si>
    <t>Université Grenoble Alpes [2020-....]</t>
  </si>
  <si>
    <t>Off-Campus Crusaders</t>
  </si>
  <si>
    <t>Home-Douglas, P. (2016) Off-Campus Crusaders. ASEE Prism. 25(7) pp. 24</t>
  </si>
  <si>
    <t>ASEE Prism</t>
  </si>
  <si>
    <t>Time-predictable memory hierarchy</t>
  </si>
  <si>
    <t>Chilku, B. (2018) Time-predictable memory hierarchy. Technische Universität Wien.</t>
  </si>
  <si>
    <t>Technische Universität Wien</t>
  </si>
  <si>
    <t>Machine learning-based modeling and control of underactuated balance robots</t>
  </si>
  <si>
    <t>Han, F. (2024) Machine learning-based modeling and control of underactuated balance robots. Rutgers The State University of New Jersey, School of Graduate Studies.</t>
  </si>
  <si>
    <t>Rutgers The State University of New Jersey, School of Graduate Studies</t>
  </si>
  <si>
    <t>Decomposed reachability analysis for discrete linear systems</t>
  </si>
  <si>
    <t>Schipper, M. (2019) Decomposed reachability analysis for discrete linear systems. University of Twente.</t>
  </si>
  <si>
    <t>University of Twente</t>
  </si>
  <si>
    <t>Efficient Control Approaches for Guaranteed Frequency Performance in Power Systems</t>
  </si>
  <si>
    <t>Morovati, S. (2022) Efficient Control Approaches for Guaranteed Frequency Performance in Power Systems.</t>
  </si>
  <si>
    <t>Defending Pressurized Water Reactors Against Stealthy Cyber Attacks</t>
  </si>
  <si>
    <t>Farber, J.A.K. (2021) Defending Pressurized Water Reactors Against Stealthy Cyber Attacks. University of Pittsburgh.</t>
  </si>
  <si>
    <t>University of Pittsburgh</t>
  </si>
  <si>
    <t>ETSIT DE TELECOMUNICACIONES</t>
  </si>
  <si>
    <t>Salinas, D.L.C., Prada, C.A.P. ETSIT DE TELECOMUNICACIONES.</t>
  </si>
  <si>
    <t>A lebesgue sampling based diagnosis and prognosis methodology with application to lithium-ion batteries</t>
  </si>
  <si>
    <t>Yan, W. (2017) A lebesgue sampling based diagnosis and prognosis methodology with application to lithium-ion batteries. University of South Carolina.</t>
  </si>
  <si>
    <t>Design and optimization of a high resolution radar data processing system</t>
  </si>
  <si>
    <t>Corredor Salinas, D.L., Piñeros Prada, C.A. (2015) Design and optimization of a high resolution radar data processing system. Telecomunicacion.</t>
  </si>
  <si>
    <t>Telecomunicacion</t>
  </si>
  <si>
    <t>Parameter Identification and Controller Optimization for Electrical Drives</t>
  </si>
  <si>
    <t>Li, X. (2022) Parameter Identification and Controller Optimization for Electrical Drives. Technische Universität München.</t>
  </si>
  <si>
    <t>Technische Universität München</t>
  </si>
  <si>
    <t>TRANSFOR-MOTION: Membentuk Kepemimpinan Efektif Menuju Sukses Pribadi dan Organisasi</t>
  </si>
  <si>
    <t>Ali, A.F. (2020) TRANSFOR-MOTION: Membentuk Kepemimpinan Efektif Menuju Sukses Pribadi dan Organisasi. Caremedia Communication.</t>
  </si>
  <si>
    <t>Caremedia Communication</t>
  </si>
  <si>
    <t>Real-Time Virtualization of Mixed-Criticality Heterogeneous Embedded Systems for Fusion Diagnostics and Control</t>
  </si>
  <si>
    <t>Ottaviano, D. (2025) Real-Time Virtualization of Mixed-Criticality Heterogeneous Embedded Systems for Fusion Diagnostics and Control. Università degli studi di Padova.</t>
  </si>
  <si>
    <t>Università degli studi di Padova</t>
  </si>
  <si>
    <t>Fault-Tolerant Task Scheduling for Mixed-Criticality Real-Time Systems</t>
  </si>
  <si>
    <t>Junlong Zhou, Min Yin, Zhifang Li, Kun Cao, Jianming Yan, Tongquan Wei, Mingsong Chen, Xin Fu</t>
  </si>
  <si>
    <t>J. Circuits Syst. Comput.</t>
  </si>
  <si>
    <t>Dealing with Uncertainty in pWCET Estimations</t>
  </si>
  <si>
    <t>F. Reghenzani, L. Santinelli, W. Fornaciari</t>
  </si>
  <si>
    <t>ACM Transactions on Embedded Computing Systems (TECS)</t>
  </si>
  <si>
    <t>Debayan Roy, Sumana Ghosh, Qi Zhu, M. Caccamo, S. Chakraborty</t>
  </si>
  <si>
    <t>Rasha Faqeh, C. Fetzer, H. Hermanns, J. Hoffmann, M. Klauck, Maximilian A. Köhl, Marcel Steinmetz, Christoph Weidenbach</t>
  </si>
  <si>
    <t>Leveraging Applications of Formal Methods</t>
  </si>
  <si>
    <t>Elicitation and Formal Specification of Run Time Assurance Requirements for Aerospace Collision Avoidance Systems</t>
  </si>
  <si>
    <t>Kerianne L. Hobbs</t>
  </si>
  <si>
    <t>Adam Duracz, H. Eriksson, F. Bartha, Fei Xu, Yingfu Zeng, Walid Taha</t>
  </si>
  <si>
    <t>Deep-Neural-Network-Controlled Safety-Critical Systems With Uncertainty Resilience</t>
  </si>
  <si>
    <t>Renjie Ma, Zhijian Hu</t>
  </si>
  <si>
    <t>IEEE Internet of Things Journal</t>
  </si>
  <si>
    <t>Physically Interpretable World Models via Weakly Supervised Representation Learning</t>
  </si>
  <si>
    <t>Zhenjiang Mao, Mrinall Eashaan Umasudhan, Ivan Ruchkin</t>
  </si>
  <si>
    <t>-</t>
  </si>
  <si>
    <t>Implementation of Mixed-Criticality Applications on Multi-Core Architectures</t>
  </si>
  <si>
    <t>G. Giannopoulou</t>
  </si>
  <si>
    <t>Modélisation et Vérification Formelles de Systèmes de Contrôle de Trains. (Formal Modeling and Verification of Train Control Systems)</t>
  </si>
  <si>
    <t>Y. Xie</t>
  </si>
  <si>
    <t>Modélisation hybride &amp; conception par contrats pour les systèmes embarqués multi-physiques</t>
  </si>
  <si>
    <t>A CPS toolchain for learning-based systems: demo abstract</t>
  </si>
  <si>
    <t>Charles Hartsell, N. Mahadevan, Shreyas Ramakrishna, A. Dubey, T. Bapty, G. Karsai</t>
  </si>
  <si>
    <t>Proceedings of the 10th ACM/IEEE International Conference on Cyber-Physical Systems</t>
  </si>
  <si>
    <t>Demo Abstract: A CPS Toolchain for Learning-based Systems</t>
  </si>
  <si>
    <t>Charles Hartsell</t>
  </si>
  <si>
    <t>Rethinking the Maturity of Artificial Intelligence in Safety-Critical Settings</t>
  </si>
  <si>
    <t>M.L. Cummings</t>
  </si>
  <si>
    <t>AI Magazine</t>
  </si>
  <si>
    <t>Fault-tolerant task scheduling for mixed-criticality real-time systems</t>
  </si>
  <si>
    <t>J. Zhou</t>
  </si>
  <si>
    <t>Journal of Circuits Systems and Computers</t>
  </si>
  <si>
    <t>D. Roy</t>
  </si>
  <si>
    <t>Proceedings Real Time Systems Symposium</t>
  </si>
  <si>
    <t>F. Reghenzani</t>
  </si>
  <si>
    <t>ACM Transactions on Embedded Computing Systems</t>
  </si>
  <si>
    <t>R. Faqeh</t>
  </si>
  <si>
    <t>Lecture Notes in Computer Science Including Subseries Lecture Notes in Artificial Intelligence and Lecture Notes in Bioinformatics</t>
  </si>
  <si>
    <t>Using rigorous simulation to support ISO 26262 hazard analysis and risk assessment</t>
  </si>
  <si>
    <t>A. Duracz</t>
  </si>
  <si>
    <t>Proceedings 2015 IEEE 17th International Conference on High Performance Computing and Communications 2015 IEEE 7th International Symposium on Cyberspace Safety and Security and 2015 IEEE 12th International Conference on Embedded Software and Systems Hpcc Css Icess 2015</t>
  </si>
  <si>
    <t>A Systematic Approach to Enhancing ISO 26262 with Machine Learning-Specific Life Cycle Phases and Testing Methods</t>
  </si>
  <si>
    <t>P. Iyenghar</t>
  </si>
  <si>
    <t>Quantification of effects of degraded hardware on the execution of self-healing software using Continuous Time Markov Chain and Reliability</t>
  </si>
  <si>
    <t>A.G. Varuvel</t>
  </si>
  <si>
    <t>Computers and Electrical Engineering</t>
  </si>
  <si>
    <t>Safety verification method for priority-based real-time software</t>
  </si>
  <si>
    <t>F. Narisawa</t>
  </si>
  <si>
    <t>Frontiers in Artificial Intelligence and Applications</t>
  </si>
  <si>
    <t>41st International Conference on Computer Safety, Reliability and Security, SAFECOMP 2022</t>
  </si>
  <si>
    <t>15th Workshop on Dependable Smart Embedded and Cyber-Physical Systems and Systems-of-Systems, DECSoS 2020, 1st International Workshop on Dependable Development-Operation Continuum Methods for Dependable Cyber-Physical Systems, DepDevOps 2020, 1st International Workshop on Underpinnings for Safe Distributed AI, USDAI 2020, and 3rd International Workshop on Artificial Intelligence Safety Engineering, WAISE 2020, held in conjunction with the 39th International Conference on Computer Safety, Reliability and Security, SAFECOMP 2020</t>
  </si>
  <si>
    <t>Demo abstract: A CPS toolchain for learning-based systems</t>
  </si>
  <si>
    <t>C. Hartsell</t>
  </si>
  <si>
    <t>Iccps 2019 Proceedings of the 2019 ACM IEEE International Conference on Cyber Physical Systems</t>
  </si>
  <si>
    <t>Keep / Discard</t>
  </si>
  <si>
    <t xml:space="preserve">Keep </t>
  </si>
  <si>
    <t>Discard</t>
  </si>
  <si>
    <t>The Culture Variable Vis-à-Vis Anti-bribery Law: A Grey Area in Transnational Corporate Criminal Liability</t>
  </si>
  <si>
    <t>DUPLICATE</t>
  </si>
  <si>
    <t>Include / Exclude</t>
  </si>
  <si>
    <t>Exclude</t>
  </si>
  <si>
    <t>Include</t>
  </si>
  <si>
    <t>Guess What I’m Doing!: Rendering Formal Verification Methods Ripe for the Era of Interacting Intelligent Systems</t>
  </si>
  <si>
    <t>AmbISPDM: Managing embedded systems in ambient environments and disaster mitigation planning</t>
  </si>
  <si>
    <t>Deeper in BLUE: Development of a roBot for Localization in Unstructured Environments</t>
  </si>
  <si>
    <t>BIB Reference</t>
  </si>
  <si>
    <t>Relevance</t>
  </si>
  <si>
    <t>Availability</t>
  </si>
  <si>
    <t>@inproceedings{roy2020goodspread,
  title={GoodSpread: Criticality-aware static scheduling of CPS with multi-QoS resources},
  author={Roy, Debayan and Ghosh, Sumana and Zhu, Qi and Caccamo, Marco and Chakraborty, Samarjit},
  booktitle={2020 IEEE Real-Time Systems Symposium (RTSS)},
  pages={178--190},
  year={2020},
  organization={IEEE}
}</t>
  </si>
  <si>
    <t>Yes</t>
  </si>
  <si>
    <t>@inproceedings{varghese2021feature,
  title={A Feature-Based Machine Learning Approach for Mixed-Criticality Systems},
  author={Varghese, Nelson Vithayathil and Azim, Akramul and Mahmoud, Qusay H},
  booktitle={2021 22nd IEEE International Conference on Industrial Technology (ICIT)},
  volume={1},
  pages={699--704},
  year={2021},
  organization={IEEE}
}</t>
  </si>
  <si>
    <t>@inproceedings{duracz2015using,
  title={Using rigorous simulation to support ISO 26262 hazard analysis and risk assessment},
  author={Duracz, Adam and Eriksson, Henrik and Bartha, Ferenc A and Xu, Fei and Zeng, Yingfu and Taha, Walid},
  booktitle={2015 IEEE 17th International Conference on High Performance Computing and Communications, 2015 IEEE 7th International Symposium on Cyberspace Safety and Security, and 2015 IEEE 12th International Conference on Embedded Software and Systems},
  pages={1093--1096},
  year={2015},
  organization={IEEE}
}</t>
  </si>
  <si>
    <t>@article{sartaj2025uncertainty,
  title={Uncertainty-aware environment simulation of medical devices digital twins},
  author={Sartaj, Hassan and Ali, Shaukat and Marie Gj{\o}by, Julie},
  journal={Software and Systems Modeling},
  volume={24},
  number={3},
  pages={651--677},
  year={2025},
  publisher={Springer}
}</t>
  </si>
  <si>
    <t>@inproceedings{bensalem2023indeed,
  title={What, indeed, is an achievable provable guarantee for learning-enabled safety-critical systems},
  author={Bensalem, Saddek and Cheng, Chih-Hong and Huang, Wei and Huang, Xiaowei and Wu, Changshun and Zhao, Xingyu},
  booktitle={International Conference on Bridging the Gap between AI and Reality},
  pages={55--76},
  year={2023},
  organization={Springer}
}</t>
  </si>
  <si>
    <t>@article{borg2023ergo,
  title={Ergo, SMIRK is safe: a safety case for a machine learning component in a pedestrian automatic emergency brake system},
  author={Borg, Markus and Henriksson, Jens and Socha, Kasper and Lennartsson, Olof and Sonnsj{\"o} L{\"o}negren, Elias and Bui, Thanh and Tomaszewski, Piotr and Sathyamoorthy, Sankar Raman and Brink, Sebastian and Helali Moghadam, Mahshid},
  journal={Software quality journal},
  volume={31},
  number={2},
  pages={335--403},
  year={2023},
  publisher={Springer}
}</t>
  </si>
  <si>
    <t>@inproceedings{blohm2024towards,
  title={Towards probabilistic contracts for intelligent cyber-physical systems},
  author={Blohm, Pauline and Fr{\"a}nzle, Martin and Herber, Paula and Kr{\"o}ger, Paul and Remke, Anne},
  booktitle={International Symposium on Leveraging Applications of Formal Methods},
  pages={26--47},
  year={2024},
  organization={Springer}
}</t>
  </si>
  <si>
    <t>No</t>
  </si>
  <si>
    <t>@article{gu2025visef,
  title={VISEF: Empirical Evaluation of a Vehicle-Level Integrated Functional Safety Framework},
  author={Gu, Taewan},
  journal={International Journal of Automotive Technology},
  pages={1--14},
  year={2025},
  publisher={Springer}
}</t>
  </si>
  <si>
    <t>@article{sheikhi2024black,
  title={The black-box simplex architecture for runtime assurance of multi-agent CPS},
  author={Sheikhi, Sanaz and Mehmood, Usama and Bak, Stanley and Smolka, Scott A and Stoller, Scott D},
  journal={Innovations in Systems and Software Engineering},
  year={2024},
  publisher={Springer}
}</t>
  </si>
  <si>
    <t>@inproceedings{xu2024combining,
  title={Combining Look-ahead Design-time and Run-time Control-synthesis for Graph Transformation Systems},
  author={Xu, He and Schneider, Sven and Giese, Holger},
  booktitle={International Conference on Fundamental Approaches to Software Engineering},
  pages={77--100},
  year={2024},
  organization={Springer}
}</t>
  </si>
  <si>
    <t>@article{sun2025correct,
  title={Correct-by-construction requirement decomposition},
  author={Sun, Minghui and Bakirtzis, Georgios and Jafarzadeh, Hassan and Fleming, Cody},
  journal={Software and Systems Modeling},
  pages={1--16},
  year={2025},
  publisher={Springer}
}</t>
  </si>
  <si>
    <t>@inproceedings{wright2022formally,
  title={Formally verified self-adaptation of an incubator digital twin},
  author={Wright, Thomas and Gomes, Cl{\'a}udio and Woodcock, Jim},
  booktitle={International Symposium on Leveraging Applications of Formal Methods},
  pages={89--109},
  year={2022},
  organization={Springer}
}</t>
  </si>
  <si>
    <t>`</t>
  </si>
  <si>
    <t>@inproceedings{faqeh2020towards,
  title={Towards dynamic dependable systems through evidence-based continuous certification},
  author={Faqeh, Rasha and Fetzer, Christof and Hermanns, Holger and Hoffmann, J{\"o}rg and Klauck, Michaela and K{\"o}hl, Maximilian A and Steinmetz, Marcel and Weidenbach, Christoph},
  booktitle={International Symposium on Leveraging Applications of Formal Methods},
  pages={416--439},
  year={2020},
  organization={Springer}
}</t>
  </si>
  <si>
    <t>@inproceedings{laxman2020u,
  title={U-map: A reference map for safe handling of runtime uncertainties},
  author={Laxman, Nishanth and Koo, Chee Hung and Liggesmeyer, Peter},
  booktitle={International Symposium on Model-Based Safety and Assessment},
  pages={227--241},
  year={2020},
  organization={Springer}
}</t>
  </si>
  <si>
    <t>@inproceedings{wang2024scenario,
  title={Scenario-Based Flexible Modeling and Scalable Falsification for Reconfigurable CPSs},
  author={Wang, Jiawan and Liu, Wenxia and Zhang, Muzimiao and Wei, Jiaqi and Shi, Yuhui and Bu, Lei and Li, Xuandong},
  booktitle={International Conference on Computer Aided Verification},
  pages={329--355},
  year={2024},
  organization={Springer}
}</t>
  </si>
  <si>
    <t>@article{hampus2024formally,
  title={Formally verifying decompositions of stochastic specifications},
  author={Hampus, Anton and Nyberg, Mattias},
  journal={International Journal on Software Tools for Technology Transfer},
  volume={26},
  number={2},
  pages={207--228},
  year={2024},
  publisher={Springer}
}</t>
  </si>
  <si>
    <t>@article{soltani2025optimal,
  title={Optimal spare management via statistical model checking: a case study in research reactors},
  author={Soltani, Reza and Volk, Matthias and Diamonte, Leonardo and Lopuha{\"a}-Zwakenberg, Milan and Stoelinga, Mari{\"e}lle},
  journal={International Journal on Software Tools for Technology Transfer},
  pages={1--16},
  year={2025},
  publisher={Springer}
}</t>
  </si>
  <si>
    <t>@article{bortolussi2021neural,
  title={Neural predictive monitoring and a comparison of frequentist and Bayesian approaches},
  author={Bortolussi, Luca and Cairoli, Francesca and Paoletti, Nicola and Smolka, Scott A and Stoller, Scott D},
  journal={International Journal on Software Tools for Technology Transfer},
  volume={23},
  number={4},
  pages={615--640},
  year={2021},
  publisher={Springer}
}</t>
  </si>
  <si>
    <t>@inproceedings{ben2020satisfaction,
  title={Satisfaction of Modeling Requirements for Intelligent Navigation Systems: Risk Management Context},
  author={Ben Lakhal, Nadhir Mansour and Nasri, Othman and Adouane, Lounis and Ben Hadj Slama, Jaleleddine},
  booktitle={International Conference on Informatics in Control, Automation and Robotics},
  pages={456--478},
  year={2020},
  organization={Springer}
}</t>
  </si>
  <si>
    <t>@article{sani2025real,
  title={Real-time defect monitoring in material extrusion 3D printing using optimized YOLO models},
  author={Sani, Abdul Rahman and Kouzani, Abbas Z and Zolfagharian, Ali},
  journal={Progress in Additive Manufacturing},
  pages={1--23},
  year={2025},
  publisher={Springer}
}</t>
  </si>
  <si>
    <t>@article{malik2021adaptive,
  title={Adaptive step size numerical integration for stochastic differential equations with discontinuous drift and diffusion},
  author={Malik, Avinash},
  journal={Numerical Algorithms},
  volume={87},
  number={2},
  pages={849--872},
  year={2021},
  publisher={Springer}
}</t>
  </si>
  <si>
    <t>@inproceedings{mehmood2022black,
  title={The black-box simplex architecture for runtime assurance of autonomous CPS},
  author={Mehmood, Usama and Sheikhi, Sanaz and Bak, Stanley and Smolka, Scott A and Stoller, Scott D},
  booktitle={NASA formal methods symposium},
  pages={231--250},
  year={2022},
  organization={Springer}
}</t>
  </si>
  <si>
    <t>@inproceedings{lazzara2019modular,
  title={A modular SystemC RTOS model for uncertainty analysis},
  author={Lazzara, Lorenzo and Mancuso, Giulio Mos{\'e} and Cremona, Fabio and Ulisse, Alessandro},
  booktitle={International Workshop on Design, Modeling, and Evaluation of Cyber Physical Systems},
  pages={3--27},
  year={2019},
  organization={Springer}
}</t>
  </si>
  <si>
    <t>@inproceedings{koopman2019autonomous,
  title={Autonomous vehicles meet the physical world: RSS, variability, uncertainty, and proving safety},
  author={Koopman, Philip and Osyk, Beth and Weast, Jack},
  booktitle={International conference on computer safety, reliability, and security},
  pages={245--253},
  year={2019},
  organization={Springer}
}</t>
  </si>
  <si>
    <t>@article{abboush2025advancing,
  title={Advancing real-time validation of automotive software systems via continuous integration and intelligent failure analysis},
  author={Abboush, Mohammad and Knieke, Christoph and Rausch, Andreas},
  journal={Scientific Reports},
  volume={15},
  number={1},
  pages={32936},
  year={2025},
  publisher={Nature Publishing Group UK London}
}</t>
  </si>
  <si>
    <t>@article{calvaresi2021real,
  title={Real-time multi-agent systems: rationality, formal model, and empirical results},
  author={Calvaresi, Davide and Dicente Cid, Yashin and Marinoni, Mauro and Dragoni, Aldo Franco and Najjar, Amro and Schumacher, Michael},
  journal={Autonomous agents and multi-agent systems},
  volume={35},
  number={1},
  pages={12},
  year={2021},
  publisher={Springer}
}</t>
  </si>
  <si>
    <t>@article{avramenko2019rtos,
  title={RTOS solution for noc-based COTS MPSoC usage in mixed-criticality systems},
  author={Avramenko, Serhiy and Violante, Massimo},
  journal={Journal of Electronic Testing},
  volume={35},
  number={1},
  pages={29--44},
  year={2019},
  publisher={Springer}
}</t>
  </si>
  <si>
    <t>@inproceedings{salem2019assessing,
  title={Assessing the Robustness of Arrival Curves Models for Real-Time Systems},
  author={Salem, Mahmoud and Carvajal, Gonzalo and Liu, Tong and Fischmeister, Sebastian},
  booktitle={International Conference on Formal Modeling and Analysis of Timed Systems},
  pages={23--40},
  year={2019},
  organization={Springer}
}</t>
  </si>
  <si>
    <t>@inproceedings{dobaj2019towards,
  title={Towards integrated quantitative security and safety risk assessment},
  author={Dobaj, J{\"u}rgen and Schmittner, Christoph and Krisper, Michael and Macher, Georg},
  booktitle={International Conference on Computer Safety, Reliability, and Security},
  pages={102--116},
  year={2019},
  organization={Springer}
}</t>
  </si>
  <si>
    <t>@inproceedings{chen2017methodological,
  title={A methodological framework for model-based self-management of services and components in dependable cyber-physical systems},
  author={Chen, DeJiu and Lu, Zhonghai},
  booktitle={International Conference on Dependability and Complex Systems},
  pages={97--105},
  year={2017},
  organization={Springer}
}</t>
  </si>
  <si>
    <t>@inproceedings{chen2017model,
  title={A model-based approach to dynamic self-assessment for automated performance and safety awareness of cyber-physical systems},
  author={Chen, DeJiu and Lu, Zhonghai},
  booktitle={International Symposium on Model-Based Safety and Assessment},
  pages={227--240},
  year={2017},
  organization={Springer}
}</t>
  </si>
  <si>
    <t>@article{wang2024trustworthiness,
  title={Trustworthiness modeling and evaluation for a nearly autonomous management and control system},
  author={Wang, Longcong and Lin, Linyu and Dinh, Nam},
  journal={Reliability Engineering \&amp; System Safety},
  volume={245},
  pages={110008},
  year={2024},
  publisher={Elsevier}
}</t>
  </si>
  <si>
    <t>@article{riedmaier2021non,
  title={Non-deterministic model validation methodology for simulation-based safety assessment of automated vehicles},
  author={Riedmaier, Stefan and Schneider, Jakob and Danquah, Benedikt and Schick, Bernhard and Diermeyer, Frank},
  journal={Simulation Modelling Practice and Theory},
  volume={109},
  pages={102274},
  year={2021},
  publisher={Elsevier}
}</t>
  </si>
  <si>
    <t>@article{mohamed2025probabilistic,
  title={A Probabilistic Approach to Adaptive Protection in the Smart Grid},
  author={Mohamed, Amr S and Kundur, Deepa and Khalaf, Mohsen},
  journal={ACM Transactions on Cyber-Physical Systems},
  volume={9},
  number={1},
  pages={1--29},
  year={2025},
  publisher={ACM New York, NY}
}</t>
  </si>
  <si>
    <t>@article{damm2024reference,
  title={A Reference Architecture of Human Cyber-Physical Systems--Part III: Semantic Foundations},
  author={Damm, Werner and Fr{\"a}nzle, Martin and Kerscher, Alyssa J and Laine, Forrest and Bengler, Klaus and Biebl, Bianca and Hagemann, Willem and Held, Moritz and Hess, David and Ihme, Klas and others},
  journal={ACM Transactions on Cyber-Physical Systems},
  volume={8},
  number={1},
  pages={1--23},
  year={2024},
  publisher={ACM New York, NY}
}</t>
  </si>
  <si>
    <t>@inproceedings{sharif2020investigating,
  title={Investigating the inherent soft error resilience of embedded applications by full-system simulation},
  author={Sharif, Uzair and Mueller-Gritschneder, Daniel and Schlichtmann, Ulf},
  booktitle={2020 25th Asia and South Pacific Design Automation Conference (ASP-DAC)},
  pages={80--84},
  year={2020},
  organization={IEEE}
}</t>
  </si>
  <si>
    <t>@article{wang2018oracles,
  title={Oracles for testing software timeliness with uncertainty},
  author={Wang, Chunhui and Pastore, Fabrizio and Briand, Lionel},
  journal={ACM Transactions on Software Engineering and Methodology (TOSEM)},
  volume={28},
  number={1},
  pages={1--30},
  year={2018},
  publisher={ACM New York, NY, USA}
}</t>
  </si>
  <si>
    <t>@article{jiang2018dependable,
  title={Dependable model-driven development of CPS: From stateflow simulation to verified implementation},
  author={Jiang, Yu and Song, Houbing and Yang, Yixiao and Liu, Han and Gu, Ming and Guan, Yong and Sun, Jiaguang and Sha, Lui},
  journal={ACM Transactions on Cyber-Physical Systems},
  volume={3},
  number={1},
  pages={1--31},
  year={2018},
  publisher={ACM New York, NY, USA}
}</t>
  </si>
  <si>
    <t>@inproceedings{sartaj2021automated,
  title={Automated approach for system-level testing of unmanned aerial systems},
  author={Sartaj, Hassan},
  booktitle={2021 36th IEEE/ACM International Conference on Automated Software Engineering (ASE)},
  pages={1069--1073},
  year={2021},
  organization={IEEE}
}</t>
  </si>
  <si>
    <t>@article{liu2025hybrid,
  title={A hybrid target selection model of functional safety compliance for autonomous driving system},
  author={Liu, Yang and Wang, Zihan and Cai, Mengchi and Xu, Qing and Li, Keqiang},
  journal={ACM Transactions on Embedded Computing Systems},
  volume={24},
  number={2},
  pages={1--27},
  year={2025},
  publisher={ACM New York, NY}
}</t>
  </si>
  <si>
    <t>@article{hegde2025early,
  title={Early Reliability Assessment of AI-based Automotive Systems},
  author={Hegde, Shailesh and Selvaraj, Dinesh and Rodriguez Condia, Josie Esteban and Amati, Nicola and Chiasserini, Carla and Deflorio, Francesco and Sonza Reorda, Matteo},
  journal={ACM Transactions on Internet of Things},
  year={2025},
  publisher={ACM New York, NY}
}</t>
  </si>
  <si>
    <t>@article{chen2023analyzing,
  title={Analyzing execution path non-determinism of the Linux kernel in different scenarios},
  author={Chen, Yucong and Tang, Xianzhi and Xu, Shuaixin and Zhu, Fangfang and Zhou, Qingguo and Weng, Tien-Hsiung},
  journal={Connection Science},
  volume={35},
  number={1},
  pages={2192442},
  year={2023},
  publisher={Taylor \&amp; Francis}
}</t>
  </si>
  <si>
    <t>@article{nurnberger2017execution,
  title={Execution time analysis and optimisation techniques in the model-based development of a flight control software},
  author={N{\"u}rnberger, Kajetan and Hochstrasser, Markus and Holzapfel, Florian},
  journal={IET Cyber-Physical Systems: Theory \&amp; Applications},
  volume={2},
  number={2},
  pages={57--64},
  year={2017},
  publisher={Wiley Online Library}
}</t>
  </si>
  <si>
    <t>@article{viger2025assessing,
  title={Assessing the Usefulness of Assurance Cases: Experience With the Large Hadron Collider},
  author={Viger, Torin and Joyce, Jeff and Diemert, Simon and Menghi, Claudio and Chechik, Marsha and Uythoven, Jan and Zerlauth, Markus and Felsberger, Lukas},
  journal={Systems Engineering},
  pages={e70010},
  year={2025},
  publisher={Wiley Online Library}
}</t>
  </si>
  <si>
    <t>@article{somers2025configuration,
  title={Configuration testing of an artificial pancreas system using a digital twin: an evaluative case study},
  author={Somers, Richard and Walkinshaw, Neil and Mark Hierons, Robert and Elliott, Jackie and Iqbal, Ahmed and Walkinshaw, Emma},
  journal={Software Testing, Verification and Reliability},
  volume={35},
  number={2},
  pages={e70000},
  year={2025},
  publisher={Wiley Online Library}
}</t>
  </si>
  <si>
    <t>@article{diao2025modular,
  title={A Modular Dynamic Probabilistic Risk Assessment Framework for Electric Grid Cybersecurity},
  author={Diao, Xiaoxu and Zhao, Yunfei and Li, Ruixuan and Chakhchoukh, Yacine and Johnson, Brian and Le Blanc, Katya and Smidts, Carol},
  journal={Engineering Reports},
  volume={7},
  number={10},
  pages={e70377},
  year={2025},
  publisher={Wiley Online Library}
}</t>
  </si>
  <si>
    <t>@article{inayat2023safety,
  title={Safety and security risks management process for cyber-physical systems: A case study},
  author={Inayat, Irum and Farooq, Muhammad and Inayat, Zubaria},
  journal={Journal of Software: Evolution and Process},
  volume={35},
  number={7},
  pages={e2482},
  year={2023},
  publisher={Wiley Online Library}
}</t>
  </si>
  <si>
    <t>@article{bacshan2025reliability,
  title={Reliability assessment of autonomous maritime navigation systems under uncertainty},
  author={Ba{\c{s}}han, Veysi},
  journal={Ocean Engineering},
  volume={333},
  pages={121588},
  year={2025},
  publisher={Elsevier}
}</t>
  </si>
  <si>
    <t>@article{zhou2025dynamic,
  title={Dynamic validation of safety integrity level for safety instrumented system considering random/fuzzy uncertainty},
  author={Zhou, Jiao and Cao, Xuewen and Liu, Xu and Zhang, Zeyu and Bian, Jiang},
  journal={Measurement},
  pages={117797},
  year={2025},
  publisher={Elsevier}
}</t>
  </si>
  <si>
    <t>SID</t>
  </si>
  <si>
    <t>SID1</t>
  </si>
  <si>
    <t>SID2</t>
  </si>
  <si>
    <t>SID3</t>
  </si>
  <si>
    <t>SID4</t>
  </si>
  <si>
    <t>SID5</t>
  </si>
  <si>
    <t>SID6</t>
  </si>
  <si>
    <t>SID7</t>
  </si>
  <si>
    <t>SID8</t>
  </si>
  <si>
    <t>SID9</t>
  </si>
  <si>
    <t>SID10</t>
  </si>
  <si>
    <t>SID11</t>
  </si>
  <si>
    <t>SID12</t>
  </si>
  <si>
    <t>SID13</t>
  </si>
  <si>
    <t>SID14</t>
  </si>
  <si>
    <t>SID15</t>
  </si>
  <si>
    <t>SID16</t>
  </si>
  <si>
    <t>SID17</t>
  </si>
  <si>
    <t>SID18</t>
  </si>
  <si>
    <t>SID19</t>
  </si>
  <si>
    <t>SID20</t>
  </si>
  <si>
    <t>SID21</t>
  </si>
  <si>
    <t>SID22</t>
  </si>
  <si>
    <t>SID23</t>
  </si>
  <si>
    <t>SID24</t>
  </si>
  <si>
    <t>SID25</t>
  </si>
  <si>
    <t>SID26</t>
  </si>
  <si>
    <t>SID27</t>
  </si>
  <si>
    <t>SID28</t>
  </si>
  <si>
    <t>SID29</t>
  </si>
  <si>
    <t>SID30</t>
  </si>
  <si>
    <t>SID31</t>
  </si>
  <si>
    <t>SID32</t>
  </si>
  <si>
    <t>SID33</t>
  </si>
  <si>
    <t>SID34</t>
  </si>
  <si>
    <t xml:space="preserve">Generating Qualifiable Avionics Software: An Experience Report (E)
</t>
  </si>
  <si>
    <t>@inproceedings{wolfl2015generating,
  title={Generating qualifiable avionics software: An experience report (e)},
  author={W{\"o}lfl, Andreas and Siegmund, Norbert and Apel, Sven and Kosch, Harald and Krautlager, Johann and Weber-Urbina, Guillermo},
  booktitle={2015 30th IEEE/ACM International Conference on Automated Software Engineering (ASE)},
  pages={726--736},
  year={2015},
  organization={IEEE}
}</t>
  </si>
  <si>
    <t>2015 30th IEEE/ACM International Conference on Automated Software Engineering (ASE)</t>
  </si>
  <si>
    <t>SID35</t>
  </si>
  <si>
    <t>Dynamic platforms for uncertainty management in future automotive E/E architectures</t>
  </si>
  <si>
    <t>@inproceedings{mundhenk2017dynamic,
  title={Dynamic platforms for uncertainty management in future automotive E/E architectures},
  author={Mundhenk, Philipp and Tibba, Ghizlane and Zhang, Licong and Reimann, Felix and Roy, Debayan and Chakraborty, Samarjit},
  booktitle={Proceedings of the 54th Annual Design Automation Conference 2017},
  pages={1--6},
  year={2017}
}</t>
  </si>
  <si>
    <t>Proceedings of the 54th Annual Design Automation Conference 2017</t>
  </si>
  <si>
    <t>SID36</t>
  </si>
  <si>
    <t>Dynamic safety cases for through-life safety assurance</t>
  </si>
  <si>
    <t>@inproceedings{denney2015dynamic,
  title={Dynamic safety cases for through-life safety assurance},
  author={Denney, Ewen and Pai, Ganesh and Habli, Ibrahim},
  booktitle={2015 IEEE/ACM 37th IEEE International Conference on Software Engineering},
  volume={2},
  pages={587--590},
  year={2015},
  organization={IEEE}
}</t>
  </si>
  <si>
    <t>2015 IEEE/ACM 37th IEEE International Conference on Software Engineering</t>
  </si>
  <si>
    <t>SID37</t>
  </si>
  <si>
    <t>An Analysis of ISO 26262: Machine Learning and Safety in Automotive Software</t>
  </si>
  <si>
    <t xml:space="preserve">@inproceedings{2018-01-1075,
  author = "Salay, Rick and Queiroz, Rodrigo and Czarnecki, Krzysztof",
  title = "An Analysis of ISO 26262: Machine Learning and Safety in Automotive Software",
  booktitle = "WCX World Congress Experience",
  publisher = "SAE International",
  month = apr,
  year = 2018,
  doi = "https://doi.org/10.4271/2018-01-1075",
  url = "https://doi.org/10.4271/2018-01-1075",
  issn = "0148-7191",
  abstract = "Machine learning (ML) plays an ever-increasing role in advanced automotive functionality for driver assistance and autonomous operation; however, its adequacy from the perspective of safety certification remains controversial. In this paper, we analyze the impacts that the use of ML within software has on the ISO 26262 safety lifecycle and ask what could be done to address them. We then provide a set of recommendations on how to adapt the standard to better accommodate ML."
}
</t>
  </si>
  <si>
    <t>WCX World Congress Experience</t>
  </si>
  <si>
    <t>SID38</t>
  </si>
  <si>
    <t>Assuring the Safety of Machine Learning for Pedestrian Detection at Crossings</t>
  </si>
  <si>
    <t>@inproceedings{gauerhof2020assuring,
  title={Assuring the safety of machine learning for pedestrian detection at crossings},
  author={Gauerhof, Lydia and Hawkins, Richard and Picardi, Chiara and Paterson, Colin and Hagiwara, Yuki and Habli, Ibrahim},
  booktitle={International Conference on Computer Safety, Reliability, and Security},
  pages={197--212},
  year={2020},
  organization={Springer}
}</t>
  </si>
  <si>
    <t>Computer Safety, Reliability, and Security
(SAFECOMP 2020)</t>
  </si>
  <si>
    <t>SID39</t>
  </si>
  <si>
    <t>Safety assurance of Machine Learning for autonomous systems</t>
  </si>
  <si>
    <t>@article{paterson2025safety,
  title={Safety assurance of Machine Learning for autonomous systems},
  author={Paterson, Colin and Hawkins, Richard and Picardi, Chiara and Jia, Yan and Calinescu, Radu and Habli, Ibrahim},
  journal={Reliability Engineering \&amp; System Safety},
  pages={111311},
  year={2025},
  publisher={Elsevier}
}</t>
  </si>
  <si>
    <t>SID40</t>
  </si>
  <si>
    <t>SMIRK: A machine learning-based pedestrian automatic emergency braking system with a complete safety case</t>
  </si>
  <si>
    <t>@article{socha2022smirk,
  title={SMIRK: A machine learning-based pedestrian automatic emergency braking system with a complete safety case},
  author={Socha, Kasper and Borg, Markus and Henriksson, Jens},
  journal={Software Impacts},
  volume={13},
  pages={100352},
  year={2022},
  publisher={Elsevier}
}</t>
  </si>
  <si>
    <t>Software Impacts</t>
  </si>
  <si>
    <t>SID41</t>
  </si>
  <si>
    <t xml:space="preserve">ThirdEye: Attention Maps for Safe Autonomous Driving Systems
</t>
  </si>
  <si>
    <t>@inproceedings{stocco2022thirdeye,
  title={Thirdeye: Attention maps for safe autonomous driving systems},
  author={Stocco, Andrea and Nunes, Paulo J and d'Amorim, Marcelo and Tonella, Paolo},
  booktitle={Proceedings of the 37th IEEE/ACM International Conference on Automated Software Engineering},
  pages={1--12},
  year={2022}
}</t>
  </si>
  <si>
    <t>ASE '22: Proceedings of the 37th IEEE/ACM International Conference on Automated Software Engineering</t>
  </si>
  <si>
    <t>SID42</t>
  </si>
  <si>
    <t>Out-of-Distribution Detection as Support for Autonomous Driving Safety Lifecycle</t>
  </si>
  <si>
    <t>@inproceedings{henriksson2023out,
  title={Out-of-distribution detection as support for autonomous driving safety lifecycle},
  author={Henriksson, Jens and Ursing, Stig and Erdogan, Murat and Warg, Fredrik and Thors{\'e}n, Anders and Jaxing, Johan and {\"O}rsmark, Ola and Toft{\aa}s, Mathias {\"O}rtenberg},
  booktitle={International Working Conference on Requirements Engineering: Foundation for Software Quality},
  pages={233--242},
  year={2023},
  organization={Springer}
}</t>
  </si>
  <si>
    <t>Requirements Engineering: Foundation for Software Quality
(REFSQ 2023)</t>
  </si>
  <si>
    <t>SID43</t>
  </si>
  <si>
    <t>Safety-Assured Formal Model-Driven Design of the Multifunction Vehicle Bus Controller</t>
  </si>
  <si>
    <t>@inproceedings{jiang2016safety,
  title={Safety-assured formal model-driven design of the multifunction vehicle bus controller},
  author={Jiang, Yu and Liu, Han and Song, Houbing and Kong, Hui and Gu, Ming and Sun, Jiaguang and Sha, Lui},
  booktitle={International Symposium on Formal Methods},
  pages={757--763},
  year={2016},
  organization={Springer}
}</t>
  </si>
  <si>
    <t>FM 2016: Formal Methods
(FM 2016)</t>
  </si>
  <si>
    <t>SID44</t>
  </si>
  <si>
    <t>Integrating scenario- and contract-based verification for automated vessels</t>
  </si>
  <si>
    <t>@article{hake2024integrating,
  title={Integrating scenario-and contract-based verification for automated vessels},
  author={Hake, Georg and Reiher, David and Mentjes, Jan and Hahn, Axel},
  journal={Journal of Marine Science and Technology},
  volume={29},
  number={3},
  pages={620--640},
  year={2024},
  publisher={Springer}
}</t>
  </si>
  <si>
    <t>Journal of Marine Science and Technology</t>
  </si>
  <si>
    <t>SID45</t>
  </si>
  <si>
    <t>Towards dynamic safety assurance for Industry 4.0</t>
  </si>
  <si>
    <t>@article{javed2021towards,
  title={Towards dynamic safety assurance for Industry 4.0},
  author={Javed, Muhammad Atif and Muram, Faiz Ul and Hansson, Hans and Punnekkat, Sasikumar and Thane, Henrik},
  journal={Journal of Systems Architecture},
  volume={114},
  pages={101914},
  year={2021},
  publisher={Elsevier}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</si>
</sst>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Arial"/>
    </font>
    <font>
      <color theme="1"/>
      <name val="Arial"/>
    </font>
    <font>
      <color rgb="FF000000"/>
      <name val="Arial"/>
    </font>
    <font>
      <color rgb="FFFF0000"/>
      <name val="Arial"/>
    </font>
    <font>
      <b/>
      <sz val="12.0"/>
      <color theme="1"/>
      <name val="Arial"/>
    </font>
    <font>
      <sz val="11.0"/>
      <color theme="1"/>
      <name val="Calibri"/>
    </font>
    <font>
      <sz val="11.0"/>
      <color rgb="FF000000"/>
      <name val="Calibri"/>
    </font>
    <font>
      <b/>
      <sz val="12.0"/>
      <color rgb="FF000000"/>
      <name val="Arial"/>
    </font>
    <font>
      <color theme="1"/>
      <name val="Arial"/>
      <scheme val="minor"/>
    </font>
    <font>
      <color rgb="FF000000"/>
      <name val="Arial"/>
      <scheme val="minor"/>
    </font>
    <font>
      <sz val="11.0"/>
      <color theme="1"/>
      <name val="Arial"/>
    </font>
  </fonts>
  <fills count="4">
    <fill>
      <patternFill patternType="none"/>
    </fill>
    <fill>
      <patternFill patternType="lightGray"/>
    </fill>
    <fill>
      <patternFill patternType="solid">
        <fgColor rgb="FFFFFFFF"/>
        <bgColor rgb="FFFFFFFF"/>
      </patternFill>
    </fill>
    <fill>
      <patternFill patternType="solid">
        <fgColor rgb="FFE06666"/>
        <bgColor rgb="FFE06666"/>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2" fontId="2" numFmtId="0" xfId="0" applyAlignment="1" applyFill="1" applyFont="1">
      <alignment horizontal="right" readingOrder="0" shrinkToFit="0" vertical="bottom" wrapText="1"/>
    </xf>
    <xf borderId="0" fillId="0" fontId="2" numFmtId="0" xfId="0" applyAlignment="1" applyFont="1">
      <alignment readingOrder="0" vertical="bottom"/>
    </xf>
    <xf borderId="0" fillId="0" fontId="2" numFmtId="0" xfId="0" applyAlignment="1" applyFont="1">
      <alignment horizontal="right" readingOrder="0" vertical="bottom"/>
    </xf>
    <xf borderId="0" fillId="2" fontId="2" numFmtId="0" xfId="0" applyAlignment="1" applyFont="1">
      <alignment readingOrder="0" vertical="bottom"/>
    </xf>
    <xf borderId="0" fillId="0" fontId="3" numFmtId="0" xfId="0" applyAlignment="1" applyFont="1">
      <alignment readingOrder="0" vertical="bottom"/>
    </xf>
    <xf borderId="0" fillId="0" fontId="4" numFmtId="0" xfId="0" applyAlignment="1" applyFont="1">
      <alignment readingOrder="0" vertical="bottom"/>
    </xf>
    <xf borderId="0" fillId="0" fontId="2" numFmtId="0" xfId="0" applyAlignment="1" applyFont="1">
      <alignment readingOrder="0" shrinkToFit="0" vertical="bottom" wrapText="1"/>
    </xf>
    <xf borderId="0" fillId="0" fontId="2" numFmtId="0" xfId="0" applyAlignment="1" applyFont="1">
      <alignment horizontal="right" shrinkToFit="0" vertical="bottom"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2" numFmtId="0" xfId="0" applyAlignment="1" applyFont="1">
      <alignment horizontal="right" readingOrder="0" shrinkToFit="0" vertical="bottom" wrapText="1"/>
    </xf>
    <xf borderId="0" fillId="0" fontId="6" numFmtId="0" xfId="0" applyAlignment="1" applyFont="1">
      <alignment shrinkToFit="0" vertical="top" wrapText="1"/>
    </xf>
    <xf borderId="0" fillId="0" fontId="7" numFmtId="0" xfId="0" applyAlignment="1" applyFont="1">
      <alignment horizontal="right" readingOrder="0" shrinkToFit="0" vertical="bottom" wrapText="0"/>
    </xf>
    <xf borderId="0" fillId="3" fontId="2" numFmtId="0" xfId="0" applyAlignment="1" applyFill="1" applyFont="1">
      <alignment readingOrder="0" shrinkToFit="0" vertical="bottom" wrapText="1"/>
    </xf>
    <xf borderId="0" fillId="2" fontId="2" numFmtId="0" xfId="0" applyAlignment="1" applyFont="1">
      <alignment readingOrder="0" shrinkToFit="0" vertical="bottom" wrapText="1"/>
    </xf>
    <xf borderId="0" fillId="0" fontId="8" numFmtId="0" xfId="0" applyAlignment="1" applyFont="1">
      <alignment readingOrder="0" shrinkToFit="0" vertical="bottom" wrapText="1"/>
    </xf>
    <xf borderId="0" fillId="0" fontId="9" numFmtId="0" xfId="0" applyAlignment="1" applyFont="1">
      <alignment shrinkToFit="0" wrapText="1"/>
    </xf>
    <xf borderId="0" fillId="0" fontId="3" numFmtId="0" xfId="0" applyAlignment="1" applyFont="1">
      <alignment readingOrder="0" shrinkToFit="0" vertical="bottom" wrapText="1"/>
    </xf>
    <xf borderId="0" fillId="0" fontId="10" numFmtId="0" xfId="0" applyAlignment="1" applyFont="1">
      <alignment readingOrder="0" shrinkToFit="0" wrapText="1"/>
    </xf>
    <xf borderId="0" fillId="0" fontId="11" numFmtId="0" xfId="0" applyAlignment="1" applyFont="1">
      <alignment readingOrder="0" shrinkToFit="0" vertical="bottom" wrapText="1"/>
    </xf>
    <xf borderId="0" fillId="0" fontId="7" numFmtId="0" xfId="0" applyAlignment="1" applyFont="1">
      <alignment readingOrder="0" shrinkToFit="0" vertical="top" wrapText="1"/>
    </xf>
    <xf borderId="0" fillId="0" fontId="3" numFmtId="0" xfId="0" applyAlignment="1" applyFont="1">
      <alignment shrinkToFit="0" vertical="bottom" wrapText="1"/>
    </xf>
  </cellXfs>
  <cellStyles count="1">
    <cellStyle xfId="0" name="Normal" builtinId="0"/>
  </cellStyles>
  <dxfs count="1">
    <dxf>
      <font/>
      <fill>
        <patternFill patternType="solid">
          <fgColor rgb="FFF1C232"/>
          <bgColor rgb="FFF1C23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9.0"/>
    <col customWidth="1" min="3" max="3" width="15.25"/>
    <col customWidth="1" min="7" max="7" width="15.25"/>
  </cols>
  <sheetData>
    <row r="1">
      <c r="A1" s="1" t="s">
        <v>0</v>
      </c>
      <c r="B1" s="1" t="s">
        <v>1</v>
      </c>
      <c r="C1" s="2" t="s">
        <v>2</v>
      </c>
      <c r="D1" s="1" t="s">
        <v>3</v>
      </c>
      <c r="E1" s="1" t="s">
        <v>4</v>
      </c>
      <c r="F1" s="1" t="s">
        <v>5</v>
      </c>
      <c r="G1" s="2" t="s">
        <v>6</v>
      </c>
      <c r="H1" s="3"/>
      <c r="I1" s="3"/>
      <c r="J1" s="3"/>
      <c r="K1" s="3"/>
      <c r="L1" s="3"/>
      <c r="M1" s="3"/>
      <c r="N1" s="3"/>
      <c r="O1" s="3"/>
      <c r="P1" s="3"/>
      <c r="Q1" s="3"/>
      <c r="R1" s="3"/>
      <c r="S1" s="3"/>
      <c r="T1" s="3"/>
      <c r="U1" s="3"/>
      <c r="V1" s="3"/>
      <c r="W1" s="3"/>
      <c r="X1" s="3"/>
      <c r="Y1" s="3"/>
      <c r="Z1" s="3"/>
      <c r="AA1" s="3"/>
    </row>
    <row r="2">
      <c r="A2" s="4" t="s">
        <v>7</v>
      </c>
      <c r="B2" s="4" t="s">
        <v>8</v>
      </c>
      <c r="C2" s="5">
        <v>8.0</v>
      </c>
      <c r="D2" s="6">
        <v>8.0</v>
      </c>
      <c r="E2" s="3">
        <f>MINUS(8,5)</f>
        <v>3</v>
      </c>
      <c r="F2" s="6">
        <v>3.0</v>
      </c>
      <c r="G2" s="3">
        <f>ADD(3,2)</f>
        <v>5</v>
      </c>
      <c r="H2" s="3"/>
      <c r="I2" s="3"/>
      <c r="J2" s="3"/>
      <c r="K2" s="3"/>
      <c r="L2" s="3"/>
      <c r="M2" s="3"/>
      <c r="N2" s="3"/>
      <c r="O2" s="3"/>
      <c r="P2" s="3"/>
      <c r="Q2" s="3"/>
      <c r="R2" s="3"/>
      <c r="S2" s="3"/>
      <c r="T2" s="3"/>
      <c r="U2" s="3"/>
      <c r="V2" s="3"/>
      <c r="W2" s="3"/>
      <c r="X2" s="3"/>
      <c r="Y2" s="3"/>
      <c r="Z2" s="3"/>
      <c r="AA2" s="3"/>
    </row>
    <row r="3">
      <c r="A3" s="4" t="s">
        <v>9</v>
      </c>
      <c r="B3" s="4" t="s">
        <v>10</v>
      </c>
      <c r="C3" s="5">
        <v>135.0</v>
      </c>
      <c r="D3" s="6">
        <f>MINUS(135,27)</f>
        <v>108</v>
      </c>
      <c r="E3" s="3">
        <f>MINUS(108,80)</f>
        <v>28</v>
      </c>
      <c r="F3" s="3">
        <f>MINUS(28,12)</f>
        <v>16</v>
      </c>
      <c r="G3" s="3">
        <f>ADD(16,4)</f>
        <v>20</v>
      </c>
      <c r="H3" s="3"/>
      <c r="I3" s="3"/>
      <c r="J3" s="3"/>
      <c r="K3" s="3"/>
      <c r="L3" s="3"/>
      <c r="M3" s="3"/>
      <c r="N3" s="3"/>
      <c r="O3" s="3"/>
      <c r="P3" s="3"/>
      <c r="Q3" s="3"/>
      <c r="R3" s="3"/>
      <c r="S3" s="3"/>
      <c r="T3" s="3"/>
      <c r="U3" s="3"/>
      <c r="V3" s="3"/>
      <c r="W3" s="3"/>
      <c r="X3" s="3"/>
      <c r="Y3" s="3"/>
      <c r="Z3" s="3"/>
      <c r="AA3" s="3"/>
    </row>
    <row r="4">
      <c r="A4" s="4" t="s">
        <v>11</v>
      </c>
      <c r="B4" s="4" t="s">
        <v>12</v>
      </c>
      <c r="C4" s="5">
        <v>46.0</v>
      </c>
      <c r="D4" s="3">
        <f>MINUS(46,3)</f>
        <v>43</v>
      </c>
      <c r="E4" s="3">
        <f>MINUS(43,39)</f>
        <v>4</v>
      </c>
      <c r="F4" s="7">
        <v>2.0</v>
      </c>
      <c r="G4" s="3">
        <f>add(2,3)</f>
        <v>5</v>
      </c>
      <c r="H4" s="3"/>
      <c r="I4" s="3"/>
      <c r="J4" s="3"/>
      <c r="K4" s="3"/>
      <c r="L4" s="3"/>
      <c r="M4" s="3"/>
      <c r="N4" s="3"/>
      <c r="O4" s="3"/>
      <c r="P4" s="3"/>
      <c r="Q4" s="3"/>
      <c r="R4" s="3"/>
      <c r="S4" s="3"/>
      <c r="T4" s="3"/>
      <c r="U4" s="3"/>
      <c r="V4" s="3"/>
      <c r="W4" s="3"/>
      <c r="X4" s="3"/>
      <c r="Y4" s="3"/>
      <c r="Z4" s="3"/>
      <c r="AA4" s="3"/>
    </row>
    <row r="5">
      <c r="A5" s="4" t="s">
        <v>13</v>
      </c>
      <c r="B5" s="4" t="s">
        <v>14</v>
      </c>
      <c r="C5" s="8">
        <v>118.0</v>
      </c>
      <c r="D5" s="6">
        <v>109.0</v>
      </c>
      <c r="E5" s="6">
        <v>8.0</v>
      </c>
      <c r="F5" s="6">
        <v>8.0</v>
      </c>
      <c r="G5" s="3">
        <f>ADD(8,2)</f>
        <v>10</v>
      </c>
      <c r="H5" s="3"/>
      <c r="I5" s="3"/>
      <c r="J5" s="3"/>
      <c r="K5" s="3"/>
      <c r="L5" s="3"/>
      <c r="M5" s="3"/>
      <c r="N5" s="3"/>
      <c r="O5" s="3"/>
      <c r="P5" s="3"/>
      <c r="Q5" s="3"/>
      <c r="R5" s="3"/>
      <c r="S5" s="3"/>
      <c r="T5" s="3"/>
      <c r="U5" s="3"/>
      <c r="V5" s="3"/>
      <c r="W5" s="3"/>
      <c r="X5" s="3"/>
      <c r="Y5" s="3"/>
      <c r="Z5" s="3"/>
      <c r="AA5" s="3"/>
    </row>
    <row r="6">
      <c r="A6" s="4" t="s">
        <v>15</v>
      </c>
      <c r="B6" s="4" t="s">
        <v>16</v>
      </c>
      <c r="C6" s="5">
        <v>16.0</v>
      </c>
      <c r="D6" s="6">
        <v>14.0</v>
      </c>
      <c r="E6" s="6">
        <v>1.0</v>
      </c>
      <c r="F6" s="6">
        <v>1.0</v>
      </c>
      <c r="G6" s="6">
        <v>1.0</v>
      </c>
      <c r="H6" s="3"/>
      <c r="I6" s="3"/>
      <c r="J6" s="3"/>
      <c r="K6" s="3"/>
      <c r="L6" s="3"/>
      <c r="M6" s="3"/>
      <c r="N6" s="3"/>
      <c r="O6" s="3"/>
      <c r="P6" s="3"/>
      <c r="Q6" s="3"/>
      <c r="R6" s="3"/>
      <c r="S6" s="3"/>
      <c r="T6" s="3"/>
      <c r="U6" s="3"/>
      <c r="V6" s="3"/>
      <c r="W6" s="3"/>
      <c r="X6" s="3"/>
      <c r="Y6" s="3"/>
      <c r="Z6" s="3"/>
      <c r="AA6" s="3"/>
    </row>
    <row r="7">
      <c r="A7" s="4" t="s">
        <v>17</v>
      </c>
      <c r="B7" s="4" t="s">
        <v>18</v>
      </c>
      <c r="C7" s="5">
        <v>42.0</v>
      </c>
      <c r="D7" s="3">
        <f>MINUS(42,11)</f>
        <v>31</v>
      </c>
      <c r="E7" s="3">
        <f>MINUS(31,26)</f>
        <v>5</v>
      </c>
      <c r="F7" s="7">
        <v>3.0</v>
      </c>
      <c r="G7" s="6">
        <v>3.0</v>
      </c>
      <c r="H7" s="3"/>
      <c r="I7" s="3"/>
      <c r="J7" s="3"/>
      <c r="K7" s="3"/>
      <c r="L7" s="3"/>
      <c r="M7" s="3"/>
      <c r="N7" s="3"/>
      <c r="O7" s="3"/>
      <c r="P7" s="3"/>
      <c r="Q7" s="3"/>
      <c r="R7" s="3"/>
      <c r="S7" s="3"/>
      <c r="T7" s="3"/>
      <c r="U7" s="3"/>
      <c r="V7" s="3"/>
      <c r="W7" s="3"/>
      <c r="X7" s="3"/>
      <c r="Y7" s="3"/>
      <c r="Z7" s="3"/>
      <c r="AA7" s="3"/>
    </row>
    <row r="8">
      <c r="A8" s="4" t="s">
        <v>19</v>
      </c>
      <c r="B8" s="4" t="s">
        <v>20</v>
      </c>
      <c r="C8" s="5">
        <v>50.0</v>
      </c>
      <c r="D8" s="3">
        <f>MINUS(50,2)</f>
        <v>48</v>
      </c>
      <c r="E8" s="3">
        <f>MINUS(48,48)</f>
        <v>0</v>
      </c>
      <c r="F8" s="6">
        <v>0.0</v>
      </c>
      <c r="G8" s="3">
        <f>ADD(0,1)</f>
        <v>1</v>
      </c>
      <c r="H8" s="3"/>
      <c r="I8" s="3"/>
      <c r="J8" s="3"/>
      <c r="K8" s="3"/>
      <c r="L8" s="3"/>
      <c r="M8" s="3"/>
      <c r="N8" s="3"/>
      <c r="O8" s="3"/>
      <c r="P8" s="3"/>
      <c r="Q8" s="3"/>
      <c r="R8" s="3"/>
      <c r="S8" s="3"/>
      <c r="T8" s="3"/>
      <c r="U8" s="3"/>
      <c r="V8" s="3"/>
      <c r="W8" s="3"/>
      <c r="X8" s="3"/>
      <c r="Y8" s="3"/>
      <c r="Z8" s="3"/>
      <c r="AA8" s="3"/>
    </row>
    <row r="9">
      <c r="A9" s="4" t="s">
        <v>21</v>
      </c>
      <c r="B9" s="9" t="s">
        <v>22</v>
      </c>
      <c r="C9" s="6">
        <v>13.0</v>
      </c>
      <c r="D9" s="6">
        <v>2.0</v>
      </c>
      <c r="E9" s="6">
        <v>0.0</v>
      </c>
      <c r="F9" s="6">
        <v>0.0</v>
      </c>
      <c r="G9" s="6">
        <v>0.0</v>
      </c>
      <c r="H9" s="10"/>
      <c r="I9" s="10"/>
      <c r="J9" s="3"/>
      <c r="K9" s="3"/>
      <c r="L9" s="3"/>
      <c r="M9" s="3"/>
      <c r="N9" s="3"/>
      <c r="O9" s="3"/>
      <c r="P9" s="3"/>
      <c r="Q9" s="3"/>
      <c r="R9" s="3"/>
      <c r="S9" s="3"/>
      <c r="T9" s="3"/>
      <c r="U9" s="3"/>
      <c r="V9" s="3"/>
      <c r="W9" s="3"/>
      <c r="X9" s="3"/>
      <c r="Y9" s="3"/>
      <c r="Z9" s="3"/>
      <c r="AA9" s="3"/>
    </row>
    <row r="10">
      <c r="A10" s="11" t="s">
        <v>23</v>
      </c>
      <c r="B10" s="9" t="s">
        <v>24</v>
      </c>
      <c r="C10" s="6">
        <v>12.0</v>
      </c>
      <c r="D10" s="6">
        <v>2.0</v>
      </c>
      <c r="E10" s="6">
        <v>0.0</v>
      </c>
      <c r="F10" s="6">
        <v>0.0</v>
      </c>
      <c r="G10" s="6">
        <v>0.0</v>
      </c>
      <c r="H10" s="10"/>
      <c r="I10" s="10"/>
      <c r="J10" s="3"/>
      <c r="K10" s="3"/>
      <c r="L10" s="3"/>
      <c r="M10" s="3"/>
      <c r="N10" s="3"/>
      <c r="O10" s="3"/>
      <c r="P10" s="3"/>
      <c r="Q10" s="3"/>
      <c r="R10" s="3"/>
      <c r="S10" s="3"/>
      <c r="T10" s="3"/>
      <c r="U10" s="3"/>
      <c r="V10" s="3"/>
      <c r="W10" s="3"/>
      <c r="X10" s="3"/>
      <c r="Y10" s="3"/>
      <c r="Z10" s="3"/>
      <c r="AA10" s="3"/>
    </row>
    <row r="11">
      <c r="A11" s="11" t="s">
        <v>25</v>
      </c>
      <c r="B11" s="9" t="s">
        <v>26</v>
      </c>
      <c r="C11" s="6">
        <v>0.0</v>
      </c>
      <c r="D11" s="6">
        <v>0.0</v>
      </c>
      <c r="E11" s="6">
        <v>0.0</v>
      </c>
      <c r="F11" s="6">
        <v>0.0</v>
      </c>
      <c r="G11" s="6">
        <v>0.0</v>
      </c>
      <c r="H11" s="10"/>
      <c r="I11" s="10"/>
      <c r="J11" s="3"/>
      <c r="K11" s="3"/>
      <c r="L11" s="3"/>
      <c r="M11" s="3"/>
      <c r="N11" s="3"/>
      <c r="O11" s="3"/>
      <c r="P11" s="3"/>
      <c r="Q11" s="3"/>
      <c r="R11" s="3"/>
      <c r="S11" s="3"/>
      <c r="T11" s="3"/>
      <c r="U11" s="3"/>
      <c r="V11" s="3"/>
      <c r="W11" s="3"/>
      <c r="X11" s="3"/>
      <c r="Y11" s="3"/>
      <c r="Z11" s="3"/>
      <c r="AA11" s="3"/>
    </row>
    <row r="12">
      <c r="A12" s="3"/>
      <c r="B12" s="10"/>
      <c r="C12" s="3"/>
      <c r="D12" s="3"/>
      <c r="E12" s="3"/>
      <c r="F12" s="3"/>
      <c r="G12" s="3"/>
      <c r="H12" s="10"/>
      <c r="I12" s="10"/>
      <c r="J12" s="3"/>
      <c r="K12" s="3"/>
      <c r="L12" s="3"/>
      <c r="M12" s="3"/>
      <c r="N12" s="3"/>
      <c r="O12" s="3"/>
      <c r="P12" s="3"/>
      <c r="Q12" s="3"/>
      <c r="R12" s="3"/>
      <c r="S12" s="3"/>
      <c r="T12" s="3"/>
      <c r="U12" s="3"/>
      <c r="V12" s="3"/>
      <c r="W12" s="3"/>
      <c r="X12" s="3"/>
      <c r="Y12" s="3"/>
      <c r="Z12" s="3"/>
      <c r="AA12" s="3"/>
    </row>
    <row r="13">
      <c r="A13" s="3"/>
      <c r="B13" s="4" t="s">
        <v>27</v>
      </c>
      <c r="C13" s="12">
        <f t="shared" ref="C13:G13" si="1">SUM(C2:C11)</f>
        <v>440</v>
      </c>
      <c r="D13" s="12">
        <f t="shared" si="1"/>
        <v>365</v>
      </c>
      <c r="E13" s="12">
        <f t="shared" si="1"/>
        <v>49</v>
      </c>
      <c r="F13" s="12">
        <f t="shared" si="1"/>
        <v>33</v>
      </c>
      <c r="G13" s="12">
        <f t="shared" si="1"/>
        <v>45</v>
      </c>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6"/>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6"/>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2.0"/>
    <col customWidth="1" min="3" max="3" width="62.13"/>
    <col customWidth="1" min="5" max="5" width="34.13"/>
    <col customWidth="1" min="6" max="6" width="16.75"/>
    <col customWidth="1" min="7" max="7" width="25.13"/>
  </cols>
  <sheetData>
    <row r="1">
      <c r="A1" s="13" t="s">
        <v>28</v>
      </c>
      <c r="B1" s="13" t="s">
        <v>29</v>
      </c>
      <c r="C1" s="14" t="s">
        <v>30</v>
      </c>
      <c r="D1" s="13" t="s">
        <v>31</v>
      </c>
      <c r="E1" s="14" t="s">
        <v>32</v>
      </c>
      <c r="F1" s="14" t="s">
        <v>33</v>
      </c>
      <c r="G1" s="14" t="s">
        <v>34</v>
      </c>
      <c r="H1" s="4"/>
      <c r="I1" s="4"/>
      <c r="J1" s="4"/>
      <c r="K1" s="4"/>
      <c r="L1" s="4"/>
      <c r="M1" s="4"/>
      <c r="N1" s="4"/>
      <c r="O1" s="4"/>
      <c r="P1" s="4"/>
      <c r="Q1" s="4"/>
      <c r="R1" s="4"/>
      <c r="S1" s="4"/>
      <c r="T1" s="4"/>
      <c r="U1" s="4"/>
      <c r="V1" s="4"/>
      <c r="W1" s="4"/>
      <c r="X1" s="4"/>
      <c r="Y1" s="4"/>
    </row>
    <row r="2">
      <c r="A2" s="12">
        <v>1.0</v>
      </c>
      <c r="B2" s="11" t="s">
        <v>35</v>
      </c>
      <c r="C2" s="11" t="s">
        <v>36</v>
      </c>
      <c r="D2" s="15">
        <v>2024.0</v>
      </c>
      <c r="E2" s="11" t="s">
        <v>37</v>
      </c>
      <c r="F2" s="11" t="s">
        <v>38</v>
      </c>
      <c r="G2" s="11" t="s">
        <v>39</v>
      </c>
      <c r="H2" s="4"/>
      <c r="I2" s="4"/>
      <c r="J2" s="4"/>
      <c r="K2" s="4"/>
      <c r="L2" s="4"/>
      <c r="M2" s="4"/>
      <c r="N2" s="4"/>
      <c r="O2" s="4"/>
      <c r="P2" s="4"/>
      <c r="Q2" s="4"/>
      <c r="R2" s="4"/>
      <c r="S2" s="4"/>
      <c r="T2" s="4"/>
      <c r="U2" s="4"/>
      <c r="V2" s="4"/>
      <c r="W2" s="4"/>
      <c r="X2" s="4"/>
      <c r="Y2" s="4"/>
    </row>
    <row r="3">
      <c r="A3" s="11">
        <v>2.0</v>
      </c>
      <c r="B3" s="11" t="s">
        <v>40</v>
      </c>
      <c r="C3" s="11" t="s">
        <v>41</v>
      </c>
      <c r="D3" s="11">
        <v>2016.0</v>
      </c>
      <c r="E3" s="11" t="s">
        <v>42</v>
      </c>
      <c r="F3" s="11" t="s">
        <v>38</v>
      </c>
      <c r="G3" s="11" t="s">
        <v>39</v>
      </c>
      <c r="H3" s="4"/>
      <c r="I3" s="4"/>
      <c r="J3" s="4"/>
      <c r="K3" s="4"/>
      <c r="L3" s="4"/>
      <c r="M3" s="4"/>
      <c r="N3" s="4"/>
      <c r="O3" s="4"/>
      <c r="P3" s="4"/>
      <c r="Q3" s="4"/>
      <c r="R3" s="4"/>
      <c r="S3" s="4"/>
      <c r="T3" s="4"/>
      <c r="U3" s="4"/>
      <c r="V3" s="4"/>
      <c r="W3" s="4"/>
      <c r="X3" s="4"/>
      <c r="Y3" s="4"/>
    </row>
    <row r="4">
      <c r="A4" s="11">
        <v>3.0</v>
      </c>
      <c r="B4" s="11" t="s">
        <v>43</v>
      </c>
      <c r="C4" s="11" t="s">
        <v>44</v>
      </c>
      <c r="D4" s="11">
        <v>2020.0</v>
      </c>
      <c r="E4" s="11" t="s">
        <v>45</v>
      </c>
      <c r="F4" s="11" t="s">
        <v>38</v>
      </c>
      <c r="G4" s="11" t="s">
        <v>39</v>
      </c>
      <c r="H4" s="4"/>
      <c r="I4" s="4"/>
      <c r="J4" s="4"/>
      <c r="K4" s="4"/>
      <c r="L4" s="4"/>
      <c r="M4" s="4"/>
      <c r="N4" s="4"/>
      <c r="O4" s="4"/>
      <c r="P4" s="4"/>
      <c r="Q4" s="4"/>
      <c r="R4" s="4"/>
      <c r="S4" s="4"/>
      <c r="T4" s="4"/>
      <c r="U4" s="4"/>
      <c r="V4" s="4"/>
      <c r="W4" s="4"/>
      <c r="X4" s="4"/>
      <c r="Y4" s="4"/>
    </row>
    <row r="5">
      <c r="A5" s="12">
        <v>4.0</v>
      </c>
      <c r="B5" s="11" t="s">
        <v>46</v>
      </c>
      <c r="C5" s="11" t="s">
        <v>47</v>
      </c>
      <c r="D5" s="11">
        <v>2024.0</v>
      </c>
      <c r="E5" s="11" t="s">
        <v>48</v>
      </c>
      <c r="F5" s="11" t="s">
        <v>38</v>
      </c>
      <c r="G5" s="11" t="s">
        <v>49</v>
      </c>
      <c r="H5" s="4"/>
      <c r="I5" s="4"/>
      <c r="J5" s="4"/>
      <c r="K5" s="4"/>
      <c r="L5" s="4"/>
      <c r="M5" s="4"/>
      <c r="N5" s="4"/>
      <c r="O5" s="4"/>
      <c r="P5" s="4"/>
      <c r="Q5" s="4"/>
      <c r="R5" s="4"/>
      <c r="S5" s="4"/>
      <c r="T5" s="4"/>
      <c r="U5" s="4"/>
      <c r="V5" s="4"/>
      <c r="W5" s="4"/>
      <c r="X5" s="4"/>
      <c r="Y5" s="4"/>
    </row>
    <row r="6">
      <c r="A6" s="11">
        <v>5.0</v>
      </c>
      <c r="B6" s="11" t="s">
        <v>50</v>
      </c>
      <c r="C6" s="11" t="s">
        <v>51</v>
      </c>
      <c r="D6" s="11">
        <v>2023.0</v>
      </c>
      <c r="E6" s="11" t="s">
        <v>52</v>
      </c>
      <c r="F6" s="11" t="s">
        <v>38</v>
      </c>
      <c r="G6" s="11" t="s">
        <v>39</v>
      </c>
      <c r="H6" s="4"/>
      <c r="I6" s="4"/>
      <c r="J6" s="4"/>
      <c r="K6" s="4"/>
      <c r="L6" s="4"/>
      <c r="M6" s="4"/>
      <c r="N6" s="4"/>
      <c r="O6" s="4"/>
      <c r="P6" s="4"/>
      <c r="Q6" s="4"/>
      <c r="R6" s="4"/>
      <c r="S6" s="4"/>
      <c r="T6" s="4"/>
      <c r="U6" s="4"/>
      <c r="V6" s="4"/>
      <c r="W6" s="4"/>
      <c r="X6" s="4"/>
      <c r="Y6" s="4"/>
    </row>
    <row r="7">
      <c r="A7" s="11">
        <v>6.0</v>
      </c>
      <c r="B7" s="11" t="s">
        <v>53</v>
      </c>
      <c r="C7" s="11" t="s">
        <v>54</v>
      </c>
      <c r="D7" s="11">
        <v>2021.0</v>
      </c>
      <c r="E7" s="11" t="s">
        <v>55</v>
      </c>
      <c r="F7" s="11" t="s">
        <v>38</v>
      </c>
      <c r="G7" s="11" t="s">
        <v>39</v>
      </c>
      <c r="H7" s="4"/>
      <c r="I7" s="4"/>
      <c r="J7" s="4"/>
      <c r="K7" s="4"/>
      <c r="L7" s="4"/>
      <c r="M7" s="4"/>
      <c r="N7" s="4"/>
      <c r="O7" s="4"/>
      <c r="P7" s="4"/>
      <c r="Q7" s="4"/>
      <c r="R7" s="4"/>
      <c r="S7" s="4"/>
      <c r="T7" s="4"/>
      <c r="U7" s="4"/>
      <c r="V7" s="4"/>
      <c r="W7" s="4"/>
      <c r="X7" s="4"/>
      <c r="Y7" s="4"/>
    </row>
    <row r="8">
      <c r="A8" s="12">
        <v>7.0</v>
      </c>
      <c r="B8" s="11" t="s">
        <v>56</v>
      </c>
      <c r="C8" s="11" t="s">
        <v>57</v>
      </c>
      <c r="D8" s="11">
        <v>2015.0</v>
      </c>
      <c r="E8" s="11" t="s">
        <v>58</v>
      </c>
      <c r="F8" s="11" t="s">
        <v>38</v>
      </c>
      <c r="G8" s="11" t="s">
        <v>39</v>
      </c>
      <c r="H8" s="4"/>
      <c r="I8" s="4"/>
      <c r="J8" s="4"/>
      <c r="K8" s="4"/>
      <c r="L8" s="4"/>
      <c r="M8" s="4"/>
      <c r="N8" s="4"/>
      <c r="O8" s="4"/>
      <c r="P8" s="4"/>
      <c r="Q8" s="4"/>
      <c r="R8" s="4"/>
      <c r="S8" s="4"/>
      <c r="T8" s="4"/>
      <c r="U8" s="4"/>
      <c r="V8" s="4"/>
      <c r="W8" s="4"/>
      <c r="X8" s="4"/>
      <c r="Y8" s="4"/>
    </row>
    <row r="9">
      <c r="A9" s="11">
        <v>8.0</v>
      </c>
      <c r="B9" s="11" t="s">
        <v>59</v>
      </c>
      <c r="C9" s="11" t="s">
        <v>60</v>
      </c>
      <c r="D9" s="11">
        <v>2020.0</v>
      </c>
      <c r="E9" s="11" t="s">
        <v>61</v>
      </c>
      <c r="F9" s="11" t="s">
        <v>38</v>
      </c>
      <c r="G9" s="11" t="s">
        <v>39</v>
      </c>
      <c r="H9" s="4"/>
      <c r="I9" s="4"/>
      <c r="J9" s="4"/>
      <c r="K9" s="4"/>
      <c r="L9" s="4"/>
      <c r="M9" s="4"/>
      <c r="N9" s="4"/>
      <c r="O9" s="4"/>
      <c r="P9" s="4"/>
      <c r="Q9" s="4"/>
      <c r="R9" s="4"/>
      <c r="S9" s="4"/>
      <c r="T9" s="4"/>
      <c r="U9" s="4"/>
      <c r="V9" s="4"/>
      <c r="W9" s="4"/>
      <c r="X9" s="4"/>
      <c r="Y9" s="4"/>
    </row>
    <row r="10">
      <c r="A10" s="11">
        <v>9.0</v>
      </c>
      <c r="B10" s="11" t="s">
        <v>62</v>
      </c>
      <c r="C10" s="11" t="s">
        <v>63</v>
      </c>
      <c r="D10" s="11">
        <v>2025.0</v>
      </c>
      <c r="E10" s="11" t="s">
        <v>64</v>
      </c>
      <c r="F10" s="11" t="s">
        <v>65</v>
      </c>
      <c r="G10" s="11" t="s">
        <v>39</v>
      </c>
      <c r="H10" s="4"/>
      <c r="I10" s="4"/>
      <c r="J10" s="4"/>
      <c r="K10" s="4"/>
      <c r="L10" s="4"/>
      <c r="M10" s="4"/>
      <c r="N10" s="4"/>
      <c r="O10" s="4"/>
      <c r="P10" s="4"/>
      <c r="Q10" s="4"/>
      <c r="R10" s="4"/>
      <c r="S10" s="4"/>
      <c r="T10" s="4"/>
      <c r="U10" s="4"/>
      <c r="V10" s="4"/>
      <c r="W10" s="4"/>
      <c r="X10" s="4"/>
      <c r="Y10" s="4"/>
    </row>
    <row r="11">
      <c r="A11" s="12">
        <v>10.0</v>
      </c>
      <c r="B11" s="11" t="s">
        <v>66</v>
      </c>
      <c r="C11" s="11" t="s">
        <v>67</v>
      </c>
      <c r="D11" s="11">
        <v>2024.0</v>
      </c>
      <c r="E11" s="11" t="s">
        <v>68</v>
      </c>
      <c r="F11" s="11" t="s">
        <v>65</v>
      </c>
      <c r="G11" s="11" t="s">
        <v>39</v>
      </c>
      <c r="H11" s="4"/>
      <c r="I11" s="4"/>
      <c r="J11" s="4"/>
      <c r="K11" s="4"/>
      <c r="L11" s="4"/>
      <c r="M11" s="4"/>
      <c r="N11" s="4"/>
      <c r="O11" s="4"/>
      <c r="P11" s="4"/>
      <c r="Q11" s="4"/>
      <c r="R11" s="4"/>
      <c r="S11" s="4"/>
      <c r="T11" s="4"/>
      <c r="U11" s="4"/>
      <c r="V11" s="4"/>
      <c r="W11" s="4"/>
      <c r="X11" s="4"/>
      <c r="Y11" s="4"/>
    </row>
    <row r="12">
      <c r="A12" s="11">
        <v>11.0</v>
      </c>
      <c r="B12" s="11" t="s">
        <v>69</v>
      </c>
      <c r="C12" s="11" t="s">
        <v>70</v>
      </c>
      <c r="D12" s="11">
        <v>2024.0</v>
      </c>
      <c r="E12" s="11" t="s">
        <v>71</v>
      </c>
      <c r="F12" s="11" t="s">
        <v>65</v>
      </c>
      <c r="G12" s="11" t="s">
        <v>49</v>
      </c>
      <c r="H12" s="4"/>
      <c r="I12" s="4"/>
      <c r="J12" s="4"/>
      <c r="K12" s="4"/>
      <c r="L12" s="4"/>
      <c r="M12" s="4"/>
      <c r="N12" s="4"/>
      <c r="O12" s="4"/>
      <c r="P12" s="4"/>
      <c r="Q12" s="4"/>
      <c r="R12" s="4"/>
      <c r="S12" s="4"/>
      <c r="T12" s="4"/>
      <c r="U12" s="4"/>
      <c r="V12" s="4"/>
      <c r="W12" s="4"/>
      <c r="X12" s="4"/>
      <c r="Y12" s="4"/>
    </row>
    <row r="13">
      <c r="A13" s="11">
        <v>12.0</v>
      </c>
      <c r="B13" s="11" t="s">
        <v>72</v>
      </c>
      <c r="C13" s="11" t="s">
        <v>73</v>
      </c>
      <c r="D13" s="11">
        <v>2024.0</v>
      </c>
      <c r="E13" s="11" t="s">
        <v>74</v>
      </c>
      <c r="F13" s="11" t="s">
        <v>65</v>
      </c>
      <c r="G13" s="11" t="s">
        <v>39</v>
      </c>
      <c r="H13" s="4"/>
      <c r="I13" s="4"/>
      <c r="J13" s="4"/>
      <c r="K13" s="4"/>
      <c r="L13" s="4"/>
      <c r="M13" s="4"/>
      <c r="N13" s="4"/>
      <c r="O13" s="4"/>
      <c r="P13" s="4"/>
      <c r="Q13" s="4"/>
      <c r="R13" s="4"/>
      <c r="S13" s="4"/>
      <c r="T13" s="4"/>
      <c r="U13" s="4"/>
      <c r="V13" s="4"/>
      <c r="W13" s="4"/>
      <c r="X13" s="4"/>
      <c r="Y13" s="4"/>
    </row>
    <row r="14">
      <c r="A14" s="12">
        <v>13.0</v>
      </c>
      <c r="B14" s="11" t="s">
        <v>75</v>
      </c>
      <c r="C14" s="11" t="s">
        <v>76</v>
      </c>
      <c r="D14" s="11">
        <v>2023.0</v>
      </c>
      <c r="E14" s="11" t="s">
        <v>77</v>
      </c>
      <c r="F14" s="11" t="s">
        <v>65</v>
      </c>
      <c r="G14" s="11" t="s">
        <v>49</v>
      </c>
      <c r="H14" s="4"/>
      <c r="I14" s="4"/>
      <c r="J14" s="4"/>
      <c r="K14" s="4"/>
      <c r="L14" s="4"/>
      <c r="M14" s="4"/>
      <c r="N14" s="4"/>
      <c r="O14" s="4"/>
      <c r="P14" s="4"/>
      <c r="Q14" s="4"/>
      <c r="R14" s="4"/>
      <c r="S14" s="4"/>
      <c r="T14" s="4"/>
      <c r="U14" s="4"/>
      <c r="V14" s="4"/>
      <c r="W14" s="4"/>
      <c r="X14" s="4"/>
      <c r="Y14" s="4"/>
    </row>
    <row r="15">
      <c r="A15" s="11">
        <v>14.0</v>
      </c>
      <c r="B15" s="11" t="s">
        <v>78</v>
      </c>
      <c r="C15" s="11" t="s">
        <v>79</v>
      </c>
      <c r="D15" s="11">
        <v>2025.0</v>
      </c>
      <c r="E15" s="11" t="s">
        <v>80</v>
      </c>
      <c r="F15" s="11" t="s">
        <v>65</v>
      </c>
      <c r="G15" s="11" t="s">
        <v>39</v>
      </c>
      <c r="H15" s="4"/>
      <c r="I15" s="4"/>
      <c r="J15" s="4"/>
      <c r="K15" s="4"/>
      <c r="L15" s="4"/>
      <c r="M15" s="4"/>
      <c r="N15" s="4"/>
      <c r="O15" s="4"/>
      <c r="P15" s="4"/>
      <c r="Q15" s="4"/>
      <c r="R15" s="4"/>
      <c r="S15" s="4"/>
      <c r="T15" s="4"/>
      <c r="U15" s="4"/>
      <c r="V15" s="4"/>
      <c r="W15" s="4"/>
      <c r="X15" s="4"/>
      <c r="Y15" s="4"/>
    </row>
    <row r="16">
      <c r="A16" s="11">
        <v>15.0</v>
      </c>
      <c r="B16" s="11" t="s">
        <v>81</v>
      </c>
      <c r="C16" s="11" t="s">
        <v>82</v>
      </c>
      <c r="D16" s="11">
        <v>2025.0</v>
      </c>
      <c r="E16" s="11" t="s">
        <v>83</v>
      </c>
      <c r="F16" s="11" t="s">
        <v>65</v>
      </c>
      <c r="G16" s="11" t="s">
        <v>49</v>
      </c>
      <c r="H16" s="4"/>
      <c r="I16" s="4"/>
      <c r="J16" s="4"/>
      <c r="K16" s="4"/>
      <c r="L16" s="4"/>
      <c r="M16" s="4"/>
      <c r="N16" s="4"/>
      <c r="O16" s="4"/>
      <c r="P16" s="4"/>
      <c r="Q16" s="4"/>
      <c r="R16" s="4"/>
      <c r="S16" s="4"/>
      <c r="T16" s="4"/>
      <c r="U16" s="4"/>
      <c r="V16" s="4"/>
      <c r="W16" s="4"/>
      <c r="X16" s="4"/>
      <c r="Y16" s="4"/>
    </row>
    <row r="17">
      <c r="A17" s="12">
        <v>16.0</v>
      </c>
      <c r="B17" s="11" t="s">
        <v>84</v>
      </c>
      <c r="C17" s="11" t="s">
        <v>85</v>
      </c>
      <c r="D17" s="11">
        <v>2022.0</v>
      </c>
      <c r="E17" s="11" t="s">
        <v>86</v>
      </c>
      <c r="F17" s="11" t="s">
        <v>65</v>
      </c>
      <c r="G17" s="11" t="s">
        <v>39</v>
      </c>
      <c r="H17" s="4"/>
      <c r="I17" s="4"/>
      <c r="J17" s="4"/>
      <c r="K17" s="4"/>
      <c r="L17" s="4"/>
      <c r="M17" s="4"/>
      <c r="N17" s="4"/>
      <c r="O17" s="4"/>
      <c r="P17" s="4"/>
      <c r="Q17" s="4"/>
      <c r="R17" s="4"/>
      <c r="S17" s="4"/>
      <c r="T17" s="4"/>
      <c r="U17" s="4"/>
      <c r="V17" s="4"/>
      <c r="W17" s="4"/>
      <c r="X17" s="4"/>
      <c r="Y17" s="4"/>
    </row>
    <row r="18">
      <c r="A18" s="11">
        <v>17.0</v>
      </c>
      <c r="B18" s="11" t="s">
        <v>87</v>
      </c>
      <c r="C18" s="11" t="s">
        <v>88</v>
      </c>
      <c r="D18" s="11">
        <v>2025.0</v>
      </c>
      <c r="E18" s="11" t="s">
        <v>89</v>
      </c>
      <c r="F18" s="11" t="s">
        <v>65</v>
      </c>
      <c r="G18" s="11" t="s">
        <v>49</v>
      </c>
      <c r="H18" s="4"/>
      <c r="I18" s="4"/>
      <c r="J18" s="4"/>
      <c r="K18" s="4"/>
      <c r="L18" s="4"/>
      <c r="M18" s="4"/>
      <c r="N18" s="4"/>
      <c r="O18" s="4"/>
      <c r="P18" s="4"/>
      <c r="Q18" s="4"/>
      <c r="R18" s="4"/>
      <c r="S18" s="4"/>
      <c r="T18" s="4"/>
      <c r="U18" s="4"/>
      <c r="V18" s="4"/>
      <c r="W18" s="4"/>
      <c r="X18" s="4"/>
      <c r="Y18" s="4"/>
    </row>
    <row r="19">
      <c r="A19" s="11">
        <v>18.0</v>
      </c>
      <c r="B19" s="11" t="s">
        <v>90</v>
      </c>
      <c r="C19" s="11" t="s">
        <v>91</v>
      </c>
      <c r="D19" s="11">
        <v>2025.0</v>
      </c>
      <c r="E19" s="11" t="s">
        <v>92</v>
      </c>
      <c r="F19" s="11" t="s">
        <v>65</v>
      </c>
      <c r="G19" s="11" t="s">
        <v>49</v>
      </c>
      <c r="H19" s="4"/>
      <c r="I19" s="4"/>
      <c r="J19" s="4"/>
      <c r="K19" s="4"/>
      <c r="L19" s="4"/>
      <c r="M19" s="4"/>
      <c r="N19" s="4"/>
      <c r="O19" s="4"/>
      <c r="P19" s="4"/>
      <c r="Q19" s="4"/>
      <c r="R19" s="4"/>
      <c r="S19" s="4"/>
      <c r="T19" s="4"/>
      <c r="U19" s="4"/>
      <c r="V19" s="4"/>
      <c r="W19" s="4"/>
      <c r="X19" s="4"/>
      <c r="Y19" s="4"/>
    </row>
    <row r="20">
      <c r="A20" s="12">
        <v>19.0</v>
      </c>
      <c r="B20" s="11" t="s">
        <v>93</v>
      </c>
      <c r="C20" s="11" t="s">
        <v>94</v>
      </c>
      <c r="D20" s="11">
        <v>2025.0</v>
      </c>
      <c r="E20" s="11" t="s">
        <v>95</v>
      </c>
      <c r="F20" s="11" t="s">
        <v>65</v>
      </c>
      <c r="G20" s="11" t="s">
        <v>49</v>
      </c>
      <c r="H20" s="4"/>
      <c r="I20" s="4"/>
      <c r="J20" s="4"/>
      <c r="K20" s="4"/>
      <c r="L20" s="4"/>
      <c r="M20" s="4"/>
      <c r="N20" s="4"/>
      <c r="O20" s="4"/>
      <c r="P20" s="4"/>
      <c r="Q20" s="4"/>
      <c r="R20" s="4"/>
      <c r="S20" s="4"/>
      <c r="T20" s="4"/>
      <c r="U20" s="4"/>
      <c r="V20" s="4"/>
      <c r="W20" s="4"/>
      <c r="X20" s="4"/>
      <c r="Y20" s="4"/>
    </row>
    <row r="21">
      <c r="A21" s="11">
        <v>20.0</v>
      </c>
      <c r="B21" s="11" t="s">
        <v>96</v>
      </c>
      <c r="C21" s="11" t="s">
        <v>97</v>
      </c>
      <c r="D21" s="11">
        <v>2025.0</v>
      </c>
      <c r="E21" s="11" t="s">
        <v>71</v>
      </c>
      <c r="F21" s="11" t="s">
        <v>65</v>
      </c>
      <c r="G21" s="11" t="s">
        <v>49</v>
      </c>
      <c r="H21" s="4"/>
      <c r="I21" s="4"/>
      <c r="J21" s="4"/>
      <c r="K21" s="4"/>
      <c r="L21" s="4"/>
      <c r="M21" s="4"/>
      <c r="N21" s="4"/>
      <c r="O21" s="4"/>
      <c r="P21" s="4"/>
      <c r="Q21" s="4"/>
      <c r="R21" s="4"/>
      <c r="S21" s="4"/>
      <c r="T21" s="4"/>
      <c r="U21" s="4"/>
      <c r="V21" s="4"/>
      <c r="W21" s="4"/>
      <c r="X21" s="4"/>
      <c r="Y21" s="4"/>
    </row>
    <row r="22">
      <c r="A22" s="11">
        <v>21.0</v>
      </c>
      <c r="B22" s="11" t="s">
        <v>98</v>
      </c>
      <c r="C22" s="11" t="s">
        <v>99</v>
      </c>
      <c r="D22" s="11">
        <v>2022.0</v>
      </c>
      <c r="E22" s="11" t="s">
        <v>100</v>
      </c>
      <c r="F22" s="11" t="s">
        <v>65</v>
      </c>
      <c r="G22" s="11" t="s">
        <v>49</v>
      </c>
      <c r="H22" s="4"/>
      <c r="I22" s="4"/>
      <c r="J22" s="4"/>
      <c r="K22" s="4"/>
      <c r="L22" s="4"/>
      <c r="M22" s="4"/>
      <c r="N22" s="4"/>
      <c r="O22" s="4"/>
      <c r="P22" s="4"/>
      <c r="Q22" s="4"/>
      <c r="R22" s="4"/>
      <c r="S22" s="4"/>
      <c r="T22" s="4"/>
      <c r="U22" s="4"/>
      <c r="V22" s="4"/>
      <c r="W22" s="4"/>
      <c r="X22" s="4"/>
      <c r="Y22" s="4"/>
    </row>
    <row r="23">
      <c r="A23" s="12">
        <v>22.0</v>
      </c>
      <c r="B23" s="11" t="s">
        <v>101</v>
      </c>
      <c r="C23" s="11" t="s">
        <v>102</v>
      </c>
      <c r="D23" s="11">
        <v>2025.0</v>
      </c>
      <c r="E23" s="11" t="s">
        <v>103</v>
      </c>
      <c r="F23" s="11" t="s">
        <v>65</v>
      </c>
      <c r="G23" s="11" t="s">
        <v>49</v>
      </c>
      <c r="H23" s="4"/>
      <c r="I23" s="4"/>
      <c r="J23" s="4"/>
      <c r="K23" s="4"/>
      <c r="L23" s="4"/>
      <c r="M23" s="4"/>
      <c r="N23" s="4"/>
      <c r="O23" s="4"/>
      <c r="P23" s="4"/>
      <c r="Q23" s="4"/>
      <c r="R23" s="4"/>
      <c r="S23" s="4"/>
      <c r="T23" s="4"/>
      <c r="U23" s="4"/>
      <c r="V23" s="4"/>
      <c r="W23" s="4"/>
      <c r="X23" s="4"/>
      <c r="Y23" s="4"/>
    </row>
    <row r="24">
      <c r="A24" s="11">
        <v>23.0</v>
      </c>
      <c r="B24" s="11" t="s">
        <v>104</v>
      </c>
      <c r="C24" s="11" t="s">
        <v>105</v>
      </c>
      <c r="D24" s="11">
        <v>2024.0</v>
      </c>
      <c r="E24" s="11" t="s">
        <v>106</v>
      </c>
      <c r="F24" s="11" t="s">
        <v>65</v>
      </c>
      <c r="G24" s="11" t="s">
        <v>49</v>
      </c>
      <c r="H24" s="4"/>
      <c r="I24" s="4"/>
      <c r="J24" s="4"/>
      <c r="K24" s="4"/>
      <c r="L24" s="4"/>
      <c r="M24" s="4"/>
      <c r="N24" s="4"/>
      <c r="O24" s="4"/>
      <c r="P24" s="4"/>
      <c r="Q24" s="4"/>
      <c r="R24" s="4"/>
      <c r="S24" s="4"/>
      <c r="T24" s="4"/>
      <c r="U24" s="4"/>
      <c r="V24" s="4"/>
      <c r="W24" s="4"/>
      <c r="X24" s="4"/>
      <c r="Y24" s="4"/>
    </row>
    <row r="25">
      <c r="A25" s="11">
        <v>24.0</v>
      </c>
      <c r="B25" s="11" t="s">
        <v>107</v>
      </c>
      <c r="C25" s="11" t="s">
        <v>108</v>
      </c>
      <c r="D25" s="11">
        <v>2024.0</v>
      </c>
      <c r="E25" s="11" t="s">
        <v>109</v>
      </c>
      <c r="F25" s="11" t="s">
        <v>65</v>
      </c>
      <c r="G25" s="11" t="s">
        <v>39</v>
      </c>
      <c r="H25" s="4"/>
      <c r="I25" s="4"/>
      <c r="J25" s="4"/>
      <c r="K25" s="4"/>
      <c r="L25" s="4"/>
      <c r="M25" s="4"/>
      <c r="N25" s="4"/>
      <c r="O25" s="4"/>
      <c r="P25" s="4"/>
      <c r="Q25" s="4"/>
      <c r="R25" s="4"/>
      <c r="S25" s="4"/>
      <c r="T25" s="4"/>
      <c r="U25" s="4"/>
      <c r="V25" s="4"/>
      <c r="W25" s="4"/>
      <c r="X25" s="4"/>
      <c r="Y25" s="4"/>
    </row>
    <row r="26">
      <c r="A26" s="12">
        <v>25.0</v>
      </c>
      <c r="B26" s="11" t="s">
        <v>110</v>
      </c>
      <c r="C26" s="11" t="s">
        <v>111</v>
      </c>
      <c r="D26" s="11">
        <v>2024.0</v>
      </c>
      <c r="E26" s="11" t="s">
        <v>112</v>
      </c>
      <c r="F26" s="11" t="s">
        <v>65</v>
      </c>
      <c r="G26" s="11" t="s">
        <v>49</v>
      </c>
      <c r="H26" s="4"/>
      <c r="I26" s="4"/>
      <c r="J26" s="4"/>
      <c r="K26" s="4"/>
      <c r="L26" s="4"/>
      <c r="M26" s="4"/>
      <c r="N26" s="4"/>
      <c r="O26" s="4"/>
      <c r="P26" s="4"/>
      <c r="Q26" s="4"/>
      <c r="R26" s="4"/>
      <c r="S26" s="4"/>
      <c r="T26" s="4"/>
      <c r="U26" s="4"/>
      <c r="V26" s="4"/>
      <c r="W26" s="4"/>
      <c r="X26" s="4"/>
      <c r="Y26" s="4"/>
    </row>
    <row r="27">
      <c r="A27" s="11">
        <v>26.0</v>
      </c>
      <c r="B27" s="11" t="s">
        <v>113</v>
      </c>
      <c r="C27" s="11" t="s">
        <v>114</v>
      </c>
      <c r="D27" s="11">
        <v>2022.0</v>
      </c>
      <c r="E27" s="11" t="s">
        <v>115</v>
      </c>
      <c r="F27" s="11" t="s">
        <v>65</v>
      </c>
      <c r="G27" s="11" t="s">
        <v>49</v>
      </c>
      <c r="H27" s="4"/>
      <c r="I27" s="4"/>
      <c r="J27" s="4"/>
      <c r="K27" s="4"/>
      <c r="L27" s="4"/>
      <c r="M27" s="4"/>
      <c r="N27" s="4"/>
      <c r="O27" s="4"/>
      <c r="P27" s="4"/>
      <c r="Q27" s="4"/>
      <c r="R27" s="4"/>
      <c r="S27" s="4"/>
      <c r="T27" s="4"/>
      <c r="U27" s="4"/>
      <c r="V27" s="4"/>
      <c r="W27" s="4"/>
      <c r="X27" s="4"/>
      <c r="Y27" s="4"/>
    </row>
    <row r="28">
      <c r="A28" s="11">
        <v>27.0</v>
      </c>
      <c r="B28" s="11" t="s">
        <v>116</v>
      </c>
      <c r="C28" s="11" t="s">
        <v>117</v>
      </c>
      <c r="D28" s="11">
        <v>2025.0</v>
      </c>
      <c r="E28" s="11" t="s">
        <v>118</v>
      </c>
      <c r="F28" s="11" t="s">
        <v>65</v>
      </c>
      <c r="G28" s="11" t="s">
        <v>49</v>
      </c>
      <c r="H28" s="4"/>
      <c r="I28" s="4"/>
      <c r="J28" s="4"/>
      <c r="K28" s="4"/>
      <c r="L28" s="4"/>
      <c r="M28" s="4"/>
      <c r="N28" s="4"/>
      <c r="O28" s="4"/>
      <c r="P28" s="4"/>
      <c r="Q28" s="4"/>
      <c r="R28" s="4"/>
      <c r="S28" s="4"/>
      <c r="T28" s="4"/>
      <c r="U28" s="4"/>
      <c r="V28" s="4"/>
      <c r="W28" s="4"/>
      <c r="X28" s="4"/>
      <c r="Y28" s="4"/>
    </row>
    <row r="29">
      <c r="A29" s="12">
        <v>28.0</v>
      </c>
      <c r="B29" s="11" t="s">
        <v>119</v>
      </c>
      <c r="C29" s="11" t="s">
        <v>120</v>
      </c>
      <c r="D29" s="11">
        <v>2024.0</v>
      </c>
      <c r="E29" s="11" t="s">
        <v>121</v>
      </c>
      <c r="F29" s="11" t="s">
        <v>65</v>
      </c>
      <c r="G29" s="11" t="s">
        <v>39</v>
      </c>
      <c r="H29" s="4"/>
      <c r="I29" s="4"/>
      <c r="J29" s="4"/>
      <c r="K29" s="4"/>
      <c r="L29" s="4"/>
      <c r="M29" s="4"/>
      <c r="N29" s="4"/>
      <c r="O29" s="4"/>
      <c r="P29" s="4"/>
      <c r="Q29" s="4"/>
      <c r="R29" s="4"/>
      <c r="S29" s="4"/>
      <c r="T29" s="4"/>
      <c r="U29" s="4"/>
      <c r="V29" s="4"/>
      <c r="W29" s="4"/>
      <c r="X29" s="4"/>
      <c r="Y29" s="4"/>
    </row>
    <row r="30">
      <c r="A30" s="11">
        <v>29.0</v>
      </c>
      <c r="B30" s="11" t="s">
        <v>122</v>
      </c>
      <c r="C30" s="11" t="s">
        <v>123</v>
      </c>
      <c r="D30" s="11">
        <v>2025.0</v>
      </c>
      <c r="E30" s="11" t="s">
        <v>124</v>
      </c>
      <c r="F30" s="11" t="s">
        <v>65</v>
      </c>
      <c r="G30" s="11" t="s">
        <v>39</v>
      </c>
      <c r="H30" s="4"/>
      <c r="I30" s="4"/>
      <c r="J30" s="4"/>
      <c r="K30" s="4"/>
      <c r="L30" s="4"/>
      <c r="M30" s="4"/>
      <c r="N30" s="4"/>
      <c r="O30" s="4"/>
      <c r="P30" s="4"/>
      <c r="Q30" s="4"/>
      <c r="R30" s="4"/>
      <c r="S30" s="4"/>
      <c r="T30" s="4"/>
      <c r="U30" s="4"/>
      <c r="V30" s="4"/>
      <c r="W30" s="4"/>
      <c r="X30" s="4"/>
      <c r="Y30" s="4"/>
    </row>
    <row r="31">
      <c r="A31" s="11">
        <v>30.0</v>
      </c>
      <c r="B31" s="11" t="s">
        <v>125</v>
      </c>
      <c r="C31" s="11" t="s">
        <v>126</v>
      </c>
      <c r="D31" s="11">
        <v>2025.0</v>
      </c>
      <c r="E31" s="11" t="s">
        <v>71</v>
      </c>
      <c r="F31" s="11" t="s">
        <v>65</v>
      </c>
      <c r="G31" s="11" t="s">
        <v>49</v>
      </c>
      <c r="H31" s="4"/>
      <c r="I31" s="4"/>
      <c r="J31" s="4"/>
      <c r="K31" s="4"/>
      <c r="L31" s="4"/>
      <c r="M31" s="4"/>
      <c r="N31" s="4"/>
      <c r="O31" s="4"/>
      <c r="P31" s="4"/>
      <c r="Q31" s="4"/>
      <c r="R31" s="4"/>
      <c r="S31" s="4"/>
      <c r="T31" s="4"/>
      <c r="U31" s="4"/>
      <c r="V31" s="4"/>
      <c r="W31" s="4"/>
      <c r="X31" s="4"/>
      <c r="Y31" s="4"/>
    </row>
    <row r="32">
      <c r="A32" s="12">
        <v>31.0</v>
      </c>
      <c r="B32" s="11" t="s">
        <v>127</v>
      </c>
      <c r="C32" s="11" t="s">
        <v>128</v>
      </c>
      <c r="D32" s="11">
        <v>2023.0</v>
      </c>
      <c r="E32" s="11" t="s">
        <v>100</v>
      </c>
      <c r="F32" s="11" t="s">
        <v>65</v>
      </c>
      <c r="G32" s="11" t="s">
        <v>49</v>
      </c>
      <c r="H32" s="4"/>
      <c r="I32" s="4"/>
      <c r="J32" s="4"/>
      <c r="K32" s="4"/>
      <c r="L32" s="4"/>
      <c r="M32" s="4"/>
      <c r="N32" s="4"/>
      <c r="O32" s="4"/>
      <c r="P32" s="4"/>
      <c r="Q32" s="4"/>
      <c r="R32" s="4"/>
      <c r="S32" s="4"/>
      <c r="T32" s="4"/>
      <c r="U32" s="4"/>
      <c r="V32" s="4"/>
      <c r="W32" s="4"/>
      <c r="X32" s="4"/>
      <c r="Y32" s="4"/>
    </row>
    <row r="33">
      <c r="A33" s="11">
        <v>32.0</v>
      </c>
      <c r="B33" s="11" t="s">
        <v>129</v>
      </c>
      <c r="C33" s="11" t="s">
        <v>130</v>
      </c>
      <c r="D33" s="11">
        <v>2022.0</v>
      </c>
      <c r="E33" s="11" t="s">
        <v>131</v>
      </c>
      <c r="F33" s="11" t="s">
        <v>65</v>
      </c>
      <c r="G33" s="11" t="s">
        <v>39</v>
      </c>
      <c r="H33" s="4"/>
      <c r="I33" s="4"/>
      <c r="J33" s="4"/>
      <c r="K33" s="4"/>
      <c r="L33" s="4"/>
      <c r="M33" s="4"/>
      <c r="N33" s="4"/>
      <c r="O33" s="4"/>
      <c r="P33" s="4"/>
      <c r="Q33" s="4"/>
      <c r="R33" s="4"/>
      <c r="S33" s="4"/>
      <c r="T33" s="4"/>
      <c r="U33" s="4"/>
      <c r="V33" s="4"/>
      <c r="W33" s="4"/>
      <c r="X33" s="4"/>
      <c r="Y33" s="4"/>
    </row>
    <row r="34">
      <c r="A34" s="11">
        <v>33.0</v>
      </c>
      <c r="B34" s="11" t="s">
        <v>132</v>
      </c>
      <c r="C34" s="11" t="s">
        <v>133</v>
      </c>
      <c r="D34" s="11">
        <v>2025.0</v>
      </c>
      <c r="E34" s="11" t="s">
        <v>134</v>
      </c>
      <c r="F34" s="11" t="s">
        <v>65</v>
      </c>
      <c r="G34" s="11" t="s">
        <v>49</v>
      </c>
      <c r="H34" s="4"/>
      <c r="I34" s="4"/>
      <c r="J34" s="4"/>
      <c r="K34" s="4"/>
      <c r="L34" s="4"/>
      <c r="M34" s="4"/>
      <c r="N34" s="4"/>
      <c r="O34" s="4"/>
      <c r="P34" s="4"/>
      <c r="Q34" s="4"/>
      <c r="R34" s="4"/>
      <c r="S34" s="4"/>
      <c r="T34" s="4"/>
      <c r="U34" s="4"/>
      <c r="V34" s="4"/>
      <c r="W34" s="4"/>
      <c r="X34" s="4"/>
      <c r="Y34" s="4"/>
    </row>
    <row r="35">
      <c r="A35" s="12">
        <v>34.0</v>
      </c>
      <c r="B35" s="11" t="s">
        <v>135</v>
      </c>
      <c r="C35" s="11" t="s">
        <v>136</v>
      </c>
      <c r="D35" s="11">
        <v>2025.0</v>
      </c>
      <c r="E35" s="11" t="s">
        <v>137</v>
      </c>
      <c r="F35" s="11" t="s">
        <v>65</v>
      </c>
      <c r="G35" s="11" t="s">
        <v>49</v>
      </c>
      <c r="H35" s="4"/>
      <c r="I35" s="4"/>
      <c r="J35" s="4"/>
      <c r="K35" s="4"/>
      <c r="L35" s="4"/>
      <c r="M35" s="4"/>
      <c r="N35" s="4"/>
      <c r="O35" s="4"/>
      <c r="P35" s="4"/>
      <c r="Q35" s="4"/>
      <c r="R35" s="4"/>
      <c r="S35" s="4"/>
      <c r="T35" s="4"/>
      <c r="U35" s="4"/>
      <c r="V35" s="4"/>
      <c r="W35" s="4"/>
      <c r="X35" s="4"/>
      <c r="Y35" s="4"/>
    </row>
    <row r="36">
      <c r="A36" s="11">
        <v>35.0</v>
      </c>
      <c r="B36" s="11" t="s">
        <v>138</v>
      </c>
      <c r="C36" s="11" t="s">
        <v>139</v>
      </c>
      <c r="D36" s="11">
        <v>2025.0</v>
      </c>
      <c r="E36" s="11" t="s">
        <v>140</v>
      </c>
      <c r="F36" s="11" t="s">
        <v>65</v>
      </c>
      <c r="G36" s="11" t="s">
        <v>49</v>
      </c>
      <c r="H36" s="4"/>
      <c r="I36" s="4"/>
      <c r="J36" s="4"/>
      <c r="K36" s="4"/>
      <c r="L36" s="4"/>
      <c r="M36" s="4"/>
      <c r="N36" s="4"/>
      <c r="O36" s="4"/>
      <c r="P36" s="4"/>
      <c r="Q36" s="4"/>
      <c r="R36" s="4"/>
      <c r="S36" s="4"/>
      <c r="T36" s="4"/>
      <c r="U36" s="4"/>
      <c r="V36" s="4"/>
      <c r="W36" s="4"/>
      <c r="X36" s="4"/>
      <c r="Y36" s="4"/>
    </row>
    <row r="37">
      <c r="A37" s="11">
        <v>36.0</v>
      </c>
      <c r="B37" s="11" t="s">
        <v>141</v>
      </c>
      <c r="C37" s="11" t="s">
        <v>142</v>
      </c>
      <c r="D37" s="11">
        <v>2025.0</v>
      </c>
      <c r="E37" s="11" t="s">
        <v>143</v>
      </c>
      <c r="F37" s="11" t="s">
        <v>65</v>
      </c>
      <c r="G37" s="11" t="s">
        <v>39</v>
      </c>
      <c r="H37" s="4"/>
      <c r="I37" s="4"/>
      <c r="J37" s="4"/>
      <c r="K37" s="4"/>
      <c r="L37" s="4"/>
      <c r="M37" s="4"/>
      <c r="N37" s="4"/>
      <c r="O37" s="4"/>
      <c r="P37" s="4"/>
      <c r="Q37" s="4"/>
      <c r="R37" s="4"/>
      <c r="S37" s="4"/>
      <c r="T37" s="4"/>
      <c r="U37" s="4"/>
      <c r="V37" s="4"/>
      <c r="W37" s="4"/>
      <c r="X37" s="4"/>
      <c r="Y37" s="4"/>
    </row>
    <row r="38">
      <c r="A38" s="12">
        <v>37.0</v>
      </c>
      <c r="B38" s="11" t="s">
        <v>144</v>
      </c>
      <c r="C38" s="11" t="s">
        <v>145</v>
      </c>
      <c r="D38" s="11">
        <v>2023.0</v>
      </c>
      <c r="E38" s="11" t="s">
        <v>146</v>
      </c>
      <c r="F38" s="11" t="s">
        <v>65</v>
      </c>
      <c r="G38" s="11" t="s">
        <v>49</v>
      </c>
      <c r="H38" s="4"/>
      <c r="I38" s="4"/>
      <c r="J38" s="4"/>
      <c r="K38" s="4"/>
      <c r="L38" s="4"/>
      <c r="M38" s="4"/>
      <c r="N38" s="4"/>
      <c r="O38" s="4"/>
      <c r="P38" s="4"/>
      <c r="Q38" s="4"/>
      <c r="R38" s="4"/>
      <c r="S38" s="4"/>
      <c r="T38" s="4"/>
      <c r="U38" s="4"/>
      <c r="V38" s="4"/>
      <c r="W38" s="4"/>
      <c r="X38" s="4"/>
      <c r="Y38" s="4"/>
    </row>
    <row r="39">
      <c r="A39" s="11">
        <v>38.0</v>
      </c>
      <c r="B39" s="11" t="s">
        <v>147</v>
      </c>
      <c r="C39" s="11" t="s">
        <v>148</v>
      </c>
      <c r="D39" s="11">
        <v>2024.0</v>
      </c>
      <c r="E39" s="11" t="s">
        <v>149</v>
      </c>
      <c r="F39" s="11" t="s">
        <v>65</v>
      </c>
      <c r="G39" s="11" t="s">
        <v>39</v>
      </c>
      <c r="H39" s="4"/>
      <c r="I39" s="4"/>
      <c r="J39" s="4"/>
      <c r="K39" s="4"/>
      <c r="L39" s="4"/>
      <c r="M39" s="4"/>
      <c r="N39" s="4"/>
      <c r="O39" s="4"/>
      <c r="P39" s="4"/>
      <c r="Q39" s="4"/>
      <c r="R39" s="4"/>
      <c r="S39" s="4"/>
      <c r="T39" s="4"/>
      <c r="U39" s="4"/>
      <c r="V39" s="4"/>
      <c r="W39" s="4"/>
      <c r="X39" s="4"/>
      <c r="Y39" s="4"/>
    </row>
    <row r="40">
      <c r="A40" s="11">
        <v>39.0</v>
      </c>
      <c r="B40" s="11" t="s">
        <v>150</v>
      </c>
      <c r="C40" s="11" t="s">
        <v>151</v>
      </c>
      <c r="D40" s="11">
        <v>2025.0</v>
      </c>
      <c r="E40" s="11" t="s">
        <v>152</v>
      </c>
      <c r="F40" s="11" t="s">
        <v>65</v>
      </c>
      <c r="G40" s="11" t="s">
        <v>49</v>
      </c>
      <c r="H40" s="4"/>
      <c r="I40" s="4"/>
      <c r="J40" s="4"/>
      <c r="K40" s="4"/>
      <c r="L40" s="4"/>
      <c r="M40" s="4"/>
      <c r="N40" s="4"/>
      <c r="O40" s="4"/>
      <c r="P40" s="4"/>
      <c r="Q40" s="4"/>
      <c r="R40" s="4"/>
      <c r="S40" s="4"/>
      <c r="T40" s="4"/>
      <c r="U40" s="4"/>
      <c r="V40" s="4"/>
      <c r="W40" s="4"/>
      <c r="X40" s="4"/>
      <c r="Y40" s="4"/>
    </row>
    <row r="41">
      <c r="A41" s="12">
        <v>40.0</v>
      </c>
      <c r="B41" s="11" t="s">
        <v>153</v>
      </c>
      <c r="C41" s="11" t="s">
        <v>154</v>
      </c>
      <c r="D41" s="11">
        <v>2020.0</v>
      </c>
      <c r="E41" s="11" t="s">
        <v>155</v>
      </c>
      <c r="F41" s="11" t="s">
        <v>65</v>
      </c>
      <c r="G41" s="11" t="s">
        <v>39</v>
      </c>
      <c r="H41" s="4"/>
      <c r="I41" s="4"/>
      <c r="J41" s="4"/>
      <c r="K41" s="4"/>
      <c r="L41" s="4"/>
      <c r="M41" s="4"/>
      <c r="N41" s="4"/>
      <c r="O41" s="4"/>
      <c r="P41" s="4"/>
      <c r="Q41" s="4"/>
      <c r="R41" s="4"/>
      <c r="S41" s="4"/>
      <c r="T41" s="4"/>
      <c r="U41" s="4"/>
      <c r="V41" s="4"/>
      <c r="W41" s="4"/>
      <c r="X41" s="4"/>
      <c r="Y41" s="4"/>
    </row>
    <row r="42">
      <c r="A42" s="11">
        <v>41.0</v>
      </c>
      <c r="B42" s="11" t="s">
        <v>156</v>
      </c>
      <c r="C42" s="11" t="s">
        <v>157</v>
      </c>
      <c r="D42" s="11">
        <v>2020.0</v>
      </c>
      <c r="E42" s="11" t="s">
        <v>158</v>
      </c>
      <c r="F42" s="11" t="s">
        <v>65</v>
      </c>
      <c r="G42" s="11" t="s">
        <v>39</v>
      </c>
      <c r="H42" s="4"/>
      <c r="I42" s="4"/>
      <c r="J42" s="4"/>
      <c r="K42" s="4"/>
      <c r="L42" s="4"/>
      <c r="M42" s="4"/>
      <c r="N42" s="4"/>
      <c r="O42" s="4"/>
      <c r="P42" s="4"/>
      <c r="Q42" s="4"/>
      <c r="R42" s="4"/>
      <c r="S42" s="4"/>
      <c r="T42" s="4"/>
      <c r="U42" s="4"/>
      <c r="V42" s="4"/>
      <c r="W42" s="4"/>
      <c r="X42" s="4"/>
      <c r="Y42" s="4"/>
    </row>
    <row r="43">
      <c r="A43" s="11">
        <v>42.0</v>
      </c>
      <c r="B43" s="11" t="s">
        <v>159</v>
      </c>
      <c r="C43" s="11" t="s">
        <v>160</v>
      </c>
      <c r="D43" s="11">
        <v>2025.0</v>
      </c>
      <c r="E43" s="11" t="s">
        <v>161</v>
      </c>
      <c r="F43" s="11" t="s">
        <v>65</v>
      </c>
      <c r="G43" s="11" t="s">
        <v>39</v>
      </c>
      <c r="H43" s="4"/>
      <c r="I43" s="4"/>
      <c r="J43" s="4"/>
      <c r="K43" s="4"/>
      <c r="L43" s="4"/>
      <c r="M43" s="4"/>
      <c r="N43" s="4"/>
      <c r="O43" s="4"/>
      <c r="P43" s="4"/>
      <c r="Q43" s="4"/>
      <c r="R43" s="4"/>
      <c r="S43" s="4"/>
      <c r="T43" s="4"/>
      <c r="U43" s="4"/>
      <c r="V43" s="4"/>
      <c r="W43" s="4"/>
      <c r="X43" s="4"/>
      <c r="Y43" s="4"/>
    </row>
    <row r="44">
      <c r="A44" s="12">
        <v>43.0</v>
      </c>
      <c r="B44" s="11" t="s">
        <v>162</v>
      </c>
      <c r="C44" s="11" t="s">
        <v>163</v>
      </c>
      <c r="D44" s="11">
        <v>2022.0</v>
      </c>
      <c r="E44" s="11" t="s">
        <v>164</v>
      </c>
      <c r="F44" s="11" t="s">
        <v>65</v>
      </c>
      <c r="G44" s="11" t="s">
        <v>49</v>
      </c>
      <c r="H44" s="4"/>
      <c r="I44" s="4"/>
      <c r="J44" s="4"/>
      <c r="K44" s="4"/>
      <c r="L44" s="4"/>
      <c r="M44" s="4"/>
      <c r="N44" s="4"/>
      <c r="O44" s="4"/>
      <c r="P44" s="4"/>
      <c r="Q44" s="4"/>
      <c r="R44" s="4"/>
      <c r="S44" s="4"/>
      <c r="T44" s="4"/>
      <c r="U44" s="4"/>
      <c r="V44" s="4"/>
      <c r="W44" s="4"/>
      <c r="X44" s="4"/>
      <c r="Y44" s="4"/>
    </row>
    <row r="45">
      <c r="A45" s="11">
        <v>44.0</v>
      </c>
      <c r="B45" s="11" t="s">
        <v>165</v>
      </c>
      <c r="C45" s="11" t="s">
        <v>166</v>
      </c>
      <c r="D45" s="11">
        <v>2024.0</v>
      </c>
      <c r="E45" s="11" t="s">
        <v>167</v>
      </c>
      <c r="F45" s="11" t="s">
        <v>65</v>
      </c>
      <c r="G45" s="11" t="s">
        <v>39</v>
      </c>
      <c r="H45" s="4"/>
      <c r="I45" s="4"/>
      <c r="J45" s="4"/>
      <c r="K45" s="4"/>
      <c r="L45" s="4"/>
      <c r="M45" s="4"/>
      <c r="N45" s="4"/>
      <c r="O45" s="4"/>
      <c r="P45" s="4"/>
      <c r="Q45" s="4"/>
      <c r="R45" s="4"/>
      <c r="S45" s="4"/>
      <c r="T45" s="4"/>
      <c r="U45" s="4"/>
      <c r="V45" s="4"/>
      <c r="W45" s="4"/>
      <c r="X45" s="4"/>
      <c r="Y45" s="4"/>
    </row>
    <row r="46">
      <c r="A46" s="11">
        <v>45.0</v>
      </c>
      <c r="B46" s="11" t="s">
        <v>168</v>
      </c>
      <c r="C46" s="11" t="s">
        <v>169</v>
      </c>
      <c r="D46" s="11">
        <v>2025.0</v>
      </c>
      <c r="E46" s="11" t="s">
        <v>118</v>
      </c>
      <c r="F46" s="11" t="s">
        <v>65</v>
      </c>
      <c r="G46" s="11" t="s">
        <v>49</v>
      </c>
      <c r="H46" s="4"/>
      <c r="I46" s="4"/>
      <c r="J46" s="4"/>
      <c r="K46" s="4"/>
      <c r="L46" s="4"/>
      <c r="M46" s="4"/>
      <c r="N46" s="4"/>
      <c r="O46" s="4"/>
      <c r="P46" s="4"/>
      <c r="Q46" s="4"/>
      <c r="R46" s="4"/>
      <c r="S46" s="4"/>
      <c r="T46" s="4"/>
      <c r="U46" s="4"/>
      <c r="V46" s="4"/>
      <c r="W46" s="4"/>
      <c r="X46" s="4"/>
      <c r="Y46" s="4"/>
    </row>
    <row r="47">
      <c r="A47" s="12">
        <v>46.0</v>
      </c>
      <c r="B47" s="11" t="s">
        <v>170</v>
      </c>
      <c r="C47" s="11" t="s">
        <v>171</v>
      </c>
      <c r="D47" s="11">
        <v>2024.0</v>
      </c>
      <c r="E47" s="11" t="s">
        <v>172</v>
      </c>
      <c r="F47" s="11" t="s">
        <v>65</v>
      </c>
      <c r="G47" s="11" t="s">
        <v>49</v>
      </c>
      <c r="H47" s="4"/>
      <c r="I47" s="4"/>
      <c r="J47" s="4"/>
      <c r="K47" s="4"/>
      <c r="L47" s="4"/>
      <c r="M47" s="4"/>
      <c r="N47" s="4"/>
      <c r="O47" s="4"/>
      <c r="P47" s="4"/>
      <c r="Q47" s="4"/>
      <c r="R47" s="4"/>
      <c r="S47" s="4"/>
      <c r="T47" s="4"/>
      <c r="U47" s="4"/>
      <c r="V47" s="4"/>
      <c r="W47" s="4"/>
      <c r="X47" s="4"/>
      <c r="Y47" s="4"/>
    </row>
    <row r="48">
      <c r="A48" s="11">
        <v>47.0</v>
      </c>
      <c r="B48" s="11" t="s">
        <v>173</v>
      </c>
      <c r="C48" s="11" t="s">
        <v>174</v>
      </c>
      <c r="D48" s="11">
        <v>2025.0</v>
      </c>
      <c r="E48" s="11" t="s">
        <v>64</v>
      </c>
      <c r="F48" s="11" t="s">
        <v>65</v>
      </c>
      <c r="G48" s="11" t="s">
        <v>39</v>
      </c>
      <c r="H48" s="4"/>
      <c r="I48" s="4"/>
      <c r="J48" s="4"/>
      <c r="K48" s="4"/>
      <c r="L48" s="4"/>
      <c r="M48" s="4"/>
      <c r="N48" s="4"/>
      <c r="O48" s="4"/>
      <c r="P48" s="4"/>
      <c r="Q48" s="4"/>
      <c r="R48" s="4"/>
      <c r="S48" s="4"/>
      <c r="T48" s="4"/>
      <c r="U48" s="4"/>
      <c r="V48" s="4"/>
      <c r="W48" s="4"/>
      <c r="X48" s="4"/>
      <c r="Y48" s="4"/>
    </row>
    <row r="49">
      <c r="A49" s="11">
        <v>48.0</v>
      </c>
      <c r="B49" s="11" t="s">
        <v>175</v>
      </c>
      <c r="C49" s="11" t="s">
        <v>176</v>
      </c>
      <c r="D49" s="11">
        <v>2025.0</v>
      </c>
      <c r="E49" s="11" t="s">
        <v>172</v>
      </c>
      <c r="F49" s="11" t="s">
        <v>65</v>
      </c>
      <c r="G49" s="11" t="s">
        <v>49</v>
      </c>
      <c r="H49" s="4"/>
      <c r="I49" s="4"/>
      <c r="J49" s="4"/>
      <c r="K49" s="4"/>
      <c r="L49" s="4"/>
      <c r="M49" s="4"/>
      <c r="N49" s="4"/>
      <c r="O49" s="4"/>
      <c r="P49" s="4"/>
      <c r="Q49" s="4"/>
      <c r="R49" s="4"/>
      <c r="S49" s="4"/>
      <c r="T49" s="4"/>
      <c r="U49" s="4"/>
      <c r="V49" s="4"/>
      <c r="W49" s="4"/>
      <c r="X49" s="4"/>
      <c r="Y49" s="4"/>
    </row>
    <row r="50">
      <c r="A50" s="12">
        <v>49.0</v>
      </c>
      <c r="B50" s="11" t="s">
        <v>177</v>
      </c>
      <c r="C50" s="11" t="s">
        <v>178</v>
      </c>
      <c r="D50" s="11">
        <v>2021.0</v>
      </c>
      <c r="E50" s="11" t="s">
        <v>172</v>
      </c>
      <c r="F50" s="11" t="s">
        <v>65</v>
      </c>
      <c r="G50" s="11" t="s">
        <v>49</v>
      </c>
      <c r="H50" s="4"/>
      <c r="I50" s="4"/>
      <c r="J50" s="4"/>
      <c r="K50" s="4"/>
      <c r="L50" s="4"/>
      <c r="M50" s="4"/>
      <c r="N50" s="4"/>
      <c r="O50" s="4"/>
      <c r="P50" s="4"/>
      <c r="Q50" s="4"/>
      <c r="R50" s="4"/>
      <c r="S50" s="4"/>
      <c r="T50" s="4"/>
      <c r="U50" s="4"/>
      <c r="V50" s="4"/>
      <c r="W50" s="4"/>
      <c r="X50" s="4"/>
      <c r="Y50" s="4"/>
    </row>
    <row r="51">
      <c r="A51" s="11">
        <v>50.0</v>
      </c>
      <c r="B51" s="11" t="s">
        <v>179</v>
      </c>
      <c r="C51" s="11" t="s">
        <v>180</v>
      </c>
      <c r="D51" s="11">
        <v>2024.0</v>
      </c>
      <c r="E51" s="11" t="s">
        <v>181</v>
      </c>
      <c r="F51" s="11" t="s">
        <v>65</v>
      </c>
      <c r="G51" s="11" t="s">
        <v>49</v>
      </c>
      <c r="H51" s="4"/>
      <c r="I51" s="4"/>
      <c r="J51" s="4"/>
      <c r="K51" s="4"/>
      <c r="L51" s="4"/>
      <c r="M51" s="4"/>
      <c r="N51" s="4"/>
      <c r="O51" s="4"/>
      <c r="P51" s="4"/>
      <c r="Q51" s="4"/>
      <c r="R51" s="4"/>
      <c r="S51" s="4"/>
      <c r="T51" s="4"/>
      <c r="U51" s="4"/>
      <c r="V51" s="4"/>
      <c r="W51" s="4"/>
      <c r="X51" s="4"/>
      <c r="Y51" s="4"/>
    </row>
    <row r="52">
      <c r="A52" s="11">
        <v>51.0</v>
      </c>
      <c r="B52" s="11" t="s">
        <v>182</v>
      </c>
      <c r="C52" s="11" t="s">
        <v>183</v>
      </c>
      <c r="D52" s="11">
        <v>2023.0</v>
      </c>
      <c r="E52" s="11" t="s">
        <v>184</v>
      </c>
      <c r="F52" s="11" t="s">
        <v>65</v>
      </c>
      <c r="G52" s="11" t="s">
        <v>49</v>
      </c>
      <c r="H52" s="4"/>
      <c r="I52" s="4"/>
      <c r="J52" s="4"/>
      <c r="K52" s="4"/>
      <c r="L52" s="4"/>
      <c r="M52" s="4"/>
      <c r="N52" s="4"/>
      <c r="O52" s="4"/>
      <c r="P52" s="4"/>
      <c r="Q52" s="4"/>
      <c r="R52" s="4"/>
      <c r="S52" s="4"/>
      <c r="T52" s="4"/>
      <c r="U52" s="4"/>
      <c r="V52" s="4"/>
      <c r="W52" s="4"/>
      <c r="X52" s="4"/>
      <c r="Y52" s="4"/>
    </row>
    <row r="53">
      <c r="A53" s="12">
        <v>52.0</v>
      </c>
      <c r="B53" s="11" t="s">
        <v>185</v>
      </c>
      <c r="C53" s="11" t="s">
        <v>186</v>
      </c>
      <c r="D53" s="11">
        <v>2024.0</v>
      </c>
      <c r="E53" s="11" t="s">
        <v>187</v>
      </c>
      <c r="F53" s="11" t="s">
        <v>65</v>
      </c>
      <c r="G53" s="11" t="s">
        <v>49</v>
      </c>
      <c r="H53" s="4"/>
      <c r="I53" s="4"/>
      <c r="J53" s="4"/>
      <c r="K53" s="4"/>
      <c r="L53" s="4"/>
      <c r="M53" s="4"/>
      <c r="N53" s="4"/>
      <c r="O53" s="4"/>
      <c r="P53" s="4"/>
      <c r="Q53" s="4"/>
      <c r="R53" s="4"/>
      <c r="S53" s="4"/>
      <c r="T53" s="4"/>
      <c r="U53" s="4"/>
      <c r="V53" s="4"/>
      <c r="W53" s="4"/>
      <c r="X53" s="4"/>
      <c r="Y53" s="4"/>
    </row>
    <row r="54">
      <c r="A54" s="11">
        <v>53.0</v>
      </c>
      <c r="B54" s="11" t="s">
        <v>188</v>
      </c>
      <c r="C54" s="11" t="s">
        <v>189</v>
      </c>
      <c r="D54" s="11">
        <v>2024.0</v>
      </c>
      <c r="E54" s="11" t="s">
        <v>112</v>
      </c>
      <c r="F54" s="11" t="s">
        <v>65</v>
      </c>
      <c r="G54" s="11" t="s">
        <v>49</v>
      </c>
      <c r="H54" s="4"/>
      <c r="I54" s="4"/>
      <c r="J54" s="4"/>
      <c r="K54" s="4"/>
      <c r="L54" s="4"/>
      <c r="M54" s="4"/>
      <c r="N54" s="4"/>
      <c r="O54" s="4"/>
      <c r="P54" s="4"/>
      <c r="Q54" s="4"/>
      <c r="R54" s="4"/>
      <c r="S54" s="4"/>
      <c r="T54" s="4"/>
      <c r="U54" s="4"/>
      <c r="V54" s="4"/>
      <c r="W54" s="4"/>
      <c r="X54" s="4"/>
      <c r="Y54" s="4"/>
    </row>
    <row r="55">
      <c r="A55" s="11">
        <v>54.0</v>
      </c>
      <c r="B55" s="11" t="s">
        <v>190</v>
      </c>
      <c r="C55" s="11" t="s">
        <v>191</v>
      </c>
      <c r="D55" s="11">
        <v>2025.0</v>
      </c>
      <c r="E55" s="11" t="s">
        <v>192</v>
      </c>
      <c r="F55" s="11" t="s">
        <v>65</v>
      </c>
      <c r="G55" s="11" t="s">
        <v>49</v>
      </c>
      <c r="H55" s="4"/>
      <c r="I55" s="4"/>
      <c r="J55" s="4"/>
      <c r="K55" s="4"/>
      <c r="L55" s="4"/>
      <c r="M55" s="4"/>
      <c r="N55" s="4"/>
      <c r="O55" s="4"/>
      <c r="P55" s="4"/>
      <c r="Q55" s="4"/>
      <c r="R55" s="4"/>
      <c r="S55" s="4"/>
      <c r="T55" s="4"/>
      <c r="U55" s="4"/>
      <c r="V55" s="4"/>
      <c r="W55" s="4"/>
      <c r="X55" s="4"/>
      <c r="Y55" s="4"/>
    </row>
    <row r="56">
      <c r="A56" s="12">
        <v>55.0</v>
      </c>
      <c r="B56" s="11" t="s">
        <v>193</v>
      </c>
      <c r="C56" s="11" t="s">
        <v>194</v>
      </c>
      <c r="D56" s="11">
        <v>2022.0</v>
      </c>
      <c r="E56" s="11" t="s">
        <v>195</v>
      </c>
      <c r="F56" s="11" t="s">
        <v>65</v>
      </c>
      <c r="G56" s="11" t="s">
        <v>39</v>
      </c>
      <c r="H56" s="4"/>
      <c r="I56" s="4"/>
      <c r="J56" s="4"/>
      <c r="K56" s="4"/>
      <c r="L56" s="4"/>
      <c r="M56" s="4"/>
      <c r="N56" s="4"/>
      <c r="O56" s="4"/>
      <c r="P56" s="4"/>
      <c r="Q56" s="4"/>
      <c r="R56" s="4"/>
      <c r="S56" s="4"/>
      <c r="T56" s="4"/>
      <c r="U56" s="4"/>
      <c r="V56" s="4"/>
      <c r="W56" s="4"/>
      <c r="X56" s="4"/>
      <c r="Y56" s="4"/>
    </row>
    <row r="57">
      <c r="A57" s="11">
        <v>56.0</v>
      </c>
      <c r="B57" s="11" t="s">
        <v>196</v>
      </c>
      <c r="C57" s="11" t="s">
        <v>197</v>
      </c>
      <c r="D57" s="11">
        <v>2025.0</v>
      </c>
      <c r="E57" s="11" t="s">
        <v>198</v>
      </c>
      <c r="F57" s="11" t="s">
        <v>65</v>
      </c>
      <c r="G57" s="11" t="s">
        <v>49</v>
      </c>
      <c r="H57" s="4"/>
      <c r="I57" s="4"/>
      <c r="J57" s="4"/>
      <c r="K57" s="4"/>
      <c r="L57" s="4"/>
      <c r="M57" s="4"/>
      <c r="N57" s="4"/>
      <c r="O57" s="4"/>
      <c r="P57" s="4"/>
      <c r="Q57" s="4"/>
      <c r="R57" s="4"/>
      <c r="S57" s="4"/>
      <c r="T57" s="4"/>
      <c r="U57" s="4"/>
      <c r="V57" s="4"/>
      <c r="W57" s="4"/>
      <c r="X57" s="4"/>
      <c r="Y57" s="4"/>
    </row>
    <row r="58">
      <c r="A58" s="11">
        <v>57.0</v>
      </c>
      <c r="B58" s="11" t="s">
        <v>199</v>
      </c>
      <c r="C58" s="11" t="s">
        <v>200</v>
      </c>
      <c r="D58" s="11">
        <v>2023.0</v>
      </c>
      <c r="E58" s="11" t="s">
        <v>201</v>
      </c>
      <c r="F58" s="11" t="s">
        <v>65</v>
      </c>
      <c r="G58" s="11" t="s">
        <v>49</v>
      </c>
      <c r="H58" s="4"/>
      <c r="I58" s="4"/>
      <c r="J58" s="4"/>
      <c r="K58" s="4"/>
      <c r="L58" s="4"/>
      <c r="M58" s="4"/>
      <c r="N58" s="4"/>
      <c r="O58" s="4"/>
      <c r="P58" s="4"/>
      <c r="Q58" s="4"/>
      <c r="R58" s="4"/>
      <c r="S58" s="4"/>
      <c r="T58" s="4"/>
      <c r="U58" s="4"/>
      <c r="V58" s="4"/>
      <c r="W58" s="4"/>
      <c r="X58" s="4"/>
      <c r="Y58" s="4"/>
    </row>
    <row r="59">
      <c r="A59" s="12">
        <v>58.0</v>
      </c>
      <c r="B59" s="11" t="s">
        <v>202</v>
      </c>
      <c r="C59" s="11" t="s">
        <v>203</v>
      </c>
      <c r="D59" s="11">
        <v>2020.0</v>
      </c>
      <c r="E59" s="11" t="s">
        <v>204</v>
      </c>
      <c r="F59" s="11" t="s">
        <v>65</v>
      </c>
      <c r="G59" s="11" t="s">
        <v>49</v>
      </c>
      <c r="H59" s="4"/>
      <c r="I59" s="4"/>
      <c r="J59" s="4"/>
      <c r="K59" s="4"/>
      <c r="L59" s="4"/>
      <c r="M59" s="4"/>
      <c r="N59" s="4"/>
      <c r="O59" s="4"/>
      <c r="P59" s="4"/>
      <c r="Q59" s="4"/>
      <c r="R59" s="4"/>
      <c r="S59" s="4"/>
      <c r="T59" s="4"/>
      <c r="U59" s="4"/>
      <c r="V59" s="4"/>
      <c r="W59" s="4"/>
      <c r="X59" s="4"/>
      <c r="Y59" s="4"/>
    </row>
    <row r="60">
      <c r="A60" s="11">
        <v>59.0</v>
      </c>
      <c r="B60" s="11" t="s">
        <v>205</v>
      </c>
      <c r="C60" s="11" t="s">
        <v>206</v>
      </c>
      <c r="D60" s="11">
        <v>2025.0</v>
      </c>
      <c r="E60" s="11" t="s">
        <v>71</v>
      </c>
      <c r="F60" s="11" t="s">
        <v>65</v>
      </c>
      <c r="G60" s="11" t="s">
        <v>49</v>
      </c>
      <c r="H60" s="4"/>
      <c r="I60" s="4"/>
      <c r="J60" s="4"/>
      <c r="K60" s="4"/>
      <c r="L60" s="4"/>
      <c r="M60" s="4"/>
      <c r="N60" s="4"/>
      <c r="O60" s="4"/>
      <c r="P60" s="4"/>
      <c r="Q60" s="4"/>
      <c r="R60" s="4"/>
      <c r="S60" s="4"/>
      <c r="T60" s="4"/>
      <c r="U60" s="4"/>
      <c r="V60" s="4"/>
      <c r="W60" s="4"/>
      <c r="X60" s="4"/>
      <c r="Y60" s="4"/>
    </row>
    <row r="61">
      <c r="A61" s="11">
        <v>60.0</v>
      </c>
      <c r="B61" s="11" t="s">
        <v>207</v>
      </c>
      <c r="C61" s="11" t="s">
        <v>208</v>
      </c>
      <c r="D61" s="11">
        <v>2024.0</v>
      </c>
      <c r="E61" s="11" t="s">
        <v>209</v>
      </c>
      <c r="F61" s="11" t="s">
        <v>65</v>
      </c>
      <c r="G61" s="11" t="s">
        <v>49</v>
      </c>
      <c r="H61" s="4"/>
      <c r="I61" s="4"/>
      <c r="J61" s="4"/>
      <c r="K61" s="4"/>
      <c r="L61" s="4"/>
      <c r="M61" s="4"/>
      <c r="N61" s="4"/>
      <c r="O61" s="4"/>
      <c r="P61" s="4"/>
      <c r="Q61" s="4"/>
      <c r="R61" s="4"/>
      <c r="S61" s="4"/>
      <c r="T61" s="4"/>
      <c r="U61" s="4"/>
      <c r="V61" s="4"/>
      <c r="W61" s="4"/>
      <c r="X61" s="4"/>
      <c r="Y61" s="4"/>
    </row>
    <row r="62">
      <c r="A62" s="12">
        <v>61.0</v>
      </c>
      <c r="B62" s="11" t="s">
        <v>210</v>
      </c>
      <c r="C62" s="11" t="s">
        <v>211</v>
      </c>
      <c r="D62" s="11">
        <v>2025.0</v>
      </c>
      <c r="E62" s="11" t="s">
        <v>212</v>
      </c>
      <c r="F62" s="11" t="s">
        <v>65</v>
      </c>
      <c r="G62" s="11" t="s">
        <v>49</v>
      </c>
      <c r="H62" s="4"/>
      <c r="I62" s="4"/>
      <c r="J62" s="4"/>
      <c r="K62" s="4"/>
      <c r="L62" s="4"/>
      <c r="M62" s="4"/>
      <c r="N62" s="4"/>
      <c r="O62" s="4"/>
      <c r="P62" s="4"/>
      <c r="Q62" s="4"/>
      <c r="R62" s="4"/>
      <c r="S62" s="4"/>
      <c r="T62" s="4"/>
      <c r="U62" s="4"/>
      <c r="V62" s="4"/>
      <c r="W62" s="4"/>
      <c r="X62" s="4"/>
      <c r="Y62" s="4"/>
    </row>
    <row r="63">
      <c r="A63" s="11">
        <v>62.0</v>
      </c>
      <c r="B63" s="11" t="s">
        <v>213</v>
      </c>
      <c r="C63" s="11" t="s">
        <v>214</v>
      </c>
      <c r="D63" s="11">
        <v>2022.0</v>
      </c>
      <c r="E63" s="11" t="s">
        <v>215</v>
      </c>
      <c r="F63" s="11" t="s">
        <v>65</v>
      </c>
      <c r="G63" s="11" t="s">
        <v>39</v>
      </c>
      <c r="H63" s="4"/>
      <c r="I63" s="4"/>
      <c r="J63" s="4"/>
      <c r="K63" s="4"/>
      <c r="L63" s="4"/>
      <c r="M63" s="4"/>
      <c r="N63" s="4"/>
      <c r="O63" s="4"/>
      <c r="P63" s="4"/>
      <c r="Q63" s="4"/>
      <c r="R63" s="4"/>
      <c r="S63" s="4"/>
      <c r="T63" s="4"/>
      <c r="U63" s="4"/>
      <c r="V63" s="4"/>
      <c r="W63" s="4"/>
      <c r="X63" s="4"/>
      <c r="Y63" s="4"/>
    </row>
    <row r="64">
      <c r="A64" s="11">
        <v>63.0</v>
      </c>
      <c r="B64" s="11" t="s">
        <v>216</v>
      </c>
      <c r="C64" s="11" t="s">
        <v>217</v>
      </c>
      <c r="D64" s="11">
        <v>2023.0</v>
      </c>
      <c r="E64" s="11" t="s">
        <v>218</v>
      </c>
      <c r="F64" s="11" t="s">
        <v>65</v>
      </c>
      <c r="G64" s="11" t="s">
        <v>49</v>
      </c>
      <c r="H64" s="4"/>
      <c r="I64" s="4"/>
      <c r="J64" s="4"/>
      <c r="K64" s="4"/>
      <c r="L64" s="4"/>
      <c r="M64" s="4"/>
      <c r="N64" s="4"/>
      <c r="O64" s="4"/>
      <c r="P64" s="4"/>
      <c r="Q64" s="4"/>
      <c r="R64" s="4"/>
      <c r="S64" s="4"/>
      <c r="T64" s="4"/>
      <c r="U64" s="4"/>
      <c r="V64" s="4"/>
      <c r="W64" s="4"/>
      <c r="X64" s="4"/>
      <c r="Y64" s="4"/>
    </row>
    <row r="65">
      <c r="A65" s="12">
        <v>64.0</v>
      </c>
      <c r="B65" s="11" t="s">
        <v>219</v>
      </c>
      <c r="C65" s="11" t="s">
        <v>220</v>
      </c>
      <c r="D65" s="11">
        <v>2024.0</v>
      </c>
      <c r="E65" s="11" t="s">
        <v>221</v>
      </c>
      <c r="F65" s="11" t="s">
        <v>65</v>
      </c>
      <c r="G65" s="11" t="s">
        <v>49</v>
      </c>
      <c r="H65" s="4"/>
      <c r="I65" s="4"/>
      <c r="J65" s="4"/>
      <c r="K65" s="4"/>
      <c r="L65" s="4"/>
      <c r="M65" s="4"/>
      <c r="N65" s="4"/>
      <c r="O65" s="4"/>
      <c r="P65" s="4"/>
      <c r="Q65" s="4"/>
      <c r="R65" s="4"/>
      <c r="S65" s="4"/>
      <c r="T65" s="4"/>
      <c r="U65" s="4"/>
      <c r="V65" s="4"/>
      <c r="W65" s="4"/>
      <c r="X65" s="4"/>
      <c r="Y65" s="4"/>
    </row>
    <row r="66">
      <c r="A66" s="11">
        <v>65.0</v>
      </c>
      <c r="B66" s="11" t="s">
        <v>222</v>
      </c>
      <c r="C66" s="11" t="s">
        <v>223</v>
      </c>
      <c r="D66" s="11">
        <v>2025.0</v>
      </c>
      <c r="E66" s="11" t="s">
        <v>224</v>
      </c>
      <c r="F66" s="11" t="s">
        <v>65</v>
      </c>
      <c r="G66" s="11" t="s">
        <v>49</v>
      </c>
      <c r="H66" s="4"/>
      <c r="I66" s="4"/>
      <c r="J66" s="4"/>
      <c r="K66" s="4"/>
      <c r="L66" s="4"/>
      <c r="M66" s="4"/>
      <c r="N66" s="4"/>
      <c r="O66" s="4"/>
      <c r="P66" s="4"/>
      <c r="Q66" s="4"/>
      <c r="R66" s="4"/>
      <c r="S66" s="4"/>
      <c r="T66" s="4"/>
      <c r="U66" s="4"/>
      <c r="V66" s="4"/>
      <c r="W66" s="4"/>
      <c r="X66" s="4"/>
      <c r="Y66" s="4"/>
    </row>
    <row r="67">
      <c r="A67" s="11">
        <v>66.0</v>
      </c>
      <c r="B67" s="11" t="s">
        <v>225</v>
      </c>
      <c r="C67" s="11" t="s">
        <v>226</v>
      </c>
      <c r="D67" s="11">
        <v>2021.0</v>
      </c>
      <c r="E67" s="11" t="s">
        <v>227</v>
      </c>
      <c r="F67" s="11" t="s">
        <v>65</v>
      </c>
      <c r="G67" s="11" t="s">
        <v>39</v>
      </c>
      <c r="H67" s="4"/>
      <c r="I67" s="4"/>
      <c r="J67" s="4"/>
      <c r="K67" s="4"/>
      <c r="L67" s="4"/>
      <c r="M67" s="4"/>
      <c r="N67" s="4"/>
      <c r="O67" s="4"/>
      <c r="P67" s="4"/>
      <c r="Q67" s="4"/>
      <c r="R67" s="4"/>
      <c r="S67" s="4"/>
      <c r="T67" s="4"/>
      <c r="U67" s="4"/>
      <c r="V67" s="4"/>
      <c r="W67" s="4"/>
      <c r="X67" s="4"/>
      <c r="Y67" s="4"/>
    </row>
    <row r="68">
      <c r="A68" s="12">
        <v>67.0</v>
      </c>
      <c r="B68" s="11" t="s">
        <v>228</v>
      </c>
      <c r="C68" s="11" t="s">
        <v>229</v>
      </c>
      <c r="D68" s="11">
        <v>2022.0</v>
      </c>
      <c r="E68" s="11" t="s">
        <v>230</v>
      </c>
      <c r="F68" s="11" t="s">
        <v>65</v>
      </c>
      <c r="G68" s="11" t="s">
        <v>49</v>
      </c>
      <c r="H68" s="4"/>
      <c r="I68" s="4"/>
      <c r="J68" s="4"/>
      <c r="K68" s="4"/>
      <c r="L68" s="4"/>
      <c r="M68" s="4"/>
      <c r="N68" s="4"/>
      <c r="O68" s="4"/>
      <c r="P68" s="4"/>
      <c r="Q68" s="4"/>
      <c r="R68" s="4"/>
      <c r="S68" s="4"/>
      <c r="T68" s="4"/>
      <c r="U68" s="4"/>
      <c r="V68" s="4"/>
      <c r="W68" s="4"/>
      <c r="X68" s="4"/>
      <c r="Y68" s="4"/>
    </row>
    <row r="69">
      <c r="A69" s="11">
        <v>68.0</v>
      </c>
      <c r="B69" s="11" t="s">
        <v>231</v>
      </c>
      <c r="C69" s="11" t="s">
        <v>232</v>
      </c>
      <c r="D69" s="11">
        <v>2022.0</v>
      </c>
      <c r="E69" s="11" t="s">
        <v>233</v>
      </c>
      <c r="F69" s="11" t="s">
        <v>65</v>
      </c>
      <c r="G69" s="11" t="s">
        <v>49</v>
      </c>
      <c r="H69" s="4"/>
      <c r="I69" s="4"/>
      <c r="J69" s="4"/>
      <c r="K69" s="4"/>
      <c r="L69" s="4"/>
      <c r="M69" s="4"/>
      <c r="N69" s="4"/>
      <c r="O69" s="4"/>
      <c r="P69" s="4"/>
      <c r="Q69" s="4"/>
      <c r="R69" s="4"/>
      <c r="S69" s="4"/>
      <c r="T69" s="4"/>
      <c r="U69" s="4"/>
      <c r="V69" s="4"/>
      <c r="W69" s="4"/>
      <c r="X69" s="4"/>
      <c r="Y69" s="4"/>
    </row>
    <row r="70">
      <c r="A70" s="11">
        <v>69.0</v>
      </c>
      <c r="B70" s="11" t="s">
        <v>234</v>
      </c>
      <c r="C70" s="11" t="s">
        <v>235</v>
      </c>
      <c r="D70" s="11">
        <v>2024.0</v>
      </c>
      <c r="E70" s="11" t="s">
        <v>236</v>
      </c>
      <c r="F70" s="11" t="s">
        <v>65</v>
      </c>
      <c r="G70" s="11" t="s">
        <v>49</v>
      </c>
      <c r="H70" s="4"/>
      <c r="I70" s="4"/>
      <c r="J70" s="4"/>
      <c r="K70" s="4"/>
      <c r="L70" s="4"/>
      <c r="M70" s="4"/>
      <c r="N70" s="4"/>
      <c r="O70" s="4"/>
      <c r="P70" s="4"/>
      <c r="Q70" s="4"/>
      <c r="R70" s="4"/>
      <c r="S70" s="4"/>
      <c r="T70" s="4"/>
      <c r="U70" s="4"/>
      <c r="V70" s="4"/>
      <c r="W70" s="4"/>
      <c r="X70" s="4"/>
      <c r="Y70" s="4"/>
    </row>
    <row r="71">
      <c r="A71" s="12">
        <v>70.0</v>
      </c>
      <c r="B71" s="11" t="s">
        <v>237</v>
      </c>
      <c r="C71" s="11" t="s">
        <v>238</v>
      </c>
      <c r="D71" s="11">
        <v>2022.0</v>
      </c>
      <c r="E71" s="11" t="s">
        <v>239</v>
      </c>
      <c r="F71" s="11" t="s">
        <v>65</v>
      </c>
      <c r="G71" s="11" t="s">
        <v>49</v>
      </c>
      <c r="H71" s="4"/>
      <c r="I71" s="4"/>
      <c r="J71" s="4"/>
      <c r="K71" s="4"/>
      <c r="L71" s="4"/>
      <c r="M71" s="4"/>
      <c r="N71" s="4"/>
      <c r="O71" s="4"/>
      <c r="P71" s="4"/>
      <c r="Q71" s="4"/>
      <c r="R71" s="4"/>
      <c r="S71" s="4"/>
      <c r="T71" s="4"/>
      <c r="U71" s="4"/>
      <c r="V71" s="4"/>
      <c r="W71" s="4"/>
      <c r="X71" s="4"/>
      <c r="Y71" s="4"/>
    </row>
    <row r="72">
      <c r="A72" s="11">
        <v>71.0</v>
      </c>
      <c r="B72" s="11" t="s">
        <v>240</v>
      </c>
      <c r="C72" s="11" t="s">
        <v>241</v>
      </c>
      <c r="D72" s="11">
        <v>2020.0</v>
      </c>
      <c r="E72" s="11" t="s">
        <v>242</v>
      </c>
      <c r="F72" s="11" t="s">
        <v>65</v>
      </c>
      <c r="G72" s="11" t="s">
        <v>39</v>
      </c>
      <c r="H72" s="4"/>
      <c r="I72" s="4"/>
      <c r="J72" s="4"/>
      <c r="K72" s="4"/>
      <c r="L72" s="4"/>
      <c r="M72" s="4"/>
      <c r="N72" s="4"/>
      <c r="O72" s="4"/>
      <c r="P72" s="4"/>
      <c r="Q72" s="4"/>
      <c r="R72" s="4"/>
      <c r="S72" s="4"/>
      <c r="T72" s="4"/>
      <c r="U72" s="4"/>
      <c r="V72" s="4"/>
      <c r="W72" s="4"/>
      <c r="X72" s="4"/>
      <c r="Y72" s="4"/>
    </row>
    <row r="73">
      <c r="A73" s="11">
        <v>72.0</v>
      </c>
      <c r="B73" s="11" t="s">
        <v>243</v>
      </c>
      <c r="C73" s="11" t="s">
        <v>244</v>
      </c>
      <c r="D73" s="11">
        <v>2019.0</v>
      </c>
      <c r="E73" s="11" t="s">
        <v>245</v>
      </c>
      <c r="F73" s="11" t="s">
        <v>65</v>
      </c>
      <c r="G73" s="11" t="s">
        <v>39</v>
      </c>
      <c r="H73" s="4"/>
      <c r="I73" s="4"/>
      <c r="J73" s="4"/>
      <c r="K73" s="4"/>
      <c r="L73" s="4"/>
      <c r="M73" s="4"/>
      <c r="N73" s="4"/>
      <c r="O73" s="4"/>
      <c r="P73" s="4"/>
      <c r="Q73" s="4"/>
      <c r="R73" s="4"/>
      <c r="S73" s="4"/>
      <c r="T73" s="4"/>
      <c r="U73" s="4"/>
      <c r="V73" s="4"/>
      <c r="W73" s="4"/>
      <c r="X73" s="4"/>
      <c r="Y73" s="4"/>
    </row>
    <row r="74">
      <c r="A74" s="12">
        <v>73.0</v>
      </c>
      <c r="B74" s="11" t="s">
        <v>246</v>
      </c>
      <c r="C74" s="11" t="s">
        <v>247</v>
      </c>
      <c r="D74" s="11">
        <v>2022.0</v>
      </c>
      <c r="E74" s="11" t="s">
        <v>248</v>
      </c>
      <c r="F74" s="11" t="s">
        <v>65</v>
      </c>
      <c r="G74" s="11" t="s">
        <v>39</v>
      </c>
      <c r="H74" s="4"/>
      <c r="I74" s="4"/>
      <c r="J74" s="4"/>
      <c r="K74" s="4"/>
      <c r="L74" s="4"/>
      <c r="M74" s="4"/>
      <c r="N74" s="4"/>
      <c r="O74" s="4"/>
      <c r="P74" s="4"/>
      <c r="Q74" s="4"/>
      <c r="R74" s="4"/>
      <c r="S74" s="4"/>
      <c r="T74" s="4"/>
      <c r="U74" s="4"/>
      <c r="V74" s="4"/>
      <c r="W74" s="4"/>
      <c r="X74" s="4"/>
      <c r="Y74" s="4"/>
    </row>
    <row r="75">
      <c r="A75" s="11">
        <v>74.0</v>
      </c>
      <c r="B75" s="11" t="s">
        <v>249</v>
      </c>
      <c r="C75" s="11" t="s">
        <v>250</v>
      </c>
      <c r="D75" s="11">
        <v>2021.0</v>
      </c>
      <c r="E75" s="11" t="s">
        <v>251</v>
      </c>
      <c r="F75" s="11" t="s">
        <v>65</v>
      </c>
      <c r="G75" s="11" t="s">
        <v>49</v>
      </c>
      <c r="H75" s="4"/>
      <c r="I75" s="4"/>
      <c r="J75" s="4"/>
      <c r="K75" s="4"/>
      <c r="L75" s="4"/>
      <c r="M75" s="4"/>
      <c r="N75" s="4"/>
      <c r="O75" s="4"/>
      <c r="P75" s="4"/>
      <c r="Q75" s="4"/>
      <c r="R75" s="4"/>
      <c r="S75" s="4"/>
      <c r="T75" s="4"/>
      <c r="U75" s="4"/>
      <c r="V75" s="4"/>
      <c r="W75" s="4"/>
      <c r="X75" s="4"/>
      <c r="Y75" s="4"/>
    </row>
    <row r="76">
      <c r="A76" s="11">
        <v>75.0</v>
      </c>
      <c r="B76" s="11" t="s">
        <v>252</v>
      </c>
      <c r="C76" s="11" t="s">
        <v>253</v>
      </c>
      <c r="D76" s="11">
        <v>2022.0</v>
      </c>
      <c r="E76" s="11" t="s">
        <v>254</v>
      </c>
      <c r="F76" s="11" t="s">
        <v>65</v>
      </c>
      <c r="G76" s="11" t="s">
        <v>39</v>
      </c>
      <c r="H76" s="4"/>
      <c r="I76" s="4"/>
      <c r="J76" s="4"/>
      <c r="K76" s="4"/>
      <c r="L76" s="4"/>
      <c r="M76" s="4"/>
      <c r="N76" s="4"/>
      <c r="O76" s="4"/>
      <c r="P76" s="4"/>
      <c r="Q76" s="4"/>
      <c r="R76" s="4"/>
      <c r="S76" s="4"/>
      <c r="T76" s="4"/>
      <c r="U76" s="4"/>
      <c r="V76" s="4"/>
      <c r="W76" s="4"/>
      <c r="X76" s="4"/>
      <c r="Y76" s="4"/>
    </row>
    <row r="77">
      <c r="A77" s="12">
        <v>76.0</v>
      </c>
      <c r="B77" s="11" t="s">
        <v>255</v>
      </c>
      <c r="C77" s="11" t="s">
        <v>256</v>
      </c>
      <c r="D77" s="11">
        <v>2023.0</v>
      </c>
      <c r="E77" s="11" t="s">
        <v>257</v>
      </c>
      <c r="F77" s="11" t="s">
        <v>65</v>
      </c>
      <c r="G77" s="11" t="s">
        <v>49</v>
      </c>
      <c r="H77" s="4"/>
      <c r="I77" s="4"/>
      <c r="J77" s="4"/>
      <c r="K77" s="4"/>
      <c r="L77" s="4"/>
      <c r="M77" s="4"/>
      <c r="N77" s="4"/>
      <c r="O77" s="4"/>
      <c r="P77" s="4"/>
      <c r="Q77" s="4"/>
      <c r="R77" s="4"/>
      <c r="S77" s="4"/>
      <c r="T77" s="4"/>
      <c r="U77" s="4"/>
      <c r="V77" s="4"/>
      <c r="W77" s="4"/>
      <c r="X77" s="4"/>
      <c r="Y77" s="4"/>
    </row>
    <row r="78">
      <c r="A78" s="11">
        <v>77.0</v>
      </c>
      <c r="B78" s="11" t="s">
        <v>258</v>
      </c>
      <c r="C78" s="11" t="s">
        <v>259</v>
      </c>
      <c r="D78" s="11">
        <v>2021.0</v>
      </c>
      <c r="E78" s="11" t="s">
        <v>257</v>
      </c>
      <c r="F78" s="11" t="s">
        <v>65</v>
      </c>
      <c r="G78" s="11" t="s">
        <v>49</v>
      </c>
      <c r="H78" s="4"/>
      <c r="I78" s="4"/>
      <c r="J78" s="4"/>
      <c r="K78" s="4"/>
      <c r="L78" s="4"/>
      <c r="M78" s="4"/>
      <c r="N78" s="4"/>
      <c r="O78" s="4"/>
      <c r="P78" s="4"/>
      <c r="Q78" s="4"/>
      <c r="R78" s="4"/>
      <c r="S78" s="4"/>
      <c r="T78" s="4"/>
      <c r="U78" s="4"/>
      <c r="V78" s="4"/>
      <c r="W78" s="4"/>
      <c r="X78" s="4"/>
      <c r="Y78" s="4"/>
    </row>
    <row r="79">
      <c r="A79" s="11">
        <v>78.0</v>
      </c>
      <c r="B79" s="11" t="s">
        <v>260</v>
      </c>
      <c r="C79" s="11" t="s">
        <v>261</v>
      </c>
      <c r="D79" s="11">
        <v>2020.0</v>
      </c>
      <c r="E79" s="11" t="s">
        <v>262</v>
      </c>
      <c r="F79" s="11" t="s">
        <v>65</v>
      </c>
      <c r="G79" s="11" t="s">
        <v>39</v>
      </c>
      <c r="H79" s="4"/>
      <c r="I79" s="4"/>
      <c r="J79" s="4"/>
      <c r="K79" s="4"/>
      <c r="L79" s="4"/>
      <c r="M79" s="4"/>
      <c r="N79" s="4"/>
      <c r="O79" s="4"/>
      <c r="P79" s="4"/>
      <c r="Q79" s="4"/>
      <c r="R79" s="4"/>
      <c r="S79" s="4"/>
      <c r="T79" s="4"/>
      <c r="U79" s="4"/>
      <c r="V79" s="4"/>
      <c r="W79" s="4"/>
      <c r="X79" s="4"/>
      <c r="Y79" s="4"/>
    </row>
    <row r="80">
      <c r="A80" s="12">
        <v>79.0</v>
      </c>
      <c r="B80" s="11" t="s">
        <v>263</v>
      </c>
      <c r="C80" s="11" t="s">
        <v>264</v>
      </c>
      <c r="D80" s="11">
        <v>2025.0</v>
      </c>
      <c r="E80" s="11" t="s">
        <v>181</v>
      </c>
      <c r="F80" s="11" t="s">
        <v>65</v>
      </c>
      <c r="G80" s="11" t="s">
        <v>49</v>
      </c>
      <c r="H80" s="4"/>
      <c r="I80" s="4"/>
      <c r="J80" s="4"/>
      <c r="K80" s="4"/>
      <c r="L80" s="4"/>
      <c r="M80" s="4"/>
      <c r="N80" s="4"/>
      <c r="O80" s="4"/>
      <c r="P80" s="4"/>
      <c r="Q80" s="4"/>
      <c r="R80" s="4"/>
      <c r="S80" s="4"/>
      <c r="T80" s="4"/>
      <c r="U80" s="4"/>
      <c r="V80" s="4"/>
      <c r="W80" s="4"/>
      <c r="X80" s="4"/>
      <c r="Y80" s="4"/>
    </row>
    <row r="81">
      <c r="A81" s="11">
        <v>80.0</v>
      </c>
      <c r="B81" s="11" t="s">
        <v>265</v>
      </c>
      <c r="C81" s="11" t="s">
        <v>266</v>
      </c>
      <c r="D81" s="11">
        <v>2023.0</v>
      </c>
      <c r="E81" s="11" t="s">
        <v>221</v>
      </c>
      <c r="F81" s="11" t="s">
        <v>65</v>
      </c>
      <c r="G81" s="11" t="s">
        <v>49</v>
      </c>
      <c r="H81" s="4"/>
      <c r="I81" s="4"/>
      <c r="J81" s="4"/>
      <c r="K81" s="4"/>
      <c r="L81" s="4"/>
      <c r="M81" s="4"/>
      <c r="N81" s="4"/>
      <c r="O81" s="4"/>
      <c r="P81" s="4"/>
      <c r="Q81" s="4"/>
      <c r="R81" s="4"/>
      <c r="S81" s="4"/>
      <c r="T81" s="4"/>
      <c r="U81" s="4"/>
      <c r="V81" s="4"/>
      <c r="W81" s="4"/>
      <c r="X81" s="4"/>
      <c r="Y81" s="4"/>
    </row>
    <row r="82">
      <c r="A82" s="11">
        <v>81.0</v>
      </c>
      <c r="B82" s="11" t="s">
        <v>267</v>
      </c>
      <c r="C82" s="11" t="s">
        <v>268</v>
      </c>
      <c r="D82" s="11">
        <v>2022.0</v>
      </c>
      <c r="E82" s="11" t="s">
        <v>269</v>
      </c>
      <c r="F82" s="11" t="s">
        <v>65</v>
      </c>
      <c r="G82" s="11" t="s">
        <v>49</v>
      </c>
      <c r="H82" s="4"/>
      <c r="I82" s="4"/>
      <c r="J82" s="4"/>
      <c r="K82" s="4"/>
      <c r="L82" s="4"/>
      <c r="M82" s="4"/>
      <c r="N82" s="4"/>
      <c r="O82" s="4"/>
      <c r="P82" s="4"/>
      <c r="Q82" s="4"/>
      <c r="R82" s="4"/>
      <c r="S82" s="4"/>
      <c r="T82" s="4"/>
      <c r="U82" s="4"/>
      <c r="V82" s="4"/>
      <c r="W82" s="4"/>
      <c r="X82" s="4"/>
      <c r="Y82" s="4"/>
    </row>
    <row r="83">
      <c r="A83" s="12">
        <v>82.0</v>
      </c>
      <c r="B83" s="11" t="s">
        <v>270</v>
      </c>
      <c r="C83" s="11" t="s">
        <v>271</v>
      </c>
      <c r="D83" s="11">
        <v>2021.0</v>
      </c>
      <c r="E83" s="11" t="s">
        <v>92</v>
      </c>
      <c r="F83" s="11" t="s">
        <v>65</v>
      </c>
      <c r="G83" s="11" t="s">
        <v>49</v>
      </c>
      <c r="H83" s="4"/>
      <c r="I83" s="4"/>
      <c r="J83" s="4"/>
      <c r="K83" s="4"/>
      <c r="L83" s="4"/>
      <c r="M83" s="4"/>
      <c r="N83" s="4"/>
      <c r="O83" s="4"/>
      <c r="P83" s="4"/>
      <c r="Q83" s="4"/>
      <c r="R83" s="4"/>
      <c r="S83" s="4"/>
      <c r="T83" s="4"/>
      <c r="U83" s="4"/>
      <c r="V83" s="4"/>
      <c r="W83" s="4"/>
      <c r="X83" s="4"/>
      <c r="Y83" s="4"/>
    </row>
    <row r="84">
      <c r="A84" s="11">
        <v>83.0</v>
      </c>
      <c r="B84" s="11" t="s">
        <v>272</v>
      </c>
      <c r="C84" s="11" t="s">
        <v>273</v>
      </c>
      <c r="D84" s="11">
        <v>2020.0</v>
      </c>
      <c r="E84" s="11" t="s">
        <v>192</v>
      </c>
      <c r="F84" s="11" t="s">
        <v>65</v>
      </c>
      <c r="G84" s="11" t="s">
        <v>49</v>
      </c>
      <c r="H84" s="4"/>
      <c r="I84" s="4"/>
      <c r="J84" s="4"/>
      <c r="K84" s="4"/>
      <c r="L84" s="4"/>
      <c r="M84" s="4"/>
      <c r="N84" s="4"/>
      <c r="O84" s="4"/>
      <c r="P84" s="4"/>
      <c r="Q84" s="4"/>
      <c r="R84" s="4"/>
      <c r="S84" s="4"/>
      <c r="T84" s="4"/>
      <c r="U84" s="4"/>
      <c r="V84" s="4"/>
      <c r="W84" s="4"/>
      <c r="X84" s="4"/>
      <c r="Y84" s="4"/>
    </row>
    <row r="85">
      <c r="A85" s="11">
        <v>84.0</v>
      </c>
      <c r="B85" s="11" t="s">
        <v>274</v>
      </c>
      <c r="C85" s="11" t="s">
        <v>275</v>
      </c>
      <c r="D85" s="11">
        <v>2022.0</v>
      </c>
      <c r="E85" s="11" t="s">
        <v>233</v>
      </c>
      <c r="F85" s="11" t="s">
        <v>65</v>
      </c>
      <c r="G85" s="11" t="s">
        <v>49</v>
      </c>
      <c r="H85" s="4"/>
      <c r="I85" s="4"/>
      <c r="J85" s="4"/>
      <c r="K85" s="4"/>
      <c r="L85" s="4"/>
      <c r="M85" s="4"/>
      <c r="N85" s="4"/>
      <c r="O85" s="4"/>
      <c r="P85" s="4"/>
      <c r="Q85" s="4"/>
      <c r="R85" s="4"/>
      <c r="S85" s="4"/>
      <c r="T85" s="4"/>
      <c r="U85" s="4"/>
      <c r="V85" s="4"/>
      <c r="W85" s="4"/>
      <c r="X85" s="4"/>
      <c r="Y85" s="4"/>
    </row>
    <row r="86">
      <c r="A86" s="12">
        <v>85.0</v>
      </c>
      <c r="B86" s="11" t="s">
        <v>276</v>
      </c>
      <c r="C86" s="11" t="s">
        <v>277</v>
      </c>
      <c r="D86" s="11">
        <v>2020.0</v>
      </c>
      <c r="E86" s="11" t="s">
        <v>278</v>
      </c>
      <c r="F86" s="11" t="s">
        <v>65</v>
      </c>
      <c r="G86" s="11" t="s">
        <v>49</v>
      </c>
      <c r="H86" s="4"/>
      <c r="I86" s="4"/>
      <c r="J86" s="4"/>
      <c r="K86" s="4"/>
      <c r="L86" s="4"/>
      <c r="M86" s="4"/>
      <c r="N86" s="4"/>
      <c r="O86" s="4"/>
      <c r="P86" s="4"/>
      <c r="Q86" s="4"/>
      <c r="R86" s="4"/>
      <c r="S86" s="4"/>
      <c r="T86" s="4"/>
      <c r="U86" s="4"/>
      <c r="V86" s="4"/>
      <c r="W86" s="4"/>
      <c r="X86" s="4"/>
      <c r="Y86" s="4"/>
    </row>
    <row r="87">
      <c r="A87" s="11">
        <v>86.0</v>
      </c>
      <c r="B87" s="11" t="s">
        <v>279</v>
      </c>
      <c r="C87" s="11" t="s">
        <v>280</v>
      </c>
      <c r="D87" s="11">
        <v>2023.0</v>
      </c>
      <c r="E87" s="11" t="s">
        <v>281</v>
      </c>
      <c r="F87" s="11" t="s">
        <v>65</v>
      </c>
      <c r="G87" s="11" t="s">
        <v>49</v>
      </c>
      <c r="H87" s="4"/>
      <c r="I87" s="4"/>
      <c r="J87" s="4"/>
      <c r="K87" s="4"/>
      <c r="L87" s="4"/>
      <c r="M87" s="4"/>
      <c r="N87" s="4"/>
      <c r="O87" s="4"/>
      <c r="P87" s="4"/>
      <c r="Q87" s="4"/>
      <c r="R87" s="4"/>
      <c r="S87" s="4"/>
      <c r="T87" s="4"/>
      <c r="U87" s="4"/>
      <c r="V87" s="4"/>
      <c r="W87" s="4"/>
      <c r="X87" s="4"/>
      <c r="Y87" s="4"/>
    </row>
    <row r="88">
      <c r="A88" s="11">
        <v>87.0</v>
      </c>
      <c r="B88" s="11" t="s">
        <v>282</v>
      </c>
      <c r="C88" s="11" t="s">
        <v>283</v>
      </c>
      <c r="D88" s="11">
        <v>2024.0</v>
      </c>
      <c r="E88" s="11" t="s">
        <v>284</v>
      </c>
      <c r="F88" s="11" t="s">
        <v>65</v>
      </c>
      <c r="G88" s="11" t="s">
        <v>49</v>
      </c>
      <c r="H88" s="4"/>
      <c r="I88" s="4"/>
      <c r="J88" s="4"/>
      <c r="K88" s="4"/>
      <c r="L88" s="4"/>
      <c r="M88" s="4"/>
      <c r="N88" s="4"/>
      <c r="O88" s="4"/>
      <c r="P88" s="4"/>
      <c r="Q88" s="4"/>
      <c r="R88" s="4"/>
      <c r="S88" s="4"/>
      <c r="T88" s="4"/>
      <c r="U88" s="4"/>
      <c r="V88" s="4"/>
      <c r="W88" s="4"/>
      <c r="X88" s="4"/>
      <c r="Y88" s="4"/>
    </row>
    <row r="89">
      <c r="A89" s="12">
        <v>88.0</v>
      </c>
      <c r="B89" s="11" t="s">
        <v>285</v>
      </c>
      <c r="C89" s="11" t="s">
        <v>286</v>
      </c>
      <c r="D89" s="11">
        <v>2021.0</v>
      </c>
      <c r="E89" s="11" t="s">
        <v>287</v>
      </c>
      <c r="F89" s="11" t="s">
        <v>65</v>
      </c>
      <c r="G89" s="11" t="s">
        <v>49</v>
      </c>
      <c r="H89" s="4"/>
      <c r="I89" s="4"/>
      <c r="J89" s="4"/>
      <c r="K89" s="4"/>
      <c r="L89" s="4"/>
      <c r="M89" s="4"/>
      <c r="N89" s="4"/>
      <c r="O89" s="4"/>
      <c r="P89" s="4"/>
      <c r="Q89" s="4"/>
      <c r="R89" s="4"/>
      <c r="S89" s="4"/>
      <c r="T89" s="4"/>
      <c r="U89" s="4"/>
      <c r="V89" s="4"/>
      <c r="W89" s="4"/>
      <c r="X89" s="4"/>
      <c r="Y89" s="4"/>
    </row>
    <row r="90">
      <c r="A90" s="11">
        <v>89.0</v>
      </c>
      <c r="B90" s="11" t="s">
        <v>288</v>
      </c>
      <c r="C90" s="11" t="s">
        <v>289</v>
      </c>
      <c r="D90" s="11">
        <v>2020.0</v>
      </c>
      <c r="E90" s="11" t="s">
        <v>290</v>
      </c>
      <c r="F90" s="11" t="s">
        <v>65</v>
      </c>
      <c r="G90" s="11" t="s">
        <v>39</v>
      </c>
      <c r="H90" s="4"/>
      <c r="I90" s="4"/>
      <c r="J90" s="4"/>
      <c r="K90" s="4"/>
      <c r="L90" s="4"/>
      <c r="M90" s="4"/>
      <c r="N90" s="4"/>
      <c r="O90" s="4"/>
      <c r="P90" s="4"/>
      <c r="Q90" s="4"/>
      <c r="R90" s="4"/>
      <c r="S90" s="4"/>
      <c r="T90" s="4"/>
      <c r="U90" s="4"/>
      <c r="V90" s="4"/>
      <c r="W90" s="4"/>
      <c r="X90" s="4"/>
      <c r="Y90" s="4"/>
    </row>
    <row r="91">
      <c r="A91" s="11">
        <v>90.0</v>
      </c>
      <c r="B91" s="11" t="s">
        <v>291</v>
      </c>
      <c r="C91" s="11" t="s">
        <v>292</v>
      </c>
      <c r="D91" s="11">
        <v>2021.0</v>
      </c>
      <c r="E91" s="11" t="s">
        <v>293</v>
      </c>
      <c r="F91" s="11" t="s">
        <v>65</v>
      </c>
      <c r="G91" s="11" t="s">
        <v>39</v>
      </c>
      <c r="H91" s="4"/>
      <c r="I91" s="4"/>
      <c r="J91" s="4"/>
      <c r="K91" s="4"/>
      <c r="L91" s="4"/>
      <c r="M91" s="4"/>
      <c r="N91" s="4"/>
      <c r="O91" s="4"/>
      <c r="P91" s="4"/>
      <c r="Q91" s="4"/>
      <c r="R91" s="4"/>
      <c r="S91" s="4"/>
      <c r="T91" s="4"/>
      <c r="U91" s="4"/>
      <c r="V91" s="4"/>
      <c r="W91" s="4"/>
      <c r="X91" s="4"/>
      <c r="Y91" s="4"/>
    </row>
    <row r="92">
      <c r="A92" s="12">
        <v>91.0</v>
      </c>
      <c r="B92" s="11" t="s">
        <v>294</v>
      </c>
      <c r="C92" s="11" t="s">
        <v>295</v>
      </c>
      <c r="D92" s="11">
        <v>2022.0</v>
      </c>
      <c r="E92" s="11" t="s">
        <v>212</v>
      </c>
      <c r="F92" s="11" t="s">
        <v>65</v>
      </c>
      <c r="G92" s="11" t="s">
        <v>49</v>
      </c>
      <c r="H92" s="4"/>
      <c r="I92" s="4"/>
      <c r="J92" s="4"/>
      <c r="K92" s="4"/>
      <c r="L92" s="4"/>
      <c r="M92" s="4"/>
      <c r="N92" s="4"/>
      <c r="O92" s="4"/>
      <c r="P92" s="4"/>
      <c r="Q92" s="4"/>
      <c r="R92" s="4"/>
      <c r="S92" s="4"/>
      <c r="T92" s="4"/>
      <c r="U92" s="4"/>
      <c r="V92" s="4"/>
      <c r="W92" s="4"/>
      <c r="X92" s="4"/>
      <c r="Y92" s="4"/>
    </row>
    <row r="93">
      <c r="A93" s="11">
        <v>92.0</v>
      </c>
      <c r="B93" s="11" t="s">
        <v>296</v>
      </c>
      <c r="C93" s="11" t="s">
        <v>297</v>
      </c>
      <c r="D93" s="11">
        <v>2020.0</v>
      </c>
      <c r="E93" s="11" t="s">
        <v>192</v>
      </c>
      <c r="F93" s="11" t="s">
        <v>65</v>
      </c>
      <c r="G93" s="11" t="s">
        <v>49</v>
      </c>
      <c r="H93" s="4"/>
      <c r="I93" s="4"/>
      <c r="J93" s="4"/>
      <c r="K93" s="4"/>
      <c r="L93" s="4"/>
      <c r="M93" s="4"/>
      <c r="N93" s="4"/>
      <c r="O93" s="4"/>
      <c r="P93" s="4"/>
      <c r="Q93" s="4"/>
      <c r="R93" s="4"/>
      <c r="S93" s="4"/>
      <c r="T93" s="4"/>
      <c r="U93" s="4"/>
      <c r="V93" s="4"/>
      <c r="W93" s="4"/>
      <c r="X93" s="4"/>
      <c r="Y93" s="4"/>
    </row>
    <row r="94">
      <c r="A94" s="11">
        <v>93.0</v>
      </c>
      <c r="B94" s="11" t="s">
        <v>298</v>
      </c>
      <c r="C94" s="11" t="s">
        <v>299</v>
      </c>
      <c r="D94" s="11">
        <v>2021.0</v>
      </c>
      <c r="E94" s="11" t="s">
        <v>300</v>
      </c>
      <c r="F94" s="11" t="s">
        <v>65</v>
      </c>
      <c r="G94" s="11" t="s">
        <v>49</v>
      </c>
      <c r="H94" s="4"/>
      <c r="I94" s="4"/>
      <c r="J94" s="4"/>
      <c r="K94" s="4"/>
      <c r="L94" s="4"/>
      <c r="M94" s="4"/>
      <c r="N94" s="4"/>
      <c r="O94" s="4"/>
      <c r="P94" s="4"/>
      <c r="Q94" s="4"/>
      <c r="R94" s="4"/>
      <c r="S94" s="4"/>
      <c r="T94" s="4"/>
      <c r="U94" s="4"/>
      <c r="V94" s="4"/>
      <c r="W94" s="4"/>
      <c r="X94" s="4"/>
      <c r="Y94" s="4"/>
    </row>
    <row r="95">
      <c r="A95" s="12">
        <v>94.0</v>
      </c>
      <c r="B95" s="11" t="s">
        <v>301</v>
      </c>
      <c r="C95" s="11" t="s">
        <v>302</v>
      </c>
      <c r="D95" s="11">
        <v>2019.0</v>
      </c>
      <c r="E95" s="11" t="s">
        <v>192</v>
      </c>
      <c r="F95" s="11" t="s">
        <v>65</v>
      </c>
      <c r="G95" s="11" t="s">
        <v>49</v>
      </c>
      <c r="H95" s="4"/>
      <c r="I95" s="4"/>
      <c r="J95" s="4"/>
      <c r="K95" s="4"/>
      <c r="L95" s="4"/>
      <c r="M95" s="4"/>
      <c r="N95" s="4"/>
      <c r="O95" s="4"/>
      <c r="P95" s="4"/>
      <c r="Q95" s="4"/>
      <c r="R95" s="4"/>
      <c r="S95" s="4"/>
      <c r="T95" s="4"/>
      <c r="U95" s="4"/>
      <c r="V95" s="4"/>
      <c r="W95" s="4"/>
      <c r="X95" s="4"/>
      <c r="Y95" s="4"/>
    </row>
    <row r="96">
      <c r="A96" s="11">
        <v>95.0</v>
      </c>
      <c r="B96" s="11" t="s">
        <v>303</v>
      </c>
      <c r="C96" s="11" t="s">
        <v>304</v>
      </c>
      <c r="D96" s="11">
        <v>2023.0</v>
      </c>
      <c r="E96" s="11" t="s">
        <v>118</v>
      </c>
      <c r="F96" s="11" t="s">
        <v>65</v>
      </c>
      <c r="G96" s="11" t="s">
        <v>49</v>
      </c>
      <c r="H96" s="4"/>
      <c r="I96" s="4"/>
      <c r="J96" s="4"/>
      <c r="K96" s="4"/>
      <c r="L96" s="4"/>
      <c r="M96" s="4"/>
      <c r="N96" s="4"/>
      <c r="O96" s="4"/>
      <c r="P96" s="4"/>
      <c r="Q96" s="4"/>
      <c r="R96" s="4"/>
      <c r="S96" s="4"/>
      <c r="T96" s="4"/>
      <c r="U96" s="4"/>
      <c r="V96" s="4"/>
      <c r="W96" s="4"/>
      <c r="X96" s="4"/>
      <c r="Y96" s="4"/>
    </row>
    <row r="97">
      <c r="A97" s="11">
        <v>96.0</v>
      </c>
      <c r="B97" s="11" t="s">
        <v>305</v>
      </c>
      <c r="C97" s="11" t="s">
        <v>306</v>
      </c>
      <c r="D97" s="11">
        <v>2019.0</v>
      </c>
      <c r="E97" s="11" t="s">
        <v>307</v>
      </c>
      <c r="F97" s="11" t="s">
        <v>65</v>
      </c>
      <c r="G97" s="11" t="s">
        <v>39</v>
      </c>
      <c r="H97" s="4"/>
      <c r="I97" s="4"/>
      <c r="J97" s="4"/>
      <c r="K97" s="4"/>
      <c r="L97" s="4"/>
      <c r="M97" s="4"/>
      <c r="N97" s="4"/>
      <c r="O97" s="4"/>
      <c r="P97" s="4"/>
      <c r="Q97" s="4"/>
      <c r="R97" s="4"/>
      <c r="S97" s="4"/>
      <c r="T97" s="4"/>
      <c r="U97" s="4"/>
      <c r="V97" s="4"/>
      <c r="W97" s="4"/>
      <c r="X97" s="4"/>
      <c r="Y97" s="4"/>
    </row>
    <row r="98">
      <c r="A98" s="12">
        <v>97.0</v>
      </c>
      <c r="B98" s="11" t="s">
        <v>308</v>
      </c>
      <c r="C98" s="11" t="s">
        <v>309</v>
      </c>
      <c r="D98" s="11">
        <v>2022.0</v>
      </c>
      <c r="E98" s="11" t="s">
        <v>310</v>
      </c>
      <c r="F98" s="11" t="s">
        <v>65</v>
      </c>
      <c r="G98" s="11" t="s">
        <v>49</v>
      </c>
      <c r="H98" s="4"/>
      <c r="I98" s="4"/>
      <c r="J98" s="4"/>
      <c r="K98" s="4"/>
      <c r="L98" s="4"/>
      <c r="M98" s="4"/>
      <c r="N98" s="4"/>
      <c r="O98" s="4"/>
      <c r="P98" s="4"/>
      <c r="Q98" s="4"/>
      <c r="R98" s="4"/>
      <c r="S98" s="4"/>
      <c r="T98" s="4"/>
      <c r="U98" s="4"/>
      <c r="V98" s="4"/>
      <c r="W98" s="4"/>
      <c r="X98" s="4"/>
      <c r="Y98" s="4"/>
    </row>
    <row r="99">
      <c r="A99" s="11">
        <v>98.0</v>
      </c>
      <c r="B99" s="11" t="s">
        <v>311</v>
      </c>
      <c r="C99" s="11" t="s">
        <v>312</v>
      </c>
      <c r="D99" s="11">
        <v>2022.0</v>
      </c>
      <c r="E99" s="11" t="s">
        <v>313</v>
      </c>
      <c r="F99" s="11" t="s">
        <v>65</v>
      </c>
      <c r="G99" s="11" t="s">
        <v>49</v>
      </c>
      <c r="H99" s="4"/>
      <c r="I99" s="4"/>
      <c r="J99" s="4"/>
      <c r="K99" s="4"/>
      <c r="L99" s="4"/>
      <c r="M99" s="4"/>
      <c r="N99" s="4"/>
      <c r="O99" s="4"/>
      <c r="P99" s="4"/>
      <c r="Q99" s="4"/>
      <c r="R99" s="4"/>
      <c r="S99" s="4"/>
      <c r="T99" s="4"/>
      <c r="U99" s="4"/>
      <c r="V99" s="4"/>
      <c r="W99" s="4"/>
      <c r="X99" s="4"/>
      <c r="Y99" s="4"/>
    </row>
    <row r="100">
      <c r="A100" s="11">
        <v>99.0</v>
      </c>
      <c r="B100" s="11" t="s">
        <v>314</v>
      </c>
      <c r="C100" s="11" t="s">
        <v>315</v>
      </c>
      <c r="D100" s="11">
        <v>2019.0</v>
      </c>
      <c r="E100" s="11" t="s">
        <v>316</v>
      </c>
      <c r="F100" s="11" t="s">
        <v>65</v>
      </c>
      <c r="G100" s="11" t="s">
        <v>49</v>
      </c>
      <c r="H100" s="4"/>
      <c r="I100" s="4"/>
      <c r="J100" s="4"/>
      <c r="K100" s="4"/>
      <c r="L100" s="4"/>
      <c r="M100" s="4"/>
      <c r="N100" s="4"/>
      <c r="O100" s="4"/>
      <c r="P100" s="4"/>
      <c r="Q100" s="4"/>
      <c r="R100" s="4"/>
      <c r="S100" s="4"/>
      <c r="T100" s="4"/>
      <c r="U100" s="4"/>
      <c r="V100" s="4"/>
      <c r="W100" s="4"/>
      <c r="X100" s="4"/>
      <c r="Y100" s="4"/>
    </row>
    <row r="101">
      <c r="A101" s="12">
        <v>100.0</v>
      </c>
      <c r="B101" s="11" t="s">
        <v>317</v>
      </c>
      <c r="C101" s="11" t="s">
        <v>318</v>
      </c>
      <c r="D101" s="11">
        <v>2021.0</v>
      </c>
      <c r="E101" s="11" t="s">
        <v>319</v>
      </c>
      <c r="F101" s="11" t="s">
        <v>65</v>
      </c>
      <c r="G101" s="11" t="s">
        <v>39</v>
      </c>
      <c r="H101" s="4"/>
      <c r="I101" s="4"/>
      <c r="J101" s="4"/>
      <c r="K101" s="4"/>
      <c r="L101" s="4"/>
      <c r="M101" s="4"/>
      <c r="N101" s="4"/>
      <c r="O101" s="4"/>
      <c r="P101" s="4"/>
      <c r="Q101" s="4"/>
      <c r="R101" s="4"/>
      <c r="S101" s="4"/>
      <c r="T101" s="4"/>
      <c r="U101" s="4"/>
      <c r="V101" s="4"/>
      <c r="W101" s="4"/>
      <c r="X101" s="4"/>
      <c r="Y101" s="4"/>
    </row>
    <row r="102">
      <c r="A102" s="11">
        <v>101.0</v>
      </c>
      <c r="B102" s="11" t="s">
        <v>320</v>
      </c>
      <c r="C102" s="11" t="s">
        <v>321</v>
      </c>
      <c r="D102" s="11">
        <v>2020.0</v>
      </c>
      <c r="E102" s="11" t="s">
        <v>322</v>
      </c>
      <c r="F102" s="11" t="s">
        <v>65</v>
      </c>
      <c r="G102" s="11" t="s">
        <v>39</v>
      </c>
      <c r="H102" s="4"/>
      <c r="I102" s="4"/>
      <c r="J102" s="4"/>
      <c r="K102" s="4"/>
      <c r="L102" s="4"/>
      <c r="M102" s="4"/>
      <c r="N102" s="4"/>
      <c r="O102" s="4"/>
      <c r="P102" s="4"/>
      <c r="Q102" s="4"/>
      <c r="R102" s="4"/>
      <c r="S102" s="4"/>
      <c r="T102" s="4"/>
      <c r="U102" s="4"/>
      <c r="V102" s="4"/>
      <c r="W102" s="4"/>
      <c r="X102" s="4"/>
      <c r="Y102" s="4"/>
    </row>
    <row r="103">
      <c r="A103" s="11">
        <v>102.0</v>
      </c>
      <c r="B103" s="11" t="s">
        <v>323</v>
      </c>
      <c r="C103" s="11" t="s">
        <v>324</v>
      </c>
      <c r="D103" s="11">
        <v>2020.0</v>
      </c>
      <c r="E103" s="11" t="s">
        <v>192</v>
      </c>
      <c r="F103" s="11" t="s">
        <v>65</v>
      </c>
      <c r="G103" s="11" t="s">
        <v>49</v>
      </c>
      <c r="H103" s="4"/>
      <c r="I103" s="4"/>
      <c r="J103" s="4"/>
      <c r="K103" s="4"/>
      <c r="L103" s="4"/>
      <c r="M103" s="4"/>
      <c r="N103" s="4"/>
      <c r="O103" s="4"/>
      <c r="P103" s="4"/>
      <c r="Q103" s="4"/>
      <c r="R103" s="4"/>
      <c r="S103" s="4"/>
      <c r="T103" s="4"/>
      <c r="U103" s="4"/>
      <c r="V103" s="4"/>
      <c r="W103" s="4"/>
      <c r="X103" s="4"/>
      <c r="Y103" s="4"/>
    </row>
    <row r="104">
      <c r="A104" s="12">
        <v>103.0</v>
      </c>
      <c r="B104" s="11" t="s">
        <v>325</v>
      </c>
      <c r="C104" s="11" t="s">
        <v>326</v>
      </c>
      <c r="D104" s="11">
        <v>2022.0</v>
      </c>
      <c r="E104" s="11" t="s">
        <v>327</v>
      </c>
      <c r="F104" s="11" t="s">
        <v>65</v>
      </c>
      <c r="G104" s="11" t="s">
        <v>49</v>
      </c>
      <c r="H104" s="4"/>
      <c r="I104" s="4"/>
      <c r="J104" s="4"/>
      <c r="K104" s="4"/>
      <c r="L104" s="4"/>
      <c r="M104" s="4"/>
      <c r="N104" s="4"/>
      <c r="O104" s="4"/>
      <c r="P104" s="4"/>
      <c r="Q104" s="4"/>
      <c r="R104" s="4"/>
      <c r="S104" s="4"/>
      <c r="T104" s="4"/>
      <c r="U104" s="4"/>
      <c r="V104" s="4"/>
      <c r="W104" s="4"/>
      <c r="X104" s="4"/>
      <c r="Y104" s="4"/>
    </row>
    <row r="105">
      <c r="A105" s="11">
        <v>104.0</v>
      </c>
      <c r="B105" s="11" t="s">
        <v>328</v>
      </c>
      <c r="C105" s="11" t="s">
        <v>329</v>
      </c>
      <c r="D105" s="11">
        <v>2019.0</v>
      </c>
      <c r="E105" s="11" t="s">
        <v>330</v>
      </c>
      <c r="F105" s="11" t="s">
        <v>65</v>
      </c>
      <c r="G105" s="11" t="s">
        <v>39</v>
      </c>
      <c r="H105" s="4"/>
      <c r="I105" s="4"/>
      <c r="J105" s="4"/>
      <c r="K105" s="4"/>
      <c r="L105" s="4"/>
      <c r="M105" s="4"/>
      <c r="N105" s="4"/>
      <c r="O105" s="4"/>
      <c r="P105" s="4"/>
      <c r="Q105" s="4"/>
      <c r="R105" s="4"/>
      <c r="S105" s="4"/>
      <c r="T105" s="4"/>
      <c r="U105" s="4"/>
      <c r="V105" s="4"/>
      <c r="W105" s="4"/>
      <c r="X105" s="4"/>
      <c r="Y105" s="4"/>
    </row>
    <row r="106">
      <c r="A106" s="11">
        <v>105.0</v>
      </c>
      <c r="B106" s="11" t="s">
        <v>331</v>
      </c>
      <c r="C106" s="11" t="s">
        <v>332</v>
      </c>
      <c r="D106" s="11">
        <v>2018.0</v>
      </c>
      <c r="E106" s="11" t="s">
        <v>224</v>
      </c>
      <c r="F106" s="11" t="s">
        <v>65</v>
      </c>
      <c r="G106" s="11" t="s">
        <v>49</v>
      </c>
      <c r="H106" s="4"/>
      <c r="I106" s="4"/>
      <c r="J106" s="4"/>
      <c r="K106" s="4"/>
      <c r="L106" s="4"/>
      <c r="M106" s="4"/>
      <c r="N106" s="4"/>
      <c r="O106" s="4"/>
      <c r="P106" s="4"/>
      <c r="Q106" s="4"/>
      <c r="R106" s="4"/>
      <c r="S106" s="4"/>
      <c r="T106" s="4"/>
      <c r="U106" s="4"/>
      <c r="V106" s="4"/>
      <c r="W106" s="4"/>
      <c r="X106" s="4"/>
      <c r="Y106" s="4"/>
    </row>
    <row r="107">
      <c r="A107" s="12">
        <v>106.0</v>
      </c>
      <c r="B107" s="11" t="s">
        <v>333</v>
      </c>
      <c r="C107" s="11" t="s">
        <v>334</v>
      </c>
      <c r="D107" s="11">
        <v>2018.0</v>
      </c>
      <c r="E107" s="11" t="s">
        <v>335</v>
      </c>
      <c r="F107" s="11" t="s">
        <v>65</v>
      </c>
      <c r="G107" s="11" t="s">
        <v>49</v>
      </c>
      <c r="H107" s="4"/>
      <c r="I107" s="4"/>
      <c r="J107" s="4"/>
      <c r="K107" s="4"/>
      <c r="L107" s="4"/>
      <c r="M107" s="4"/>
      <c r="N107" s="4"/>
      <c r="O107" s="4"/>
      <c r="P107" s="4"/>
      <c r="Q107" s="4"/>
      <c r="R107" s="4"/>
      <c r="S107" s="4"/>
      <c r="T107" s="4"/>
      <c r="U107" s="4"/>
      <c r="V107" s="4"/>
      <c r="W107" s="4"/>
      <c r="X107" s="4"/>
      <c r="Y107" s="4"/>
    </row>
    <row r="108">
      <c r="A108" s="11">
        <v>107.0</v>
      </c>
      <c r="B108" s="11" t="s">
        <v>336</v>
      </c>
      <c r="C108" s="11" t="s">
        <v>337</v>
      </c>
      <c r="D108" s="11">
        <v>2019.0</v>
      </c>
      <c r="E108" s="11" t="s">
        <v>167</v>
      </c>
      <c r="F108" s="11" t="s">
        <v>65</v>
      </c>
      <c r="G108" s="11" t="s">
        <v>39</v>
      </c>
      <c r="H108" s="4"/>
      <c r="I108" s="4"/>
      <c r="J108" s="4"/>
      <c r="K108" s="4"/>
      <c r="L108" s="4"/>
      <c r="M108" s="4"/>
      <c r="N108" s="4"/>
      <c r="O108" s="4"/>
      <c r="P108" s="4"/>
      <c r="Q108" s="4"/>
      <c r="R108" s="4"/>
      <c r="S108" s="4"/>
      <c r="T108" s="4"/>
      <c r="U108" s="4"/>
      <c r="V108" s="4"/>
      <c r="W108" s="4"/>
      <c r="X108" s="4"/>
      <c r="Y108" s="4"/>
    </row>
    <row r="109">
      <c r="A109" s="11">
        <v>108.0</v>
      </c>
      <c r="B109" s="11" t="s">
        <v>338</v>
      </c>
      <c r="C109" s="11" t="s">
        <v>339</v>
      </c>
      <c r="D109" s="11">
        <v>2019.0</v>
      </c>
      <c r="E109" s="11" t="s">
        <v>340</v>
      </c>
      <c r="F109" s="11" t="s">
        <v>65</v>
      </c>
      <c r="G109" s="11" t="s">
        <v>39</v>
      </c>
      <c r="H109" s="4"/>
      <c r="I109" s="4"/>
      <c r="J109" s="4"/>
      <c r="K109" s="4"/>
      <c r="L109" s="4"/>
      <c r="M109" s="4"/>
      <c r="N109" s="4"/>
      <c r="O109" s="4"/>
      <c r="P109" s="4"/>
      <c r="Q109" s="4"/>
      <c r="R109" s="4"/>
      <c r="S109" s="4"/>
      <c r="T109" s="4"/>
      <c r="U109" s="4"/>
      <c r="V109" s="4"/>
      <c r="W109" s="4"/>
      <c r="X109" s="4"/>
      <c r="Y109" s="4"/>
    </row>
    <row r="110">
      <c r="A110" s="12">
        <v>109.0</v>
      </c>
      <c r="B110" s="11" t="s">
        <v>341</v>
      </c>
      <c r="C110" s="11" t="s">
        <v>342</v>
      </c>
      <c r="D110" s="11">
        <v>2018.0</v>
      </c>
      <c r="E110" s="11" t="s">
        <v>343</v>
      </c>
      <c r="F110" s="11" t="s">
        <v>65</v>
      </c>
      <c r="G110" s="11" t="s">
        <v>49</v>
      </c>
      <c r="H110" s="4"/>
      <c r="I110" s="4"/>
      <c r="J110" s="4"/>
      <c r="K110" s="4"/>
      <c r="L110" s="4"/>
      <c r="M110" s="4"/>
      <c r="N110" s="4"/>
      <c r="O110" s="4"/>
      <c r="P110" s="4"/>
      <c r="Q110" s="4"/>
      <c r="R110" s="4"/>
      <c r="S110" s="4"/>
      <c r="T110" s="4"/>
      <c r="U110" s="4"/>
      <c r="V110" s="4"/>
      <c r="W110" s="4"/>
      <c r="X110" s="4"/>
      <c r="Y110" s="4"/>
    </row>
    <row r="111">
      <c r="A111" s="11">
        <v>110.0</v>
      </c>
      <c r="B111" s="11" t="s">
        <v>344</v>
      </c>
      <c r="C111" s="11" t="s">
        <v>345</v>
      </c>
      <c r="D111" s="11">
        <v>2019.0</v>
      </c>
      <c r="E111" s="11" t="s">
        <v>346</v>
      </c>
      <c r="F111" s="11" t="s">
        <v>65</v>
      </c>
      <c r="G111" s="11" t="s">
        <v>39</v>
      </c>
      <c r="H111" s="4"/>
      <c r="I111" s="4"/>
      <c r="J111" s="4"/>
      <c r="K111" s="4"/>
      <c r="L111" s="4"/>
      <c r="M111" s="4"/>
      <c r="N111" s="4"/>
      <c r="O111" s="4"/>
      <c r="P111" s="4"/>
      <c r="Q111" s="4"/>
      <c r="R111" s="4"/>
      <c r="S111" s="4"/>
      <c r="T111" s="4"/>
      <c r="U111" s="4"/>
      <c r="V111" s="4"/>
      <c r="W111" s="4"/>
      <c r="X111" s="4"/>
      <c r="Y111" s="4"/>
    </row>
    <row r="112">
      <c r="A112" s="11">
        <v>111.0</v>
      </c>
      <c r="B112" s="11" t="s">
        <v>347</v>
      </c>
      <c r="C112" s="11" t="s">
        <v>348</v>
      </c>
      <c r="D112" s="11">
        <v>2019.0</v>
      </c>
      <c r="E112" s="11" t="s">
        <v>245</v>
      </c>
      <c r="F112" s="11" t="s">
        <v>65</v>
      </c>
      <c r="G112" s="11" t="s">
        <v>39</v>
      </c>
      <c r="H112" s="4"/>
      <c r="I112" s="4"/>
      <c r="J112" s="4"/>
      <c r="K112" s="4"/>
      <c r="L112" s="4"/>
      <c r="M112" s="4"/>
      <c r="N112" s="4"/>
      <c r="O112" s="4"/>
      <c r="P112" s="4"/>
      <c r="Q112" s="4"/>
      <c r="R112" s="4"/>
      <c r="S112" s="4"/>
      <c r="T112" s="4"/>
      <c r="U112" s="4"/>
      <c r="V112" s="4"/>
      <c r="W112" s="4"/>
      <c r="X112" s="4"/>
      <c r="Y112" s="4"/>
    </row>
    <row r="113">
      <c r="A113" s="12">
        <v>112.0</v>
      </c>
      <c r="B113" s="11" t="s">
        <v>349</v>
      </c>
      <c r="C113" s="11" t="s">
        <v>350</v>
      </c>
      <c r="D113" s="11">
        <v>2019.0</v>
      </c>
      <c r="E113" s="11" t="s">
        <v>351</v>
      </c>
      <c r="F113" s="11" t="s">
        <v>65</v>
      </c>
      <c r="G113" s="11" t="s">
        <v>49</v>
      </c>
      <c r="H113" s="4"/>
      <c r="I113" s="4"/>
      <c r="J113" s="4"/>
      <c r="K113" s="4"/>
      <c r="L113" s="4"/>
      <c r="M113" s="4"/>
      <c r="N113" s="4"/>
      <c r="O113" s="4"/>
      <c r="P113" s="4"/>
      <c r="Q113" s="4"/>
      <c r="R113" s="4"/>
      <c r="S113" s="4"/>
      <c r="T113" s="4"/>
      <c r="U113" s="4"/>
      <c r="V113" s="4"/>
      <c r="W113" s="4"/>
      <c r="X113" s="4"/>
      <c r="Y113" s="4"/>
    </row>
    <row r="114">
      <c r="A114" s="11">
        <v>113.0</v>
      </c>
      <c r="B114" s="11" t="s">
        <v>352</v>
      </c>
      <c r="C114" s="11" t="s">
        <v>353</v>
      </c>
      <c r="D114" s="11">
        <v>2018.0</v>
      </c>
      <c r="E114" s="11" t="s">
        <v>354</v>
      </c>
      <c r="F114" s="11" t="s">
        <v>65</v>
      </c>
      <c r="G114" s="11" t="s">
        <v>49</v>
      </c>
      <c r="H114" s="4"/>
      <c r="I114" s="4"/>
      <c r="J114" s="4"/>
      <c r="K114" s="4"/>
      <c r="L114" s="4"/>
      <c r="M114" s="4"/>
      <c r="N114" s="4"/>
      <c r="O114" s="4"/>
      <c r="P114" s="4"/>
      <c r="Q114" s="4"/>
      <c r="R114" s="4"/>
      <c r="S114" s="4"/>
      <c r="T114" s="4"/>
      <c r="U114" s="4"/>
      <c r="V114" s="4"/>
      <c r="W114" s="4"/>
      <c r="X114" s="4"/>
      <c r="Y114" s="4"/>
    </row>
    <row r="115">
      <c r="A115" s="11">
        <v>114.0</v>
      </c>
      <c r="B115" s="11" t="s">
        <v>355</v>
      </c>
      <c r="C115" s="11" t="s">
        <v>356</v>
      </c>
      <c r="D115" s="11">
        <v>2018.0</v>
      </c>
      <c r="E115" s="11" t="s">
        <v>357</v>
      </c>
      <c r="F115" s="11" t="s">
        <v>65</v>
      </c>
      <c r="G115" s="11" t="s">
        <v>39</v>
      </c>
      <c r="H115" s="4"/>
      <c r="I115" s="4"/>
      <c r="J115" s="4"/>
      <c r="K115" s="4"/>
      <c r="L115" s="4"/>
      <c r="M115" s="4"/>
      <c r="N115" s="4"/>
      <c r="O115" s="4"/>
      <c r="P115" s="4"/>
      <c r="Q115" s="4"/>
      <c r="R115" s="4"/>
      <c r="S115" s="4"/>
      <c r="T115" s="4"/>
      <c r="U115" s="4"/>
      <c r="V115" s="4"/>
      <c r="W115" s="4"/>
      <c r="X115" s="4"/>
      <c r="Y115" s="4"/>
    </row>
    <row r="116">
      <c r="A116" s="12">
        <v>115.0</v>
      </c>
      <c r="B116" s="11" t="s">
        <v>358</v>
      </c>
      <c r="C116" s="11" t="s">
        <v>359</v>
      </c>
      <c r="D116" s="11">
        <v>2019.0</v>
      </c>
      <c r="E116" s="11" t="s">
        <v>221</v>
      </c>
      <c r="F116" s="11" t="s">
        <v>65</v>
      </c>
      <c r="G116" s="11" t="s">
        <v>49</v>
      </c>
      <c r="H116" s="4"/>
      <c r="I116" s="4"/>
      <c r="J116" s="4"/>
      <c r="K116" s="4"/>
      <c r="L116" s="4"/>
      <c r="M116" s="4"/>
      <c r="N116" s="4"/>
      <c r="O116" s="4"/>
      <c r="P116" s="4"/>
      <c r="Q116" s="4"/>
      <c r="R116" s="4"/>
      <c r="S116" s="4"/>
      <c r="T116" s="4"/>
      <c r="U116" s="4"/>
      <c r="V116" s="4"/>
      <c r="W116" s="4"/>
      <c r="X116" s="4"/>
      <c r="Y116" s="4"/>
    </row>
    <row r="117">
      <c r="A117" s="11">
        <v>116.0</v>
      </c>
      <c r="B117" s="11" t="s">
        <v>360</v>
      </c>
      <c r="C117" s="11" t="s">
        <v>361</v>
      </c>
      <c r="D117" s="11">
        <v>2018.0</v>
      </c>
      <c r="E117" s="11" t="s">
        <v>330</v>
      </c>
      <c r="F117" s="11" t="s">
        <v>65</v>
      </c>
      <c r="G117" s="11" t="s">
        <v>39</v>
      </c>
      <c r="H117" s="4"/>
      <c r="I117" s="4"/>
      <c r="J117" s="4"/>
      <c r="K117" s="4"/>
      <c r="L117" s="4"/>
      <c r="M117" s="4"/>
      <c r="N117" s="4"/>
      <c r="O117" s="4"/>
      <c r="P117" s="4"/>
      <c r="Q117" s="4"/>
      <c r="R117" s="4"/>
      <c r="S117" s="4"/>
      <c r="T117" s="4"/>
      <c r="U117" s="4"/>
      <c r="V117" s="4"/>
      <c r="W117" s="4"/>
      <c r="X117" s="4"/>
      <c r="Y117" s="4"/>
    </row>
    <row r="118">
      <c r="A118" s="11">
        <v>117.0</v>
      </c>
      <c r="B118" s="11" t="s">
        <v>362</v>
      </c>
      <c r="C118" s="11" t="s">
        <v>363</v>
      </c>
      <c r="D118" s="11">
        <v>2018.0</v>
      </c>
      <c r="E118" s="11" t="s">
        <v>364</v>
      </c>
      <c r="F118" s="11" t="s">
        <v>65</v>
      </c>
      <c r="G118" s="11" t="s">
        <v>39</v>
      </c>
      <c r="H118" s="4"/>
      <c r="I118" s="4"/>
      <c r="J118" s="4"/>
      <c r="K118" s="4"/>
      <c r="L118" s="4"/>
      <c r="M118" s="4"/>
      <c r="N118" s="4"/>
      <c r="O118" s="4"/>
      <c r="P118" s="4"/>
      <c r="Q118" s="4"/>
      <c r="R118" s="4"/>
      <c r="S118" s="4"/>
      <c r="T118" s="4"/>
      <c r="U118" s="4"/>
      <c r="V118" s="4"/>
      <c r="W118" s="4"/>
      <c r="X118" s="4"/>
      <c r="Y118" s="4"/>
    </row>
    <row r="119">
      <c r="A119" s="12">
        <v>118.0</v>
      </c>
      <c r="B119" s="11" t="s">
        <v>365</v>
      </c>
      <c r="C119" s="11" t="s">
        <v>366</v>
      </c>
      <c r="D119" s="11">
        <v>2018.0</v>
      </c>
      <c r="E119" s="11" t="s">
        <v>367</v>
      </c>
      <c r="F119" s="11" t="s">
        <v>65</v>
      </c>
      <c r="G119" s="11" t="s">
        <v>39</v>
      </c>
      <c r="H119" s="4"/>
      <c r="I119" s="4"/>
      <c r="J119" s="4"/>
      <c r="K119" s="4"/>
      <c r="L119" s="4"/>
      <c r="M119" s="4"/>
      <c r="N119" s="4"/>
      <c r="O119" s="4"/>
      <c r="P119" s="4"/>
      <c r="Q119" s="4"/>
      <c r="R119" s="4"/>
      <c r="S119" s="4"/>
      <c r="T119" s="4"/>
      <c r="U119" s="4"/>
      <c r="V119" s="4"/>
      <c r="W119" s="4"/>
      <c r="X119" s="4"/>
      <c r="Y119" s="4"/>
    </row>
    <row r="120">
      <c r="A120" s="11">
        <v>119.0</v>
      </c>
      <c r="B120" s="11" t="s">
        <v>368</v>
      </c>
      <c r="C120" s="11" t="s">
        <v>369</v>
      </c>
      <c r="D120" s="11">
        <v>2018.0</v>
      </c>
      <c r="E120" s="11" t="s">
        <v>121</v>
      </c>
      <c r="F120" s="11" t="s">
        <v>65</v>
      </c>
      <c r="G120" s="11" t="s">
        <v>39</v>
      </c>
      <c r="H120" s="4"/>
      <c r="I120" s="4"/>
      <c r="J120" s="4"/>
      <c r="K120" s="4"/>
      <c r="L120" s="4"/>
      <c r="M120" s="4"/>
      <c r="N120" s="4"/>
      <c r="O120" s="4"/>
      <c r="P120" s="4"/>
      <c r="Q120" s="4"/>
      <c r="R120" s="4"/>
      <c r="S120" s="4"/>
      <c r="T120" s="4"/>
      <c r="U120" s="4"/>
      <c r="V120" s="4"/>
      <c r="W120" s="4"/>
      <c r="X120" s="4"/>
      <c r="Y120" s="4"/>
    </row>
    <row r="121">
      <c r="A121" s="11">
        <v>120.0</v>
      </c>
      <c r="B121" s="11" t="s">
        <v>370</v>
      </c>
      <c r="C121" s="11" t="s">
        <v>371</v>
      </c>
      <c r="D121" s="11">
        <v>2019.0</v>
      </c>
      <c r="E121" s="11" t="s">
        <v>192</v>
      </c>
      <c r="F121" s="11" t="s">
        <v>65</v>
      </c>
      <c r="G121" s="11" t="s">
        <v>49</v>
      </c>
      <c r="H121" s="4"/>
      <c r="I121" s="4"/>
      <c r="J121" s="4"/>
      <c r="K121" s="4"/>
      <c r="L121" s="4"/>
      <c r="M121" s="4"/>
      <c r="N121" s="4"/>
      <c r="O121" s="4"/>
      <c r="P121" s="4"/>
      <c r="Q121" s="4"/>
      <c r="R121" s="4"/>
      <c r="S121" s="4"/>
      <c r="T121" s="4"/>
      <c r="U121" s="4"/>
      <c r="V121" s="4"/>
      <c r="W121" s="4"/>
      <c r="X121" s="4"/>
      <c r="Y121" s="4"/>
    </row>
    <row r="122">
      <c r="A122" s="12">
        <v>121.0</v>
      </c>
      <c r="B122" s="11" t="s">
        <v>372</v>
      </c>
      <c r="C122" s="11" t="s">
        <v>373</v>
      </c>
      <c r="D122" s="11">
        <v>2016.0</v>
      </c>
      <c r="E122" s="11" t="s">
        <v>374</v>
      </c>
      <c r="F122" s="11" t="s">
        <v>65</v>
      </c>
      <c r="G122" s="11" t="s">
        <v>49</v>
      </c>
      <c r="H122" s="4"/>
      <c r="I122" s="4"/>
      <c r="J122" s="4"/>
      <c r="K122" s="4"/>
      <c r="L122" s="4"/>
      <c r="M122" s="4"/>
      <c r="N122" s="4"/>
      <c r="O122" s="4"/>
      <c r="P122" s="4"/>
      <c r="Q122" s="4"/>
      <c r="R122" s="4"/>
      <c r="S122" s="4"/>
      <c r="T122" s="4"/>
      <c r="U122" s="4"/>
      <c r="V122" s="4"/>
      <c r="W122" s="4"/>
      <c r="X122" s="4"/>
      <c r="Y122" s="4"/>
    </row>
    <row r="123">
      <c r="A123" s="11">
        <v>122.0</v>
      </c>
      <c r="B123" s="11" t="s">
        <v>375</v>
      </c>
      <c r="C123" s="11" t="s">
        <v>376</v>
      </c>
      <c r="D123" s="11">
        <v>2018.0</v>
      </c>
      <c r="E123" s="11" t="s">
        <v>377</v>
      </c>
      <c r="F123" s="11" t="s">
        <v>65</v>
      </c>
      <c r="G123" s="11" t="s">
        <v>39</v>
      </c>
      <c r="H123" s="4"/>
      <c r="I123" s="4"/>
      <c r="J123" s="4"/>
      <c r="K123" s="4"/>
      <c r="L123" s="4"/>
      <c r="M123" s="4"/>
      <c r="N123" s="4"/>
      <c r="O123" s="4"/>
      <c r="P123" s="4"/>
      <c r="Q123" s="4"/>
      <c r="R123" s="4"/>
      <c r="S123" s="4"/>
      <c r="T123" s="4"/>
      <c r="U123" s="4"/>
      <c r="V123" s="4"/>
      <c r="W123" s="4"/>
      <c r="X123" s="4"/>
      <c r="Y123" s="4"/>
    </row>
    <row r="124">
      <c r="A124" s="11">
        <v>123.0</v>
      </c>
      <c r="B124" s="11" t="s">
        <v>378</v>
      </c>
      <c r="C124" s="11" t="s">
        <v>379</v>
      </c>
      <c r="D124" s="11">
        <v>2017.0</v>
      </c>
      <c r="E124" s="11" t="s">
        <v>158</v>
      </c>
      <c r="F124" s="11" t="s">
        <v>65</v>
      </c>
      <c r="G124" s="11" t="s">
        <v>39</v>
      </c>
      <c r="H124" s="4"/>
      <c r="I124" s="4"/>
      <c r="J124" s="4"/>
      <c r="K124" s="4"/>
      <c r="L124" s="4"/>
      <c r="M124" s="4"/>
      <c r="N124" s="4"/>
      <c r="O124" s="4"/>
      <c r="P124" s="4"/>
      <c r="Q124" s="4"/>
      <c r="R124" s="4"/>
      <c r="S124" s="4"/>
      <c r="T124" s="4"/>
      <c r="U124" s="4"/>
      <c r="V124" s="4"/>
      <c r="W124" s="4"/>
      <c r="X124" s="4"/>
      <c r="Y124" s="4"/>
    </row>
    <row r="125">
      <c r="A125" s="12">
        <v>124.0</v>
      </c>
      <c r="B125" s="11" t="s">
        <v>380</v>
      </c>
      <c r="C125" s="11" t="s">
        <v>381</v>
      </c>
      <c r="D125" s="11">
        <v>2016.0</v>
      </c>
      <c r="E125" s="11" t="s">
        <v>343</v>
      </c>
      <c r="F125" s="11" t="s">
        <v>65</v>
      </c>
      <c r="G125" s="11" t="s">
        <v>49</v>
      </c>
      <c r="H125" s="4"/>
      <c r="I125" s="4"/>
      <c r="J125" s="4"/>
      <c r="K125" s="4"/>
      <c r="L125" s="4"/>
      <c r="M125" s="4"/>
      <c r="N125" s="4"/>
      <c r="O125" s="4"/>
      <c r="P125" s="4"/>
      <c r="Q125" s="4"/>
      <c r="R125" s="4"/>
      <c r="S125" s="4"/>
      <c r="T125" s="4"/>
      <c r="U125" s="4"/>
      <c r="V125" s="4"/>
      <c r="W125" s="4"/>
      <c r="X125" s="4"/>
      <c r="Y125" s="4"/>
    </row>
    <row r="126">
      <c r="A126" s="11">
        <v>125.0</v>
      </c>
      <c r="B126" s="11" t="s">
        <v>382</v>
      </c>
      <c r="C126" s="11" t="s">
        <v>383</v>
      </c>
      <c r="D126" s="11">
        <v>2018.0</v>
      </c>
      <c r="E126" s="11" t="s">
        <v>335</v>
      </c>
      <c r="F126" s="11" t="s">
        <v>65</v>
      </c>
      <c r="G126" s="11" t="s">
        <v>49</v>
      </c>
      <c r="H126" s="4"/>
      <c r="I126" s="4"/>
      <c r="J126" s="4"/>
      <c r="K126" s="4"/>
      <c r="L126" s="4"/>
      <c r="M126" s="4"/>
      <c r="N126" s="4"/>
      <c r="O126" s="4"/>
      <c r="P126" s="4"/>
      <c r="Q126" s="4"/>
      <c r="R126" s="4"/>
      <c r="S126" s="4"/>
      <c r="T126" s="4"/>
      <c r="U126" s="4"/>
      <c r="V126" s="4"/>
      <c r="W126" s="4"/>
      <c r="X126" s="4"/>
      <c r="Y126" s="4"/>
    </row>
    <row r="127">
      <c r="A127" s="11">
        <v>126.0</v>
      </c>
      <c r="B127" s="11" t="s">
        <v>384</v>
      </c>
      <c r="C127" s="11" t="s">
        <v>385</v>
      </c>
      <c r="D127" s="11">
        <v>2017.0</v>
      </c>
      <c r="E127" s="11" t="s">
        <v>386</v>
      </c>
      <c r="F127" s="11" t="s">
        <v>65</v>
      </c>
      <c r="G127" s="11" t="s">
        <v>49</v>
      </c>
      <c r="H127" s="4"/>
      <c r="I127" s="4"/>
      <c r="J127" s="4"/>
      <c r="K127" s="4"/>
      <c r="L127" s="4"/>
      <c r="M127" s="4"/>
      <c r="N127" s="4"/>
      <c r="O127" s="4"/>
      <c r="P127" s="4"/>
      <c r="Q127" s="4"/>
      <c r="R127" s="4"/>
      <c r="S127" s="4"/>
      <c r="T127" s="4"/>
      <c r="U127" s="4"/>
      <c r="V127" s="4"/>
      <c r="W127" s="4"/>
      <c r="X127" s="4"/>
      <c r="Y127" s="4"/>
    </row>
    <row r="128">
      <c r="A128" s="12">
        <v>127.0</v>
      </c>
      <c r="B128" s="11" t="s">
        <v>387</v>
      </c>
      <c r="C128" s="11" t="s">
        <v>388</v>
      </c>
      <c r="D128" s="11">
        <v>2019.0</v>
      </c>
      <c r="E128" s="11" t="s">
        <v>100</v>
      </c>
      <c r="F128" s="11" t="s">
        <v>65</v>
      </c>
      <c r="G128" s="11" t="s">
        <v>49</v>
      </c>
      <c r="H128" s="4"/>
      <c r="I128" s="4"/>
      <c r="J128" s="4"/>
      <c r="K128" s="4"/>
      <c r="L128" s="4"/>
      <c r="M128" s="4"/>
      <c r="N128" s="4"/>
      <c r="O128" s="4"/>
      <c r="P128" s="4"/>
      <c r="Q128" s="4"/>
      <c r="R128" s="4"/>
      <c r="S128" s="4"/>
      <c r="T128" s="4"/>
      <c r="U128" s="4"/>
      <c r="V128" s="4"/>
      <c r="W128" s="4"/>
      <c r="X128" s="4"/>
      <c r="Y128" s="4"/>
    </row>
    <row r="129">
      <c r="A129" s="11">
        <v>128.0</v>
      </c>
      <c r="B129" s="11" t="s">
        <v>389</v>
      </c>
      <c r="C129" s="11" t="s">
        <v>390</v>
      </c>
      <c r="D129" s="11">
        <v>2018.0</v>
      </c>
      <c r="E129" s="11" t="s">
        <v>391</v>
      </c>
      <c r="F129" s="11" t="s">
        <v>65</v>
      </c>
      <c r="G129" s="11" t="s">
        <v>49</v>
      </c>
      <c r="H129" s="4"/>
      <c r="I129" s="4"/>
      <c r="J129" s="4"/>
      <c r="K129" s="4"/>
      <c r="L129" s="4"/>
      <c r="M129" s="4"/>
      <c r="N129" s="4"/>
      <c r="O129" s="4"/>
      <c r="P129" s="4"/>
      <c r="Q129" s="4"/>
      <c r="R129" s="4"/>
      <c r="S129" s="4"/>
      <c r="T129" s="4"/>
      <c r="U129" s="4"/>
      <c r="V129" s="4"/>
      <c r="W129" s="4"/>
      <c r="X129" s="4"/>
      <c r="Y129" s="4"/>
    </row>
    <row r="130">
      <c r="A130" s="11">
        <v>129.0</v>
      </c>
      <c r="B130" s="11" t="s">
        <v>392</v>
      </c>
      <c r="C130" s="11" t="s">
        <v>393</v>
      </c>
      <c r="D130" s="11">
        <v>2017.0</v>
      </c>
      <c r="E130" s="11" t="s">
        <v>394</v>
      </c>
      <c r="F130" s="11" t="s">
        <v>65</v>
      </c>
      <c r="G130" s="11" t="s">
        <v>39</v>
      </c>
      <c r="H130" s="4"/>
      <c r="I130" s="4"/>
      <c r="J130" s="4"/>
      <c r="K130" s="4"/>
      <c r="L130" s="4"/>
      <c r="M130" s="4"/>
      <c r="N130" s="4"/>
      <c r="O130" s="4"/>
      <c r="P130" s="4"/>
      <c r="Q130" s="4"/>
      <c r="R130" s="4"/>
      <c r="S130" s="4"/>
      <c r="T130" s="4"/>
      <c r="U130" s="4"/>
      <c r="V130" s="4"/>
      <c r="W130" s="4"/>
      <c r="X130" s="4"/>
      <c r="Y130" s="4"/>
    </row>
    <row r="131">
      <c r="A131" s="12">
        <v>130.0</v>
      </c>
      <c r="B131" s="11" t="s">
        <v>395</v>
      </c>
      <c r="C131" s="11" t="s">
        <v>396</v>
      </c>
      <c r="D131" s="11">
        <v>2017.0</v>
      </c>
      <c r="E131" s="11" t="s">
        <v>77</v>
      </c>
      <c r="F131" s="11" t="s">
        <v>65</v>
      </c>
      <c r="G131" s="11" t="s">
        <v>49</v>
      </c>
      <c r="H131" s="4"/>
      <c r="I131" s="4"/>
      <c r="J131" s="4"/>
      <c r="K131" s="4"/>
      <c r="L131" s="4"/>
      <c r="M131" s="4"/>
      <c r="N131" s="4"/>
      <c r="O131" s="4"/>
      <c r="P131" s="4"/>
      <c r="Q131" s="4"/>
      <c r="R131" s="4"/>
      <c r="S131" s="4"/>
      <c r="T131" s="4"/>
      <c r="U131" s="4"/>
      <c r="V131" s="4"/>
      <c r="W131" s="4"/>
      <c r="X131" s="4"/>
      <c r="Y131" s="4"/>
    </row>
    <row r="132">
      <c r="A132" s="11">
        <v>131.0</v>
      </c>
      <c r="B132" s="11" t="s">
        <v>397</v>
      </c>
      <c r="C132" s="11" t="s">
        <v>398</v>
      </c>
      <c r="D132" s="11">
        <v>2017.0</v>
      </c>
      <c r="E132" s="11" t="s">
        <v>399</v>
      </c>
      <c r="F132" s="11" t="s">
        <v>65</v>
      </c>
      <c r="G132" s="11" t="s">
        <v>39</v>
      </c>
      <c r="H132" s="4"/>
      <c r="I132" s="4"/>
      <c r="J132" s="4"/>
      <c r="K132" s="4"/>
      <c r="L132" s="4"/>
      <c r="M132" s="4"/>
      <c r="N132" s="4"/>
      <c r="O132" s="4"/>
      <c r="P132" s="4"/>
      <c r="Q132" s="4"/>
      <c r="R132" s="4"/>
      <c r="S132" s="4"/>
      <c r="T132" s="4"/>
      <c r="U132" s="4"/>
      <c r="V132" s="4"/>
      <c r="W132" s="4"/>
      <c r="X132" s="4"/>
      <c r="Y132" s="4"/>
    </row>
    <row r="133">
      <c r="A133" s="11">
        <v>132.0</v>
      </c>
      <c r="B133" s="11" t="s">
        <v>400</v>
      </c>
      <c r="C133" s="11" t="s">
        <v>401</v>
      </c>
      <c r="D133" s="11">
        <v>2017.0</v>
      </c>
      <c r="E133" s="11" t="s">
        <v>402</v>
      </c>
      <c r="F133" s="11" t="s">
        <v>65</v>
      </c>
      <c r="G133" s="11" t="s">
        <v>39</v>
      </c>
      <c r="H133" s="4"/>
      <c r="I133" s="4"/>
      <c r="J133" s="4"/>
      <c r="K133" s="4"/>
      <c r="L133" s="4"/>
      <c r="M133" s="4"/>
      <c r="N133" s="4"/>
      <c r="O133" s="4"/>
      <c r="P133" s="4"/>
      <c r="Q133" s="4"/>
      <c r="R133" s="4"/>
      <c r="S133" s="4"/>
      <c r="T133" s="4"/>
      <c r="U133" s="4"/>
      <c r="V133" s="4"/>
      <c r="W133" s="4"/>
      <c r="X133" s="4"/>
      <c r="Y133" s="4"/>
    </row>
    <row r="134">
      <c r="A134" s="12">
        <v>133.0</v>
      </c>
      <c r="B134" s="11" t="s">
        <v>403</v>
      </c>
      <c r="C134" s="11" t="s">
        <v>404</v>
      </c>
      <c r="D134" s="11">
        <v>2017.0</v>
      </c>
      <c r="E134" s="11" t="s">
        <v>405</v>
      </c>
      <c r="F134" s="11" t="s">
        <v>65</v>
      </c>
      <c r="G134" s="11" t="s">
        <v>49</v>
      </c>
      <c r="H134" s="4"/>
      <c r="I134" s="4"/>
      <c r="J134" s="4"/>
      <c r="K134" s="4"/>
      <c r="L134" s="4"/>
      <c r="M134" s="4"/>
      <c r="N134" s="4"/>
      <c r="O134" s="4"/>
      <c r="P134" s="4"/>
      <c r="Q134" s="4"/>
      <c r="R134" s="4"/>
      <c r="S134" s="4"/>
      <c r="T134" s="4"/>
      <c r="U134" s="4"/>
      <c r="V134" s="4"/>
      <c r="W134" s="4"/>
      <c r="X134" s="4"/>
      <c r="Y134" s="4"/>
    </row>
    <row r="135">
      <c r="A135" s="11">
        <v>134.0</v>
      </c>
      <c r="B135" s="11" t="s">
        <v>406</v>
      </c>
      <c r="C135" s="11" t="s">
        <v>407</v>
      </c>
      <c r="D135" s="11">
        <v>2017.0</v>
      </c>
      <c r="E135" s="11" t="s">
        <v>408</v>
      </c>
      <c r="F135" s="11" t="s">
        <v>65</v>
      </c>
      <c r="G135" s="11" t="s">
        <v>39</v>
      </c>
      <c r="H135" s="4"/>
      <c r="I135" s="4"/>
      <c r="J135" s="4"/>
      <c r="K135" s="4"/>
      <c r="L135" s="4"/>
      <c r="M135" s="4"/>
      <c r="N135" s="4"/>
      <c r="O135" s="4"/>
      <c r="P135" s="4"/>
      <c r="Q135" s="4"/>
      <c r="R135" s="4"/>
      <c r="S135" s="4"/>
      <c r="T135" s="4"/>
      <c r="U135" s="4"/>
      <c r="V135" s="4"/>
      <c r="W135" s="4"/>
      <c r="X135" s="4"/>
      <c r="Y135" s="4"/>
    </row>
    <row r="136">
      <c r="A136" s="11">
        <v>135.0</v>
      </c>
      <c r="B136" s="11" t="s">
        <v>409</v>
      </c>
      <c r="C136" s="11" t="s">
        <v>410</v>
      </c>
      <c r="D136" s="11">
        <v>2017.0</v>
      </c>
      <c r="E136" s="11" t="s">
        <v>411</v>
      </c>
      <c r="F136" s="11" t="s">
        <v>65</v>
      </c>
      <c r="G136" s="11" t="s">
        <v>39</v>
      </c>
      <c r="H136" s="4"/>
      <c r="I136" s="4"/>
      <c r="J136" s="4"/>
      <c r="K136" s="4"/>
      <c r="L136" s="4"/>
      <c r="M136" s="4"/>
      <c r="N136" s="4"/>
      <c r="O136" s="4"/>
      <c r="P136" s="4"/>
      <c r="Q136" s="4"/>
      <c r="R136" s="4"/>
      <c r="S136" s="4"/>
      <c r="T136" s="4"/>
      <c r="U136" s="4"/>
      <c r="V136" s="4"/>
      <c r="W136" s="4"/>
      <c r="X136" s="4"/>
      <c r="Y136" s="4"/>
    </row>
    <row r="137">
      <c r="A137" s="12">
        <v>136.0</v>
      </c>
      <c r="B137" s="11" t="s">
        <v>412</v>
      </c>
      <c r="C137" s="11" t="s">
        <v>413</v>
      </c>
      <c r="D137" s="11">
        <v>2017.0</v>
      </c>
      <c r="E137" s="11" t="s">
        <v>414</v>
      </c>
      <c r="F137" s="11" t="s">
        <v>65</v>
      </c>
      <c r="G137" s="11" t="s">
        <v>39</v>
      </c>
      <c r="H137" s="4"/>
      <c r="I137" s="4"/>
      <c r="J137" s="4"/>
      <c r="K137" s="4"/>
      <c r="L137" s="4"/>
      <c r="M137" s="4"/>
      <c r="N137" s="4"/>
      <c r="O137" s="4"/>
      <c r="P137" s="4"/>
      <c r="Q137" s="4"/>
      <c r="R137" s="4"/>
      <c r="S137" s="4"/>
      <c r="T137" s="4"/>
      <c r="U137" s="4"/>
      <c r="V137" s="4"/>
      <c r="W137" s="4"/>
      <c r="X137" s="4"/>
      <c r="Y137" s="4"/>
    </row>
    <row r="138">
      <c r="A138" s="11">
        <v>137.0</v>
      </c>
      <c r="B138" s="11" t="s">
        <v>415</v>
      </c>
      <c r="C138" s="11" t="s">
        <v>416</v>
      </c>
      <c r="D138" s="11">
        <v>2017.0</v>
      </c>
      <c r="E138" s="11" t="s">
        <v>316</v>
      </c>
      <c r="F138" s="11" t="s">
        <v>65</v>
      </c>
      <c r="G138" s="11" t="s">
        <v>49</v>
      </c>
      <c r="H138" s="4"/>
      <c r="I138" s="4"/>
      <c r="J138" s="4"/>
      <c r="K138" s="4"/>
      <c r="L138" s="4"/>
      <c r="M138" s="4"/>
      <c r="N138" s="4"/>
      <c r="O138" s="4"/>
      <c r="P138" s="4"/>
      <c r="Q138" s="4"/>
      <c r="R138" s="4"/>
      <c r="S138" s="4"/>
      <c r="T138" s="4"/>
      <c r="U138" s="4"/>
      <c r="V138" s="4"/>
      <c r="W138" s="4"/>
      <c r="X138" s="4"/>
      <c r="Y138" s="4"/>
    </row>
    <row r="139">
      <c r="A139" s="11">
        <v>138.0</v>
      </c>
      <c r="B139" s="11" t="s">
        <v>417</v>
      </c>
      <c r="C139" s="11" t="s">
        <v>418</v>
      </c>
      <c r="D139" s="11">
        <v>2015.0</v>
      </c>
      <c r="E139" s="11" t="s">
        <v>419</v>
      </c>
      <c r="F139" s="11" t="s">
        <v>65</v>
      </c>
      <c r="G139" s="11" t="s">
        <v>49</v>
      </c>
      <c r="H139" s="4"/>
      <c r="I139" s="4"/>
      <c r="J139" s="4"/>
      <c r="K139" s="4"/>
      <c r="L139" s="4"/>
      <c r="M139" s="4"/>
      <c r="N139" s="4"/>
      <c r="O139" s="4"/>
      <c r="P139" s="4"/>
      <c r="Q139" s="4"/>
      <c r="R139" s="4"/>
      <c r="S139" s="4"/>
      <c r="T139" s="4"/>
      <c r="U139" s="4"/>
      <c r="V139" s="4"/>
      <c r="W139" s="4"/>
      <c r="X139" s="4"/>
      <c r="Y139" s="4"/>
    </row>
    <row r="140">
      <c r="A140" s="12">
        <v>139.0</v>
      </c>
      <c r="B140" s="11" t="s">
        <v>420</v>
      </c>
      <c r="C140" s="11" t="s">
        <v>421</v>
      </c>
      <c r="D140" s="11">
        <v>2016.0</v>
      </c>
      <c r="E140" s="11" t="s">
        <v>422</v>
      </c>
      <c r="F140" s="11" t="s">
        <v>65</v>
      </c>
      <c r="G140" s="11" t="s">
        <v>49</v>
      </c>
      <c r="H140" s="4"/>
      <c r="I140" s="4"/>
      <c r="J140" s="4"/>
      <c r="K140" s="4"/>
      <c r="L140" s="4"/>
      <c r="M140" s="4"/>
      <c r="N140" s="4"/>
      <c r="O140" s="4"/>
      <c r="P140" s="4"/>
      <c r="Q140" s="4"/>
      <c r="R140" s="4"/>
      <c r="S140" s="4"/>
      <c r="T140" s="4"/>
      <c r="U140" s="4"/>
      <c r="V140" s="4"/>
      <c r="W140" s="4"/>
      <c r="X140" s="4"/>
      <c r="Y140" s="4"/>
    </row>
    <row r="141">
      <c r="A141" s="11">
        <v>140.0</v>
      </c>
      <c r="B141" s="11" t="s">
        <v>423</v>
      </c>
      <c r="C141" s="11" t="s">
        <v>424</v>
      </c>
      <c r="D141" s="11">
        <v>2016.0</v>
      </c>
      <c r="E141" s="11" t="s">
        <v>425</v>
      </c>
      <c r="F141" s="11" t="s">
        <v>65</v>
      </c>
      <c r="G141" s="11" t="s">
        <v>49</v>
      </c>
      <c r="H141" s="4"/>
      <c r="I141" s="4"/>
      <c r="J141" s="4"/>
      <c r="K141" s="4"/>
      <c r="L141" s="4"/>
      <c r="M141" s="4"/>
      <c r="N141" s="4"/>
      <c r="O141" s="4"/>
      <c r="P141" s="4"/>
      <c r="Q141" s="4"/>
      <c r="R141" s="4"/>
      <c r="S141" s="4"/>
      <c r="T141" s="4"/>
      <c r="U141" s="4"/>
      <c r="V141" s="4"/>
      <c r="W141" s="4"/>
      <c r="X141" s="4"/>
      <c r="Y141" s="4"/>
    </row>
    <row r="142">
      <c r="A142" s="11">
        <v>141.0</v>
      </c>
      <c r="B142" s="11" t="s">
        <v>426</v>
      </c>
      <c r="C142" s="11" t="s">
        <v>427</v>
      </c>
      <c r="D142" s="11">
        <v>2016.0</v>
      </c>
      <c r="E142" s="11" t="s">
        <v>100</v>
      </c>
      <c r="F142" s="11" t="s">
        <v>65</v>
      </c>
      <c r="G142" s="11" t="s">
        <v>49</v>
      </c>
      <c r="H142" s="4"/>
      <c r="I142" s="4"/>
      <c r="J142" s="4"/>
      <c r="K142" s="4"/>
      <c r="L142" s="4"/>
      <c r="M142" s="4"/>
      <c r="N142" s="4"/>
      <c r="O142" s="4"/>
      <c r="P142" s="4"/>
      <c r="Q142" s="4"/>
      <c r="R142" s="4"/>
      <c r="S142" s="4"/>
      <c r="T142" s="4"/>
      <c r="U142" s="4"/>
      <c r="V142" s="4"/>
      <c r="W142" s="4"/>
      <c r="X142" s="4"/>
      <c r="Y142" s="4"/>
    </row>
    <row r="143">
      <c r="A143" s="12">
        <v>142.0</v>
      </c>
      <c r="B143" s="11" t="s">
        <v>428</v>
      </c>
      <c r="C143" s="11" t="s">
        <v>429</v>
      </c>
      <c r="D143" s="11">
        <v>2015.0</v>
      </c>
      <c r="E143" s="11" t="s">
        <v>430</v>
      </c>
      <c r="F143" s="11" t="s">
        <v>65</v>
      </c>
      <c r="G143" s="11" t="s">
        <v>39</v>
      </c>
      <c r="H143" s="4"/>
      <c r="I143" s="4"/>
      <c r="J143" s="4"/>
      <c r="K143" s="4"/>
      <c r="L143" s="4"/>
      <c r="M143" s="4"/>
      <c r="N143" s="4"/>
      <c r="O143" s="4"/>
      <c r="P143" s="4"/>
      <c r="Q143" s="4"/>
      <c r="R143" s="4"/>
      <c r="S143" s="4"/>
      <c r="T143" s="4"/>
      <c r="U143" s="4"/>
      <c r="V143" s="4"/>
      <c r="W143" s="4"/>
      <c r="X143" s="4"/>
      <c r="Y143" s="4"/>
    </row>
    <row r="144">
      <c r="A144" s="11">
        <v>143.0</v>
      </c>
      <c r="B144" s="11" t="s">
        <v>431</v>
      </c>
      <c r="C144" s="11" t="s">
        <v>432</v>
      </c>
      <c r="D144" s="11">
        <v>2016.0</v>
      </c>
      <c r="E144" s="11" t="s">
        <v>433</v>
      </c>
      <c r="F144" s="11" t="s">
        <v>65</v>
      </c>
      <c r="G144" s="11" t="s">
        <v>39</v>
      </c>
      <c r="H144" s="4"/>
      <c r="I144" s="4"/>
      <c r="J144" s="4"/>
      <c r="K144" s="4"/>
      <c r="L144" s="4"/>
      <c r="M144" s="4"/>
      <c r="N144" s="4"/>
      <c r="O144" s="4"/>
      <c r="P144" s="4"/>
      <c r="Q144" s="4"/>
      <c r="R144" s="4"/>
      <c r="S144" s="4"/>
      <c r="T144" s="4"/>
      <c r="U144" s="4"/>
      <c r="V144" s="4"/>
      <c r="W144" s="4"/>
      <c r="X144" s="4"/>
      <c r="Y144" s="4"/>
    </row>
    <row r="145">
      <c r="A145" s="11">
        <v>144.0</v>
      </c>
      <c r="B145" s="11" t="s">
        <v>434</v>
      </c>
      <c r="C145" s="16" t="s">
        <v>435</v>
      </c>
      <c r="D145" s="11">
        <v>2025.0</v>
      </c>
      <c r="E145" s="11" t="s">
        <v>436</v>
      </c>
      <c r="F145" s="11" t="s">
        <v>437</v>
      </c>
      <c r="G145" s="11" t="s">
        <v>49</v>
      </c>
      <c r="H145" s="4"/>
      <c r="I145" s="4"/>
      <c r="J145" s="4"/>
      <c r="K145" s="4"/>
      <c r="L145" s="4"/>
      <c r="M145" s="4"/>
      <c r="N145" s="4"/>
      <c r="O145" s="4"/>
      <c r="P145" s="4"/>
      <c r="Q145" s="4"/>
      <c r="R145" s="4"/>
      <c r="S145" s="4"/>
      <c r="T145" s="4"/>
      <c r="U145" s="4"/>
      <c r="V145" s="4"/>
      <c r="W145" s="4"/>
      <c r="X145" s="4"/>
      <c r="Y145" s="4"/>
    </row>
    <row r="146">
      <c r="A146" s="12">
        <v>145.0</v>
      </c>
      <c r="B146" s="11" t="s">
        <v>438</v>
      </c>
      <c r="C146" s="16" t="s">
        <v>439</v>
      </c>
      <c r="D146" s="11">
        <v>2025.0</v>
      </c>
      <c r="E146" s="11" t="s">
        <v>440</v>
      </c>
      <c r="F146" s="11" t="s">
        <v>437</v>
      </c>
      <c r="G146" s="11" t="s">
        <v>49</v>
      </c>
      <c r="H146" s="4"/>
      <c r="I146" s="4"/>
      <c r="J146" s="4"/>
      <c r="K146" s="4"/>
      <c r="L146" s="4"/>
      <c r="M146" s="4"/>
      <c r="N146" s="4"/>
      <c r="O146" s="4"/>
      <c r="P146" s="4"/>
      <c r="Q146" s="4"/>
      <c r="R146" s="4"/>
      <c r="S146" s="4"/>
      <c r="T146" s="4"/>
      <c r="U146" s="4"/>
      <c r="V146" s="4"/>
      <c r="W146" s="4"/>
      <c r="X146" s="4"/>
      <c r="Y146" s="4"/>
    </row>
    <row r="147">
      <c r="A147" s="11">
        <v>146.0</v>
      </c>
      <c r="B147" s="11" t="s">
        <v>441</v>
      </c>
      <c r="C147" s="16" t="s">
        <v>442</v>
      </c>
      <c r="D147" s="11">
        <v>2025.0</v>
      </c>
      <c r="E147" s="11" t="s">
        <v>443</v>
      </c>
      <c r="F147" s="11" t="s">
        <v>437</v>
      </c>
      <c r="G147" s="11" t="s">
        <v>49</v>
      </c>
      <c r="H147" s="4"/>
      <c r="I147" s="4"/>
      <c r="J147" s="4"/>
      <c r="K147" s="4"/>
      <c r="L147" s="4"/>
      <c r="M147" s="4"/>
      <c r="N147" s="4"/>
      <c r="O147" s="4"/>
      <c r="P147" s="4"/>
      <c r="Q147" s="4"/>
      <c r="R147" s="4"/>
      <c r="S147" s="4"/>
      <c r="T147" s="4"/>
      <c r="U147" s="4"/>
      <c r="V147" s="4"/>
      <c r="W147" s="4"/>
      <c r="X147" s="4"/>
      <c r="Y147" s="4"/>
    </row>
    <row r="148">
      <c r="A148" s="11">
        <v>147.0</v>
      </c>
      <c r="B148" s="11" t="s">
        <v>444</v>
      </c>
      <c r="C148" s="16" t="s">
        <v>445</v>
      </c>
      <c r="D148" s="11">
        <v>2021.0</v>
      </c>
      <c r="E148" s="11" t="s">
        <v>446</v>
      </c>
      <c r="F148" s="11" t="s">
        <v>437</v>
      </c>
      <c r="G148" s="11" t="s">
        <v>49</v>
      </c>
      <c r="H148" s="4"/>
      <c r="I148" s="4"/>
      <c r="J148" s="4"/>
      <c r="K148" s="4"/>
      <c r="L148" s="4"/>
      <c r="M148" s="4"/>
      <c r="N148" s="4"/>
      <c r="O148" s="4"/>
      <c r="P148" s="4"/>
      <c r="Q148" s="4"/>
      <c r="R148" s="4"/>
      <c r="S148" s="4"/>
      <c r="T148" s="4"/>
      <c r="U148" s="4"/>
      <c r="V148" s="4"/>
      <c r="W148" s="4"/>
      <c r="X148" s="4"/>
      <c r="Y148" s="4"/>
    </row>
    <row r="149">
      <c r="A149" s="12">
        <v>148.0</v>
      </c>
      <c r="B149" s="11" t="s">
        <v>447</v>
      </c>
      <c r="C149" s="16" t="s">
        <v>448</v>
      </c>
      <c r="D149" s="11">
        <v>2020.0</v>
      </c>
      <c r="E149" s="11" t="s">
        <v>449</v>
      </c>
      <c r="F149" s="11" t="s">
        <v>437</v>
      </c>
      <c r="G149" s="11" t="s">
        <v>49</v>
      </c>
      <c r="H149" s="4"/>
      <c r="I149" s="4"/>
      <c r="J149" s="4"/>
      <c r="K149" s="4"/>
      <c r="L149" s="4"/>
      <c r="M149" s="4"/>
      <c r="N149" s="4"/>
      <c r="O149" s="4"/>
      <c r="P149" s="4"/>
      <c r="Q149" s="4"/>
      <c r="R149" s="4"/>
      <c r="S149" s="4"/>
      <c r="T149" s="4"/>
      <c r="U149" s="4"/>
      <c r="V149" s="4"/>
      <c r="W149" s="4"/>
      <c r="X149" s="4"/>
      <c r="Y149" s="4"/>
    </row>
    <row r="150">
      <c r="A150" s="11">
        <v>149.0</v>
      </c>
      <c r="B150" s="11" t="s">
        <v>450</v>
      </c>
      <c r="C150" s="16" t="s">
        <v>451</v>
      </c>
      <c r="D150" s="11">
        <v>2024.0</v>
      </c>
      <c r="E150" s="11" t="s">
        <v>452</v>
      </c>
      <c r="F150" s="11" t="s">
        <v>437</v>
      </c>
      <c r="G150" s="11" t="s">
        <v>49</v>
      </c>
      <c r="H150" s="4"/>
      <c r="I150" s="4"/>
      <c r="J150" s="4"/>
      <c r="K150" s="4"/>
      <c r="L150" s="4"/>
      <c r="M150" s="4"/>
      <c r="N150" s="4"/>
      <c r="O150" s="4"/>
      <c r="P150" s="4"/>
      <c r="Q150" s="4"/>
      <c r="R150" s="4"/>
      <c r="S150" s="4"/>
      <c r="T150" s="4"/>
      <c r="U150" s="4"/>
      <c r="V150" s="4"/>
      <c r="W150" s="4"/>
      <c r="X150" s="4"/>
      <c r="Y150" s="4"/>
    </row>
    <row r="151">
      <c r="A151" s="11">
        <v>150.0</v>
      </c>
      <c r="B151" s="11" t="s">
        <v>453</v>
      </c>
      <c r="C151" s="16" t="s">
        <v>454</v>
      </c>
      <c r="D151" s="11">
        <v>2024.0</v>
      </c>
      <c r="E151" s="11" t="s">
        <v>455</v>
      </c>
      <c r="F151" s="11" t="s">
        <v>437</v>
      </c>
      <c r="G151" s="11" t="s">
        <v>49</v>
      </c>
      <c r="H151" s="4"/>
      <c r="I151" s="4"/>
      <c r="J151" s="4"/>
      <c r="K151" s="4"/>
      <c r="L151" s="4"/>
      <c r="M151" s="4"/>
      <c r="N151" s="4"/>
      <c r="O151" s="4"/>
      <c r="P151" s="4"/>
      <c r="Q151" s="4"/>
      <c r="R151" s="4"/>
      <c r="S151" s="4"/>
      <c r="T151" s="4"/>
      <c r="U151" s="4"/>
      <c r="V151" s="4"/>
      <c r="W151" s="4"/>
      <c r="X151" s="4"/>
      <c r="Y151" s="4"/>
    </row>
    <row r="152">
      <c r="A152" s="12">
        <v>151.0</v>
      </c>
      <c r="B152" s="11" t="s">
        <v>456</v>
      </c>
      <c r="C152" s="16" t="s">
        <v>457</v>
      </c>
      <c r="D152" s="11">
        <v>2025.0</v>
      </c>
      <c r="E152" s="11" t="s">
        <v>458</v>
      </c>
      <c r="F152" s="11" t="s">
        <v>437</v>
      </c>
      <c r="G152" s="11" t="s">
        <v>49</v>
      </c>
      <c r="H152" s="4"/>
      <c r="I152" s="4"/>
      <c r="J152" s="4"/>
      <c r="K152" s="4"/>
      <c r="L152" s="4"/>
      <c r="M152" s="4"/>
      <c r="N152" s="4"/>
      <c r="O152" s="4"/>
      <c r="P152" s="4"/>
      <c r="Q152" s="4"/>
      <c r="R152" s="4"/>
      <c r="S152" s="4"/>
      <c r="T152" s="4"/>
      <c r="U152" s="4"/>
      <c r="V152" s="4"/>
      <c r="W152" s="4"/>
      <c r="X152" s="4"/>
      <c r="Y152" s="4"/>
    </row>
    <row r="153">
      <c r="A153" s="11">
        <v>152.0</v>
      </c>
      <c r="B153" s="11" t="s">
        <v>459</v>
      </c>
      <c r="C153" s="16" t="s">
        <v>460</v>
      </c>
      <c r="D153" s="11">
        <v>2025.0</v>
      </c>
      <c r="E153" s="11" t="s">
        <v>461</v>
      </c>
      <c r="F153" s="11" t="s">
        <v>437</v>
      </c>
      <c r="G153" s="11" t="s">
        <v>49</v>
      </c>
      <c r="H153" s="4"/>
      <c r="I153" s="4"/>
      <c r="J153" s="4"/>
      <c r="K153" s="4"/>
      <c r="L153" s="4"/>
      <c r="M153" s="4"/>
      <c r="N153" s="4"/>
      <c r="O153" s="4"/>
      <c r="P153" s="4"/>
      <c r="Q153" s="4"/>
      <c r="R153" s="4"/>
      <c r="S153" s="4"/>
      <c r="T153" s="4"/>
      <c r="U153" s="4"/>
      <c r="V153" s="4"/>
      <c r="W153" s="4"/>
      <c r="X153" s="4"/>
      <c r="Y153" s="4"/>
    </row>
    <row r="154">
      <c r="A154" s="11">
        <v>153.0</v>
      </c>
      <c r="B154" s="11" t="s">
        <v>462</v>
      </c>
      <c r="C154" s="16" t="s">
        <v>463</v>
      </c>
      <c r="D154" s="11">
        <v>2020.0</v>
      </c>
      <c r="E154" s="11" t="s">
        <v>464</v>
      </c>
      <c r="F154" s="11" t="s">
        <v>437</v>
      </c>
      <c r="G154" s="11" t="s">
        <v>49</v>
      </c>
      <c r="H154" s="4"/>
      <c r="I154" s="4"/>
      <c r="J154" s="4"/>
      <c r="K154" s="4"/>
      <c r="L154" s="4"/>
      <c r="M154" s="4"/>
      <c r="N154" s="4"/>
      <c r="O154" s="4"/>
      <c r="P154" s="4"/>
      <c r="Q154" s="4"/>
      <c r="R154" s="4"/>
      <c r="S154" s="4"/>
      <c r="T154" s="4"/>
      <c r="U154" s="4"/>
      <c r="V154" s="4"/>
      <c r="W154" s="4"/>
      <c r="X154" s="4"/>
      <c r="Y154" s="4"/>
    </row>
    <row r="155">
      <c r="A155" s="12">
        <v>154.0</v>
      </c>
      <c r="B155" s="11" t="s">
        <v>465</v>
      </c>
      <c r="C155" s="16" t="s">
        <v>466</v>
      </c>
      <c r="D155" s="11">
        <v>2023.0</v>
      </c>
      <c r="E155" s="11" t="s">
        <v>467</v>
      </c>
      <c r="F155" s="11" t="s">
        <v>437</v>
      </c>
      <c r="G155" s="11" t="s">
        <v>49</v>
      </c>
      <c r="H155" s="4"/>
      <c r="I155" s="4"/>
      <c r="J155" s="4"/>
      <c r="K155" s="4"/>
      <c r="L155" s="4"/>
      <c r="M155" s="4"/>
      <c r="N155" s="4"/>
      <c r="O155" s="4"/>
      <c r="P155" s="4"/>
      <c r="Q155" s="4"/>
      <c r="R155" s="4"/>
      <c r="S155" s="4"/>
      <c r="T155" s="4"/>
      <c r="U155" s="4"/>
      <c r="V155" s="4"/>
      <c r="W155" s="4"/>
      <c r="X155" s="4"/>
      <c r="Y155" s="4"/>
    </row>
    <row r="156">
      <c r="A156" s="11">
        <v>155.0</v>
      </c>
      <c r="B156" s="11" t="s">
        <v>468</v>
      </c>
      <c r="C156" s="16" t="s">
        <v>469</v>
      </c>
      <c r="D156" s="11">
        <v>2024.0</v>
      </c>
      <c r="E156" s="11" t="s">
        <v>470</v>
      </c>
      <c r="F156" s="11" t="s">
        <v>437</v>
      </c>
      <c r="G156" s="11" t="s">
        <v>49</v>
      </c>
      <c r="H156" s="4"/>
      <c r="I156" s="4"/>
      <c r="J156" s="4"/>
      <c r="K156" s="4"/>
      <c r="L156" s="4"/>
      <c r="M156" s="4"/>
      <c r="N156" s="4"/>
      <c r="O156" s="4"/>
      <c r="P156" s="4"/>
      <c r="Q156" s="4"/>
      <c r="R156" s="4"/>
      <c r="S156" s="4"/>
      <c r="T156" s="4"/>
      <c r="U156" s="4"/>
      <c r="V156" s="4"/>
      <c r="W156" s="4"/>
      <c r="X156" s="4"/>
      <c r="Y156" s="4"/>
    </row>
    <row r="157">
      <c r="A157" s="11">
        <v>156.0</v>
      </c>
      <c r="B157" s="11" t="s">
        <v>471</v>
      </c>
      <c r="C157" s="16" t="s">
        <v>472</v>
      </c>
      <c r="D157" s="11">
        <v>2025.0</v>
      </c>
      <c r="E157" s="11" t="s">
        <v>473</v>
      </c>
      <c r="F157" s="11" t="s">
        <v>437</v>
      </c>
      <c r="G157" s="11" t="s">
        <v>49</v>
      </c>
      <c r="H157" s="4"/>
      <c r="I157" s="4"/>
      <c r="J157" s="4"/>
      <c r="K157" s="4"/>
      <c r="L157" s="4"/>
      <c r="M157" s="4"/>
      <c r="N157" s="4"/>
      <c r="O157" s="4"/>
      <c r="P157" s="4"/>
      <c r="Q157" s="4"/>
      <c r="R157" s="4"/>
      <c r="S157" s="4"/>
      <c r="T157" s="4"/>
      <c r="U157" s="4"/>
      <c r="V157" s="4"/>
      <c r="W157" s="4"/>
      <c r="X157" s="4"/>
      <c r="Y157" s="4"/>
    </row>
    <row r="158">
      <c r="A158" s="12">
        <v>157.0</v>
      </c>
      <c r="B158" s="11" t="s">
        <v>474</v>
      </c>
      <c r="C158" s="16" t="s">
        <v>475</v>
      </c>
      <c r="D158" s="11">
        <v>2023.0</v>
      </c>
      <c r="E158" s="11" t="s">
        <v>476</v>
      </c>
      <c r="F158" s="11" t="s">
        <v>437</v>
      </c>
      <c r="G158" s="11" t="s">
        <v>49</v>
      </c>
      <c r="H158" s="4"/>
      <c r="I158" s="4"/>
      <c r="J158" s="4"/>
      <c r="K158" s="4"/>
      <c r="L158" s="4"/>
      <c r="M158" s="4"/>
      <c r="N158" s="4"/>
      <c r="O158" s="4"/>
      <c r="P158" s="4"/>
      <c r="Q158" s="4"/>
      <c r="R158" s="4"/>
      <c r="S158" s="4"/>
      <c r="T158" s="4"/>
      <c r="U158" s="4"/>
      <c r="V158" s="4"/>
      <c r="W158" s="4"/>
      <c r="X158" s="4"/>
      <c r="Y158" s="4"/>
    </row>
    <row r="159">
      <c r="A159" s="11">
        <v>158.0</v>
      </c>
      <c r="B159" s="11" t="s">
        <v>477</v>
      </c>
      <c r="C159" s="16" t="s">
        <v>478</v>
      </c>
      <c r="D159" s="11">
        <v>2015.0</v>
      </c>
      <c r="E159" s="11" t="s">
        <v>443</v>
      </c>
      <c r="F159" s="11" t="s">
        <v>437</v>
      </c>
      <c r="G159" s="11" t="s">
        <v>49</v>
      </c>
      <c r="H159" s="4"/>
      <c r="I159" s="4"/>
      <c r="J159" s="4"/>
      <c r="K159" s="4"/>
      <c r="L159" s="4"/>
      <c r="M159" s="4"/>
      <c r="N159" s="4"/>
      <c r="O159" s="4"/>
      <c r="P159" s="4"/>
      <c r="Q159" s="4"/>
      <c r="R159" s="4"/>
      <c r="S159" s="4"/>
      <c r="T159" s="4"/>
      <c r="U159" s="4"/>
      <c r="V159" s="4"/>
      <c r="W159" s="4"/>
      <c r="X159" s="4"/>
      <c r="Y159" s="4"/>
    </row>
    <row r="160">
      <c r="A160" s="11">
        <v>159.0</v>
      </c>
      <c r="B160" s="11" t="s">
        <v>479</v>
      </c>
      <c r="C160" s="16" t="s">
        <v>480</v>
      </c>
      <c r="D160" s="11">
        <v>2022.0</v>
      </c>
      <c r="E160" s="11" t="s">
        <v>481</v>
      </c>
      <c r="F160" s="11" t="s">
        <v>437</v>
      </c>
      <c r="G160" s="11" t="s">
        <v>49</v>
      </c>
      <c r="H160" s="4"/>
      <c r="I160" s="4"/>
      <c r="J160" s="4"/>
      <c r="K160" s="4"/>
      <c r="L160" s="4"/>
      <c r="M160" s="4"/>
      <c r="N160" s="4"/>
      <c r="O160" s="4"/>
      <c r="P160" s="4"/>
      <c r="Q160" s="4"/>
      <c r="R160" s="4"/>
      <c r="S160" s="4"/>
      <c r="T160" s="4"/>
      <c r="U160" s="4"/>
      <c r="V160" s="4"/>
      <c r="W160" s="4"/>
      <c r="X160" s="4"/>
      <c r="Y160" s="4"/>
    </row>
    <row r="161">
      <c r="A161" s="12">
        <v>160.0</v>
      </c>
      <c r="B161" s="11" t="s">
        <v>482</v>
      </c>
      <c r="C161" s="16" t="s">
        <v>483</v>
      </c>
      <c r="D161" s="11">
        <v>2025.0</v>
      </c>
      <c r="E161" s="11" t="s">
        <v>484</v>
      </c>
      <c r="F161" s="11" t="s">
        <v>437</v>
      </c>
      <c r="G161" s="11" t="s">
        <v>49</v>
      </c>
      <c r="H161" s="4"/>
      <c r="I161" s="4"/>
      <c r="J161" s="4"/>
      <c r="K161" s="4"/>
      <c r="L161" s="4"/>
      <c r="M161" s="4"/>
      <c r="N161" s="4"/>
      <c r="O161" s="4"/>
      <c r="P161" s="4"/>
      <c r="Q161" s="4"/>
      <c r="R161" s="4"/>
      <c r="S161" s="4"/>
      <c r="T161" s="4"/>
      <c r="U161" s="4"/>
      <c r="V161" s="4"/>
      <c r="W161" s="4"/>
      <c r="X161" s="4"/>
      <c r="Y161" s="4"/>
    </row>
    <row r="162">
      <c r="A162" s="11">
        <v>161.0</v>
      </c>
      <c r="B162" s="11" t="s">
        <v>485</v>
      </c>
      <c r="C162" s="16" t="s">
        <v>486</v>
      </c>
      <c r="D162" s="11">
        <v>2022.0</v>
      </c>
      <c r="E162" s="11" t="s">
        <v>449</v>
      </c>
      <c r="F162" s="11" t="s">
        <v>437</v>
      </c>
      <c r="G162" s="11" t="s">
        <v>49</v>
      </c>
      <c r="H162" s="4"/>
      <c r="I162" s="4"/>
      <c r="J162" s="4"/>
      <c r="K162" s="4"/>
      <c r="L162" s="4"/>
      <c r="M162" s="4"/>
      <c r="N162" s="4"/>
      <c r="O162" s="4"/>
      <c r="P162" s="4"/>
      <c r="Q162" s="4"/>
      <c r="R162" s="4"/>
      <c r="S162" s="4"/>
      <c r="T162" s="4"/>
      <c r="U162" s="4"/>
      <c r="V162" s="4"/>
      <c r="W162" s="4"/>
      <c r="X162" s="4"/>
      <c r="Y162" s="4"/>
    </row>
    <row r="163">
      <c r="A163" s="11">
        <v>162.0</v>
      </c>
      <c r="B163" s="11" t="s">
        <v>487</v>
      </c>
      <c r="C163" s="16" t="s">
        <v>488</v>
      </c>
      <c r="D163" s="11">
        <v>2024.0</v>
      </c>
      <c r="E163" s="11" t="s">
        <v>489</v>
      </c>
      <c r="F163" s="11" t="s">
        <v>437</v>
      </c>
      <c r="G163" s="11" t="s">
        <v>49</v>
      </c>
      <c r="H163" s="4"/>
      <c r="I163" s="4"/>
      <c r="J163" s="4"/>
      <c r="K163" s="4"/>
      <c r="L163" s="4"/>
      <c r="M163" s="4"/>
      <c r="N163" s="4"/>
      <c r="O163" s="4"/>
      <c r="P163" s="4"/>
      <c r="Q163" s="4"/>
      <c r="R163" s="4"/>
      <c r="S163" s="4"/>
      <c r="T163" s="4"/>
      <c r="U163" s="4"/>
      <c r="V163" s="4"/>
      <c r="W163" s="4"/>
      <c r="X163" s="4"/>
      <c r="Y163" s="4"/>
    </row>
    <row r="164">
      <c r="A164" s="12">
        <v>163.0</v>
      </c>
      <c r="B164" s="11" t="s">
        <v>490</v>
      </c>
      <c r="C164" s="16" t="s">
        <v>491</v>
      </c>
      <c r="D164" s="11">
        <v>2025.0</v>
      </c>
      <c r="E164" s="11" t="s">
        <v>473</v>
      </c>
      <c r="F164" s="11" t="s">
        <v>437</v>
      </c>
      <c r="G164" s="11" t="s">
        <v>49</v>
      </c>
      <c r="H164" s="4"/>
      <c r="I164" s="4"/>
      <c r="J164" s="4"/>
      <c r="K164" s="4"/>
      <c r="L164" s="4"/>
      <c r="M164" s="4"/>
      <c r="N164" s="4"/>
      <c r="O164" s="4"/>
      <c r="P164" s="4"/>
      <c r="Q164" s="4"/>
      <c r="R164" s="4"/>
      <c r="S164" s="4"/>
      <c r="T164" s="4"/>
      <c r="U164" s="4"/>
      <c r="V164" s="4"/>
      <c r="W164" s="4"/>
      <c r="X164" s="4"/>
      <c r="Y164" s="4"/>
    </row>
    <row r="165">
      <c r="A165" s="11">
        <v>164.0</v>
      </c>
      <c r="B165" s="11" t="s">
        <v>492</v>
      </c>
      <c r="C165" s="16" t="s">
        <v>493</v>
      </c>
      <c r="D165" s="11">
        <v>2023.0</v>
      </c>
      <c r="E165" s="11" t="s">
        <v>449</v>
      </c>
      <c r="F165" s="11" t="s">
        <v>437</v>
      </c>
      <c r="G165" s="11" t="s">
        <v>49</v>
      </c>
      <c r="H165" s="4"/>
      <c r="I165" s="4"/>
      <c r="J165" s="4"/>
      <c r="K165" s="4"/>
      <c r="L165" s="4"/>
      <c r="M165" s="4"/>
      <c r="N165" s="4"/>
      <c r="O165" s="4"/>
      <c r="P165" s="4"/>
      <c r="Q165" s="4"/>
      <c r="R165" s="4"/>
      <c r="S165" s="4"/>
      <c r="T165" s="4"/>
      <c r="U165" s="4"/>
      <c r="V165" s="4"/>
      <c r="W165" s="4"/>
      <c r="X165" s="4"/>
      <c r="Y165" s="4"/>
    </row>
    <row r="166">
      <c r="A166" s="11">
        <v>165.0</v>
      </c>
      <c r="B166" s="11" t="s">
        <v>494</v>
      </c>
      <c r="C166" s="16" t="s">
        <v>495</v>
      </c>
      <c r="D166" s="11">
        <v>2025.0</v>
      </c>
      <c r="E166" s="11" t="s">
        <v>443</v>
      </c>
      <c r="F166" s="11" t="s">
        <v>437</v>
      </c>
      <c r="G166" s="11" t="s">
        <v>49</v>
      </c>
      <c r="H166" s="4"/>
      <c r="I166" s="4"/>
      <c r="J166" s="4"/>
      <c r="K166" s="4"/>
      <c r="L166" s="4"/>
      <c r="M166" s="4"/>
      <c r="N166" s="4"/>
      <c r="O166" s="4"/>
      <c r="P166" s="4"/>
      <c r="Q166" s="4"/>
      <c r="R166" s="4"/>
      <c r="S166" s="4"/>
      <c r="T166" s="4"/>
      <c r="U166" s="4"/>
      <c r="V166" s="4"/>
      <c r="W166" s="4"/>
      <c r="X166" s="4"/>
      <c r="Y166" s="4"/>
    </row>
    <row r="167">
      <c r="A167" s="12">
        <v>166.0</v>
      </c>
      <c r="B167" s="11" t="s">
        <v>496</v>
      </c>
      <c r="C167" s="16" t="s">
        <v>497</v>
      </c>
      <c r="D167" s="11">
        <v>2023.0</v>
      </c>
      <c r="E167" s="11" t="s">
        <v>498</v>
      </c>
      <c r="F167" s="11" t="s">
        <v>437</v>
      </c>
      <c r="G167" s="11" t="s">
        <v>49</v>
      </c>
      <c r="H167" s="4"/>
      <c r="I167" s="4"/>
      <c r="J167" s="4"/>
      <c r="K167" s="4"/>
      <c r="L167" s="4"/>
      <c r="M167" s="4"/>
      <c r="N167" s="4"/>
      <c r="O167" s="4"/>
      <c r="P167" s="4"/>
      <c r="Q167" s="4"/>
      <c r="R167" s="4"/>
      <c r="S167" s="4"/>
      <c r="T167" s="4"/>
      <c r="U167" s="4"/>
      <c r="V167" s="4"/>
      <c r="W167" s="4"/>
      <c r="X167" s="4"/>
      <c r="Y167" s="4"/>
    </row>
    <row r="168">
      <c r="A168" s="11">
        <v>167.0</v>
      </c>
      <c r="B168" s="11" t="s">
        <v>499</v>
      </c>
      <c r="C168" s="16" t="s">
        <v>500</v>
      </c>
      <c r="D168" s="11">
        <v>2025.0</v>
      </c>
      <c r="E168" s="11" t="s">
        <v>473</v>
      </c>
      <c r="F168" s="11" t="s">
        <v>437</v>
      </c>
      <c r="G168" s="11" t="s">
        <v>49</v>
      </c>
      <c r="H168" s="4"/>
      <c r="I168" s="4"/>
      <c r="J168" s="4"/>
      <c r="K168" s="4"/>
      <c r="L168" s="4"/>
      <c r="M168" s="4"/>
      <c r="N168" s="4"/>
      <c r="O168" s="4"/>
      <c r="P168" s="4"/>
      <c r="Q168" s="4"/>
      <c r="R168" s="4"/>
      <c r="S168" s="4"/>
      <c r="T168" s="4"/>
      <c r="U168" s="4"/>
      <c r="V168" s="4"/>
      <c r="W168" s="4"/>
      <c r="X168" s="4"/>
      <c r="Y168" s="4"/>
    </row>
    <row r="169">
      <c r="A169" s="11">
        <v>168.0</v>
      </c>
      <c r="B169" s="11" t="s">
        <v>501</v>
      </c>
      <c r="C169" s="16" t="s">
        <v>502</v>
      </c>
      <c r="D169" s="11">
        <v>2025.0</v>
      </c>
      <c r="E169" s="11" t="s">
        <v>503</v>
      </c>
      <c r="F169" s="11" t="s">
        <v>437</v>
      </c>
      <c r="G169" s="11" t="s">
        <v>49</v>
      </c>
      <c r="H169" s="4"/>
      <c r="I169" s="4"/>
      <c r="J169" s="4"/>
      <c r="K169" s="4"/>
      <c r="L169" s="4"/>
      <c r="M169" s="4"/>
      <c r="N169" s="4"/>
      <c r="O169" s="4"/>
      <c r="P169" s="4"/>
      <c r="Q169" s="4"/>
      <c r="R169" s="4"/>
      <c r="S169" s="4"/>
      <c r="T169" s="4"/>
      <c r="U169" s="4"/>
      <c r="V169" s="4"/>
      <c r="W169" s="4"/>
      <c r="X169" s="4"/>
      <c r="Y169" s="4"/>
    </row>
    <row r="170">
      <c r="A170" s="12">
        <v>169.0</v>
      </c>
      <c r="B170" s="11" t="s">
        <v>504</v>
      </c>
      <c r="C170" s="16" t="s">
        <v>505</v>
      </c>
      <c r="D170" s="11">
        <v>2024.0</v>
      </c>
      <c r="E170" s="11" t="s">
        <v>449</v>
      </c>
      <c r="F170" s="11" t="s">
        <v>437</v>
      </c>
      <c r="G170" s="11" t="s">
        <v>49</v>
      </c>
      <c r="H170" s="4"/>
      <c r="I170" s="4"/>
      <c r="J170" s="4"/>
      <c r="K170" s="4"/>
      <c r="L170" s="4"/>
      <c r="M170" s="4"/>
      <c r="N170" s="4"/>
      <c r="O170" s="4"/>
      <c r="P170" s="4"/>
      <c r="Q170" s="4"/>
      <c r="R170" s="4"/>
      <c r="S170" s="4"/>
      <c r="T170" s="4"/>
      <c r="U170" s="4"/>
      <c r="V170" s="4"/>
      <c r="W170" s="4"/>
      <c r="X170" s="4"/>
      <c r="Y170" s="4"/>
    </row>
    <row r="171">
      <c r="A171" s="11">
        <v>170.0</v>
      </c>
      <c r="B171" s="11" t="s">
        <v>506</v>
      </c>
      <c r="C171" s="16" t="s">
        <v>507</v>
      </c>
      <c r="D171" s="11">
        <v>2018.0</v>
      </c>
      <c r="E171" s="11" t="s">
        <v>508</v>
      </c>
      <c r="F171" s="11" t="s">
        <v>437</v>
      </c>
      <c r="G171" s="11" t="s">
        <v>49</v>
      </c>
      <c r="H171" s="4"/>
      <c r="I171" s="4"/>
      <c r="J171" s="4"/>
      <c r="K171" s="4"/>
      <c r="L171" s="4"/>
      <c r="M171" s="4"/>
      <c r="N171" s="4"/>
      <c r="O171" s="4"/>
      <c r="P171" s="4"/>
      <c r="Q171" s="4"/>
      <c r="R171" s="4"/>
      <c r="S171" s="4"/>
      <c r="T171" s="4"/>
      <c r="U171" s="4"/>
      <c r="V171" s="4"/>
      <c r="W171" s="4"/>
      <c r="X171" s="4"/>
      <c r="Y171" s="4"/>
    </row>
    <row r="172">
      <c r="A172" s="11">
        <v>171.0</v>
      </c>
      <c r="B172" s="11" t="s">
        <v>509</v>
      </c>
      <c r="C172" s="16" t="s">
        <v>510</v>
      </c>
      <c r="D172" s="11">
        <v>2020.0</v>
      </c>
      <c r="E172" s="11" t="s">
        <v>511</v>
      </c>
      <c r="F172" s="11" t="s">
        <v>437</v>
      </c>
      <c r="G172" s="11" t="s">
        <v>49</v>
      </c>
      <c r="H172" s="4"/>
      <c r="I172" s="4"/>
      <c r="J172" s="4"/>
      <c r="K172" s="4"/>
      <c r="L172" s="4"/>
      <c r="M172" s="4"/>
      <c r="N172" s="4"/>
      <c r="O172" s="4"/>
      <c r="P172" s="4"/>
      <c r="Q172" s="4"/>
      <c r="R172" s="4"/>
      <c r="S172" s="4"/>
      <c r="T172" s="4"/>
      <c r="U172" s="4"/>
      <c r="V172" s="4"/>
      <c r="W172" s="4"/>
      <c r="X172" s="4"/>
      <c r="Y172" s="4"/>
    </row>
    <row r="173">
      <c r="A173" s="12">
        <v>172.0</v>
      </c>
      <c r="B173" s="11" t="s">
        <v>512</v>
      </c>
      <c r="C173" s="16" t="s">
        <v>513</v>
      </c>
      <c r="D173" s="11">
        <v>2019.0</v>
      </c>
      <c r="E173" s="11" t="s">
        <v>489</v>
      </c>
      <c r="F173" s="11" t="s">
        <v>437</v>
      </c>
      <c r="G173" s="11" t="s">
        <v>49</v>
      </c>
      <c r="H173" s="4"/>
      <c r="I173" s="4"/>
      <c r="J173" s="4"/>
      <c r="K173" s="4"/>
      <c r="L173" s="4"/>
      <c r="M173" s="4"/>
      <c r="N173" s="4"/>
      <c r="O173" s="4"/>
      <c r="P173" s="4"/>
      <c r="Q173" s="4"/>
      <c r="R173" s="4"/>
      <c r="S173" s="4"/>
      <c r="T173" s="4"/>
      <c r="U173" s="4"/>
      <c r="V173" s="4"/>
      <c r="W173" s="4"/>
      <c r="X173" s="4"/>
      <c r="Y173" s="4"/>
    </row>
    <row r="174">
      <c r="A174" s="11">
        <v>173.0</v>
      </c>
      <c r="B174" s="11" t="s">
        <v>514</v>
      </c>
      <c r="C174" s="16" t="s">
        <v>515</v>
      </c>
      <c r="D174" s="11">
        <v>2025.0</v>
      </c>
      <c r="E174" s="11" t="s">
        <v>440</v>
      </c>
      <c r="F174" s="11" t="s">
        <v>437</v>
      </c>
      <c r="G174" s="11" t="s">
        <v>49</v>
      </c>
      <c r="H174" s="4"/>
      <c r="I174" s="4"/>
      <c r="J174" s="4"/>
      <c r="K174" s="4"/>
      <c r="L174" s="4"/>
      <c r="M174" s="4"/>
      <c r="N174" s="4"/>
      <c r="O174" s="4"/>
      <c r="P174" s="4"/>
      <c r="Q174" s="4"/>
      <c r="R174" s="4"/>
      <c r="S174" s="4"/>
      <c r="T174" s="4"/>
      <c r="U174" s="4"/>
      <c r="V174" s="4"/>
      <c r="W174" s="4"/>
      <c r="X174" s="4"/>
      <c r="Y174" s="4"/>
    </row>
    <row r="175">
      <c r="A175" s="11">
        <v>174.0</v>
      </c>
      <c r="B175" s="11" t="s">
        <v>516</v>
      </c>
      <c r="C175" s="16" t="s">
        <v>517</v>
      </c>
      <c r="D175" s="11">
        <v>2025.0</v>
      </c>
      <c r="E175" s="11" t="s">
        <v>518</v>
      </c>
      <c r="F175" s="11" t="s">
        <v>437</v>
      </c>
      <c r="G175" s="11" t="s">
        <v>49</v>
      </c>
      <c r="H175" s="4"/>
      <c r="I175" s="4"/>
      <c r="J175" s="4"/>
      <c r="K175" s="4"/>
      <c r="L175" s="4"/>
      <c r="M175" s="4"/>
      <c r="N175" s="4"/>
      <c r="O175" s="4"/>
      <c r="P175" s="4"/>
      <c r="Q175" s="4"/>
      <c r="R175" s="4"/>
      <c r="S175" s="4"/>
      <c r="T175" s="4"/>
      <c r="U175" s="4"/>
      <c r="V175" s="4"/>
      <c r="W175" s="4"/>
      <c r="X175" s="4"/>
      <c r="Y175" s="4"/>
    </row>
    <row r="176">
      <c r="A176" s="12">
        <v>175.0</v>
      </c>
      <c r="B176" s="11" t="s">
        <v>519</v>
      </c>
      <c r="C176" s="16" t="s">
        <v>520</v>
      </c>
      <c r="D176" s="11">
        <v>2021.0</v>
      </c>
      <c r="E176" s="11" t="s">
        <v>521</v>
      </c>
      <c r="F176" s="11" t="s">
        <v>437</v>
      </c>
      <c r="G176" s="11" t="s">
        <v>49</v>
      </c>
      <c r="H176" s="4"/>
      <c r="I176" s="4"/>
      <c r="J176" s="4"/>
      <c r="K176" s="4"/>
      <c r="L176" s="4"/>
      <c r="M176" s="4"/>
      <c r="N176" s="4"/>
      <c r="O176" s="4"/>
      <c r="P176" s="4"/>
      <c r="Q176" s="4"/>
      <c r="R176" s="4"/>
      <c r="S176" s="4"/>
      <c r="T176" s="4"/>
      <c r="U176" s="4"/>
      <c r="V176" s="4"/>
      <c r="W176" s="4"/>
      <c r="X176" s="4"/>
      <c r="Y176" s="4"/>
    </row>
    <row r="177">
      <c r="A177" s="11">
        <v>176.0</v>
      </c>
      <c r="B177" s="11" t="s">
        <v>522</v>
      </c>
      <c r="C177" s="16" t="s">
        <v>523</v>
      </c>
      <c r="D177" s="11">
        <v>2025.0</v>
      </c>
      <c r="E177" s="11" t="s">
        <v>524</v>
      </c>
      <c r="F177" s="11" t="s">
        <v>437</v>
      </c>
      <c r="G177" s="11" t="s">
        <v>49</v>
      </c>
      <c r="H177" s="4"/>
      <c r="I177" s="4"/>
      <c r="J177" s="4"/>
      <c r="K177" s="4"/>
      <c r="L177" s="4"/>
      <c r="M177" s="4"/>
      <c r="N177" s="4"/>
      <c r="O177" s="4"/>
      <c r="P177" s="4"/>
      <c r="Q177" s="4"/>
      <c r="R177" s="4"/>
      <c r="S177" s="4"/>
      <c r="T177" s="4"/>
      <c r="U177" s="4"/>
      <c r="V177" s="4"/>
      <c r="W177" s="4"/>
      <c r="X177" s="4"/>
      <c r="Y177" s="4"/>
    </row>
    <row r="178">
      <c r="A178" s="11">
        <v>177.0</v>
      </c>
      <c r="B178" s="11" t="s">
        <v>525</v>
      </c>
      <c r="C178" s="16" t="s">
        <v>526</v>
      </c>
      <c r="D178" s="11">
        <v>2024.0</v>
      </c>
      <c r="E178" s="11" t="s">
        <v>527</v>
      </c>
      <c r="F178" s="11" t="s">
        <v>437</v>
      </c>
      <c r="G178" s="11" t="s">
        <v>49</v>
      </c>
      <c r="H178" s="4"/>
      <c r="I178" s="4"/>
      <c r="J178" s="4"/>
      <c r="K178" s="4"/>
      <c r="L178" s="4"/>
      <c r="M178" s="4"/>
      <c r="N178" s="4"/>
      <c r="O178" s="4"/>
      <c r="P178" s="4"/>
      <c r="Q178" s="4"/>
      <c r="R178" s="4"/>
      <c r="S178" s="4"/>
      <c r="T178" s="4"/>
      <c r="U178" s="4"/>
      <c r="V178" s="4"/>
      <c r="W178" s="4"/>
      <c r="X178" s="4"/>
      <c r="Y178" s="4"/>
    </row>
    <row r="179">
      <c r="A179" s="12">
        <v>178.0</v>
      </c>
      <c r="B179" s="11" t="s">
        <v>528</v>
      </c>
      <c r="C179" s="16" t="s">
        <v>529</v>
      </c>
      <c r="D179" s="11">
        <v>2025.0</v>
      </c>
      <c r="E179" s="11" t="s">
        <v>530</v>
      </c>
      <c r="F179" s="11" t="s">
        <v>437</v>
      </c>
      <c r="G179" s="11" t="s">
        <v>49</v>
      </c>
      <c r="H179" s="4"/>
      <c r="I179" s="4"/>
      <c r="J179" s="4"/>
      <c r="K179" s="4"/>
      <c r="L179" s="4"/>
      <c r="M179" s="4"/>
      <c r="N179" s="4"/>
      <c r="O179" s="4"/>
      <c r="P179" s="4"/>
      <c r="Q179" s="4"/>
      <c r="R179" s="4"/>
      <c r="S179" s="4"/>
      <c r="T179" s="4"/>
      <c r="U179" s="4"/>
      <c r="V179" s="4"/>
      <c r="W179" s="4"/>
      <c r="X179" s="4"/>
      <c r="Y179" s="4"/>
    </row>
    <row r="180">
      <c r="A180" s="11">
        <v>179.0</v>
      </c>
      <c r="B180" s="11" t="s">
        <v>531</v>
      </c>
      <c r="C180" s="16" t="s">
        <v>532</v>
      </c>
      <c r="D180" s="11">
        <v>2025.0</v>
      </c>
      <c r="E180" s="11" t="s">
        <v>533</v>
      </c>
      <c r="F180" s="11" t="s">
        <v>437</v>
      </c>
      <c r="G180" s="11" t="s">
        <v>49</v>
      </c>
      <c r="H180" s="4"/>
      <c r="I180" s="4"/>
      <c r="J180" s="4"/>
      <c r="K180" s="4"/>
      <c r="L180" s="4"/>
      <c r="M180" s="4"/>
      <c r="N180" s="4"/>
      <c r="O180" s="4"/>
      <c r="P180" s="4"/>
      <c r="Q180" s="4"/>
      <c r="R180" s="4"/>
      <c r="S180" s="4"/>
      <c r="T180" s="4"/>
      <c r="U180" s="4"/>
      <c r="V180" s="4"/>
      <c r="W180" s="4"/>
      <c r="X180" s="4"/>
      <c r="Y180" s="4"/>
    </row>
    <row r="181">
      <c r="A181" s="11">
        <v>180.0</v>
      </c>
      <c r="B181" s="11" t="s">
        <v>534</v>
      </c>
      <c r="C181" s="16" t="s">
        <v>535</v>
      </c>
      <c r="D181" s="11">
        <v>2024.0</v>
      </c>
      <c r="E181" s="11" t="s">
        <v>536</v>
      </c>
      <c r="F181" s="11" t="s">
        <v>437</v>
      </c>
      <c r="G181" s="11" t="s">
        <v>49</v>
      </c>
      <c r="H181" s="4"/>
      <c r="I181" s="4"/>
      <c r="J181" s="4"/>
      <c r="K181" s="4"/>
      <c r="L181" s="4"/>
      <c r="M181" s="4"/>
      <c r="N181" s="4"/>
      <c r="O181" s="4"/>
      <c r="P181" s="4"/>
      <c r="Q181" s="4"/>
      <c r="R181" s="4"/>
      <c r="S181" s="4"/>
      <c r="T181" s="4"/>
      <c r="U181" s="4"/>
      <c r="V181" s="4"/>
      <c r="W181" s="4"/>
      <c r="X181" s="4"/>
      <c r="Y181" s="4"/>
    </row>
    <row r="182">
      <c r="A182" s="12">
        <v>181.0</v>
      </c>
      <c r="B182" s="11" t="s">
        <v>537</v>
      </c>
      <c r="C182" s="16" t="s">
        <v>538</v>
      </c>
      <c r="D182" s="11">
        <v>2024.0</v>
      </c>
      <c r="E182" s="11" t="s">
        <v>539</v>
      </c>
      <c r="F182" s="11" t="s">
        <v>437</v>
      </c>
      <c r="G182" s="11" t="s">
        <v>49</v>
      </c>
      <c r="H182" s="4"/>
      <c r="I182" s="4"/>
      <c r="J182" s="4"/>
      <c r="K182" s="4"/>
      <c r="L182" s="4"/>
      <c r="M182" s="4"/>
      <c r="N182" s="4"/>
      <c r="O182" s="4"/>
      <c r="P182" s="4"/>
      <c r="Q182" s="4"/>
      <c r="R182" s="4"/>
      <c r="S182" s="4"/>
      <c r="T182" s="4"/>
      <c r="U182" s="4"/>
      <c r="V182" s="4"/>
      <c r="W182" s="4"/>
      <c r="X182" s="4"/>
      <c r="Y182" s="4"/>
    </row>
    <row r="183">
      <c r="A183" s="11">
        <v>182.0</v>
      </c>
      <c r="B183" s="11" t="s">
        <v>540</v>
      </c>
      <c r="C183" s="16" t="s">
        <v>541</v>
      </c>
      <c r="D183" s="11">
        <v>2024.0</v>
      </c>
      <c r="E183" s="11" t="s">
        <v>542</v>
      </c>
      <c r="F183" s="11" t="s">
        <v>437</v>
      </c>
      <c r="G183" s="11" t="s">
        <v>49</v>
      </c>
      <c r="H183" s="4"/>
      <c r="I183" s="4"/>
      <c r="J183" s="4"/>
      <c r="K183" s="4"/>
      <c r="L183" s="4"/>
      <c r="M183" s="4"/>
      <c r="N183" s="4"/>
      <c r="O183" s="4"/>
      <c r="P183" s="4"/>
      <c r="Q183" s="4"/>
      <c r="R183" s="4"/>
      <c r="S183" s="4"/>
      <c r="T183" s="4"/>
      <c r="U183" s="4"/>
      <c r="V183" s="4"/>
      <c r="W183" s="4"/>
      <c r="X183" s="4"/>
      <c r="Y183" s="4"/>
    </row>
    <row r="184">
      <c r="A184" s="11">
        <v>183.0</v>
      </c>
      <c r="B184" s="11" t="s">
        <v>543</v>
      </c>
      <c r="C184" s="16" t="s">
        <v>544</v>
      </c>
      <c r="D184" s="11">
        <v>2017.0</v>
      </c>
      <c r="E184" s="11" t="s">
        <v>545</v>
      </c>
      <c r="F184" s="11" t="s">
        <v>437</v>
      </c>
      <c r="G184" s="11" t="s">
        <v>49</v>
      </c>
      <c r="H184" s="4"/>
      <c r="I184" s="4"/>
      <c r="J184" s="4"/>
      <c r="K184" s="4"/>
      <c r="L184" s="4"/>
      <c r="M184" s="4"/>
      <c r="N184" s="4"/>
      <c r="O184" s="4"/>
      <c r="P184" s="4"/>
      <c r="Q184" s="4"/>
      <c r="R184" s="4"/>
      <c r="S184" s="4"/>
      <c r="T184" s="4"/>
      <c r="U184" s="4"/>
      <c r="V184" s="4"/>
      <c r="W184" s="4"/>
      <c r="X184" s="4"/>
      <c r="Y184" s="4"/>
    </row>
    <row r="185">
      <c r="A185" s="12">
        <v>184.0</v>
      </c>
      <c r="B185" s="11" t="s">
        <v>546</v>
      </c>
      <c r="C185" s="16" t="s">
        <v>547</v>
      </c>
      <c r="D185" s="11">
        <v>2025.0</v>
      </c>
      <c r="E185" s="11" t="s">
        <v>548</v>
      </c>
      <c r="F185" s="11" t="s">
        <v>437</v>
      </c>
      <c r="G185" s="11" t="s">
        <v>49</v>
      </c>
      <c r="H185" s="4"/>
      <c r="I185" s="4"/>
      <c r="J185" s="4"/>
      <c r="K185" s="4"/>
      <c r="L185" s="4"/>
      <c r="M185" s="4"/>
      <c r="N185" s="4"/>
      <c r="O185" s="4"/>
      <c r="P185" s="4"/>
      <c r="Q185" s="4"/>
      <c r="R185" s="4"/>
      <c r="S185" s="4"/>
      <c r="T185" s="4"/>
      <c r="U185" s="4"/>
      <c r="V185" s="4"/>
      <c r="W185" s="4"/>
      <c r="X185" s="4"/>
      <c r="Y185" s="4"/>
    </row>
    <row r="186">
      <c r="A186" s="11">
        <v>185.0</v>
      </c>
      <c r="B186" s="11" t="s">
        <v>549</v>
      </c>
      <c r="C186" s="16" t="s">
        <v>550</v>
      </c>
      <c r="D186" s="11">
        <v>2025.0</v>
      </c>
      <c r="E186" s="11" t="s">
        <v>551</v>
      </c>
      <c r="F186" s="11" t="s">
        <v>437</v>
      </c>
      <c r="G186" s="11" t="s">
        <v>49</v>
      </c>
      <c r="H186" s="4"/>
      <c r="I186" s="4"/>
      <c r="J186" s="4"/>
      <c r="K186" s="4"/>
      <c r="L186" s="4"/>
      <c r="M186" s="4"/>
      <c r="N186" s="4"/>
      <c r="O186" s="4"/>
      <c r="P186" s="4"/>
      <c r="Q186" s="4"/>
      <c r="R186" s="4"/>
      <c r="S186" s="4"/>
      <c r="T186" s="4"/>
      <c r="U186" s="4"/>
      <c r="V186" s="4"/>
      <c r="W186" s="4"/>
      <c r="X186" s="4"/>
      <c r="Y186" s="4"/>
    </row>
    <row r="187">
      <c r="A187" s="11">
        <v>186.0</v>
      </c>
      <c r="B187" s="11" t="s">
        <v>552</v>
      </c>
      <c r="C187" s="16" t="s">
        <v>553</v>
      </c>
      <c r="D187" s="11">
        <v>2025.0</v>
      </c>
      <c r="E187" s="11" t="s">
        <v>554</v>
      </c>
      <c r="F187" s="11" t="s">
        <v>437</v>
      </c>
      <c r="G187" s="11" t="s">
        <v>49</v>
      </c>
      <c r="H187" s="4"/>
      <c r="I187" s="4"/>
      <c r="J187" s="4"/>
      <c r="K187" s="4"/>
      <c r="L187" s="4"/>
      <c r="M187" s="4"/>
      <c r="N187" s="4"/>
      <c r="O187" s="4"/>
      <c r="P187" s="4"/>
      <c r="Q187" s="4"/>
      <c r="R187" s="4"/>
      <c r="S187" s="4"/>
      <c r="T187" s="4"/>
      <c r="U187" s="4"/>
      <c r="V187" s="4"/>
      <c r="W187" s="4"/>
      <c r="X187" s="4"/>
      <c r="Y187" s="4"/>
    </row>
    <row r="188">
      <c r="A188" s="12">
        <v>187.0</v>
      </c>
      <c r="B188" s="11" t="s">
        <v>555</v>
      </c>
      <c r="C188" s="16" t="s">
        <v>556</v>
      </c>
      <c r="D188" s="11">
        <v>2025.0</v>
      </c>
      <c r="E188" s="11" t="s">
        <v>557</v>
      </c>
      <c r="F188" s="11" t="s">
        <v>437</v>
      </c>
      <c r="G188" s="11" t="s">
        <v>49</v>
      </c>
      <c r="H188" s="4"/>
      <c r="I188" s="4"/>
      <c r="J188" s="4"/>
      <c r="K188" s="4"/>
      <c r="L188" s="4"/>
      <c r="M188" s="4"/>
      <c r="N188" s="4"/>
      <c r="O188" s="4"/>
      <c r="P188" s="4"/>
      <c r="Q188" s="4"/>
      <c r="R188" s="4"/>
      <c r="S188" s="4"/>
      <c r="T188" s="4"/>
      <c r="U188" s="4"/>
      <c r="V188" s="4"/>
      <c r="W188" s="4"/>
      <c r="X188" s="4"/>
      <c r="Y188" s="4"/>
    </row>
    <row r="189">
      <c r="A189" s="11">
        <v>188.0</v>
      </c>
      <c r="B189" s="11" t="s">
        <v>558</v>
      </c>
      <c r="C189" s="16" t="s">
        <v>559</v>
      </c>
      <c r="D189" s="11">
        <v>2021.0</v>
      </c>
      <c r="E189" s="11" t="s">
        <v>467</v>
      </c>
      <c r="F189" s="11" t="s">
        <v>437</v>
      </c>
      <c r="G189" s="11" t="s">
        <v>49</v>
      </c>
      <c r="H189" s="4"/>
      <c r="I189" s="4"/>
      <c r="J189" s="4"/>
      <c r="K189" s="4"/>
      <c r="L189" s="4"/>
      <c r="M189" s="4"/>
      <c r="N189" s="4"/>
      <c r="O189" s="4"/>
      <c r="P189" s="4"/>
      <c r="Q189" s="4"/>
      <c r="R189" s="4"/>
      <c r="S189" s="4"/>
      <c r="T189" s="4"/>
      <c r="U189" s="4"/>
      <c r="V189" s="4"/>
      <c r="W189" s="4"/>
      <c r="X189" s="4"/>
      <c r="Y189" s="4"/>
    </row>
    <row r="190">
      <c r="A190" s="11">
        <v>189.0</v>
      </c>
      <c r="B190" s="11" t="s">
        <v>560</v>
      </c>
      <c r="C190" s="16" t="s">
        <v>561</v>
      </c>
      <c r="D190" s="11">
        <v>2025.0</v>
      </c>
      <c r="E190" s="11" t="s">
        <v>562</v>
      </c>
      <c r="F190" s="11" t="s">
        <v>437</v>
      </c>
      <c r="G190" s="11" t="s">
        <v>49</v>
      </c>
      <c r="H190" s="4"/>
      <c r="I190" s="4"/>
      <c r="J190" s="4"/>
      <c r="K190" s="4"/>
      <c r="L190" s="4"/>
      <c r="M190" s="4"/>
      <c r="N190" s="4"/>
      <c r="O190" s="4"/>
      <c r="P190" s="4"/>
      <c r="Q190" s="4"/>
      <c r="R190" s="4"/>
      <c r="S190" s="4"/>
      <c r="T190" s="4"/>
      <c r="U190" s="4"/>
      <c r="V190" s="4"/>
      <c r="W190" s="4"/>
      <c r="X190" s="4"/>
      <c r="Y190" s="4"/>
    </row>
    <row r="191">
      <c r="A191" s="12">
        <v>190.0</v>
      </c>
      <c r="B191" s="11" t="s">
        <v>563</v>
      </c>
      <c r="C191" s="6" t="s">
        <v>564</v>
      </c>
      <c r="D191" s="11">
        <v>2024.0</v>
      </c>
      <c r="E191" s="11" t="s">
        <v>565</v>
      </c>
      <c r="F191" s="11" t="s">
        <v>14</v>
      </c>
      <c r="G191" s="11" t="s">
        <v>49</v>
      </c>
      <c r="H191" s="4"/>
      <c r="I191" s="4"/>
      <c r="J191" s="4"/>
      <c r="K191" s="4"/>
      <c r="L191" s="4"/>
      <c r="M191" s="4"/>
      <c r="N191" s="4"/>
      <c r="O191" s="4"/>
      <c r="P191" s="4"/>
      <c r="Q191" s="4"/>
      <c r="R191" s="4"/>
      <c r="S191" s="4"/>
      <c r="T191" s="4"/>
      <c r="U191" s="4"/>
      <c r="V191" s="4"/>
      <c r="W191" s="4"/>
      <c r="X191" s="4"/>
      <c r="Y191" s="4"/>
    </row>
    <row r="192">
      <c r="A192" s="11">
        <v>191.0</v>
      </c>
      <c r="B192" s="11" t="s">
        <v>566</v>
      </c>
      <c r="C192" s="6" t="s">
        <v>567</v>
      </c>
      <c r="D192" s="11">
        <v>2020.0</v>
      </c>
      <c r="E192" s="11" t="s">
        <v>568</v>
      </c>
      <c r="F192" s="11" t="s">
        <v>14</v>
      </c>
      <c r="G192" s="11" t="s">
        <v>39</v>
      </c>
      <c r="H192" s="4"/>
      <c r="I192" s="4"/>
      <c r="J192" s="4"/>
      <c r="K192" s="4"/>
      <c r="L192" s="4"/>
      <c r="M192" s="4"/>
      <c r="N192" s="4"/>
      <c r="O192" s="4"/>
      <c r="P192" s="4"/>
      <c r="Q192" s="4"/>
      <c r="R192" s="4"/>
      <c r="S192" s="4"/>
      <c r="T192" s="4"/>
      <c r="U192" s="4"/>
      <c r="V192" s="4"/>
      <c r="W192" s="4"/>
      <c r="X192" s="4"/>
      <c r="Y192" s="4"/>
    </row>
    <row r="193">
      <c r="A193" s="11">
        <v>192.0</v>
      </c>
      <c r="B193" s="11" t="s">
        <v>569</v>
      </c>
      <c r="C193" s="6" t="s">
        <v>570</v>
      </c>
      <c r="D193" s="11">
        <v>2022.0</v>
      </c>
      <c r="E193" s="11" t="s">
        <v>571</v>
      </c>
      <c r="F193" s="11" t="s">
        <v>14</v>
      </c>
      <c r="G193" s="11" t="s">
        <v>39</v>
      </c>
      <c r="H193" s="4"/>
      <c r="I193" s="4"/>
      <c r="J193" s="4"/>
      <c r="K193" s="4"/>
      <c r="L193" s="4"/>
      <c r="M193" s="4"/>
      <c r="N193" s="4"/>
      <c r="O193" s="4"/>
      <c r="P193" s="4"/>
      <c r="Q193" s="4"/>
      <c r="R193" s="4"/>
      <c r="S193" s="4"/>
      <c r="T193" s="4"/>
      <c r="U193" s="4"/>
      <c r="V193" s="4"/>
      <c r="W193" s="4"/>
      <c r="X193" s="4"/>
      <c r="Y193" s="4"/>
    </row>
    <row r="194">
      <c r="A194" s="12">
        <v>193.0</v>
      </c>
      <c r="B194" s="11" t="s">
        <v>572</v>
      </c>
      <c r="C194" s="6" t="s">
        <v>573</v>
      </c>
      <c r="D194" s="11">
        <v>2019.0</v>
      </c>
      <c r="E194" s="11" t="s">
        <v>574</v>
      </c>
      <c r="F194" s="11" t="s">
        <v>14</v>
      </c>
      <c r="G194" s="11" t="s">
        <v>49</v>
      </c>
      <c r="H194" s="4"/>
      <c r="I194" s="4"/>
      <c r="J194" s="4"/>
      <c r="K194" s="4"/>
      <c r="L194" s="4"/>
      <c r="M194" s="4"/>
      <c r="N194" s="4"/>
      <c r="O194" s="4"/>
      <c r="P194" s="4"/>
      <c r="Q194" s="4"/>
      <c r="R194" s="4"/>
      <c r="S194" s="4"/>
      <c r="T194" s="4"/>
      <c r="U194" s="4"/>
      <c r="V194" s="4"/>
      <c r="W194" s="4"/>
      <c r="X194" s="4"/>
      <c r="Y194" s="4"/>
    </row>
    <row r="195">
      <c r="A195" s="11">
        <v>194.0</v>
      </c>
      <c r="B195" s="11" t="s">
        <v>575</v>
      </c>
      <c r="C195" s="6" t="s">
        <v>576</v>
      </c>
      <c r="D195" s="11">
        <v>2018.0</v>
      </c>
      <c r="E195" s="11" t="s">
        <v>577</v>
      </c>
      <c r="F195" s="11" t="s">
        <v>14</v>
      </c>
      <c r="G195" s="11" t="s">
        <v>39</v>
      </c>
      <c r="H195" s="4"/>
      <c r="I195" s="4"/>
      <c r="J195" s="4"/>
      <c r="K195" s="4"/>
      <c r="L195" s="4"/>
      <c r="M195" s="4"/>
      <c r="N195" s="4"/>
      <c r="O195" s="4"/>
      <c r="P195" s="4"/>
      <c r="Q195" s="4"/>
      <c r="R195" s="4"/>
      <c r="S195" s="4"/>
      <c r="T195" s="4"/>
      <c r="U195" s="4"/>
      <c r="V195" s="4"/>
      <c r="W195" s="4"/>
      <c r="X195" s="4"/>
      <c r="Y195" s="4"/>
    </row>
    <row r="196">
      <c r="A196" s="11">
        <v>195.0</v>
      </c>
      <c r="B196" s="11" t="s">
        <v>578</v>
      </c>
      <c r="C196" s="6" t="s">
        <v>579</v>
      </c>
      <c r="D196" s="11">
        <v>2018.0</v>
      </c>
      <c r="E196" s="11" t="s">
        <v>580</v>
      </c>
      <c r="F196" s="11" t="s">
        <v>14</v>
      </c>
      <c r="G196" s="11" t="s">
        <v>49</v>
      </c>
      <c r="H196" s="4"/>
      <c r="I196" s="4"/>
      <c r="J196" s="4"/>
      <c r="K196" s="4"/>
      <c r="L196" s="4"/>
      <c r="M196" s="4"/>
      <c r="N196" s="4"/>
      <c r="O196" s="4"/>
      <c r="P196" s="4"/>
      <c r="Q196" s="4"/>
      <c r="R196" s="4"/>
      <c r="S196" s="4"/>
      <c r="T196" s="4"/>
      <c r="U196" s="4"/>
      <c r="V196" s="4"/>
      <c r="W196" s="4"/>
      <c r="X196" s="4"/>
      <c r="Y196" s="4"/>
    </row>
    <row r="197">
      <c r="A197" s="12">
        <v>196.0</v>
      </c>
      <c r="B197" s="11" t="s">
        <v>581</v>
      </c>
      <c r="C197" s="6" t="s">
        <v>582</v>
      </c>
      <c r="D197" s="11">
        <v>2018.0</v>
      </c>
      <c r="E197" s="11" t="s">
        <v>583</v>
      </c>
      <c r="F197" s="11" t="s">
        <v>14</v>
      </c>
      <c r="G197" s="11" t="s">
        <v>39</v>
      </c>
      <c r="H197" s="4"/>
      <c r="I197" s="4"/>
      <c r="J197" s="4"/>
      <c r="K197" s="4"/>
      <c r="L197" s="4"/>
      <c r="M197" s="4"/>
      <c r="N197" s="4"/>
      <c r="O197" s="4"/>
      <c r="P197" s="4"/>
      <c r="Q197" s="4"/>
      <c r="R197" s="4"/>
      <c r="S197" s="4"/>
      <c r="T197" s="4"/>
      <c r="U197" s="4"/>
      <c r="V197" s="4"/>
      <c r="W197" s="4"/>
      <c r="X197" s="4"/>
      <c r="Y197" s="4"/>
    </row>
    <row r="198">
      <c r="A198" s="11">
        <v>197.0</v>
      </c>
      <c r="B198" s="11" t="s">
        <v>584</v>
      </c>
      <c r="C198" s="6" t="s">
        <v>585</v>
      </c>
      <c r="D198" s="11">
        <v>2017.0</v>
      </c>
      <c r="E198" s="11" t="s">
        <v>586</v>
      </c>
      <c r="F198" s="11" t="s">
        <v>14</v>
      </c>
      <c r="G198" s="11" t="s">
        <v>39</v>
      </c>
      <c r="H198" s="4"/>
      <c r="I198" s="4"/>
      <c r="J198" s="4"/>
      <c r="K198" s="4"/>
      <c r="L198" s="4"/>
      <c r="M198" s="4"/>
      <c r="N198" s="4"/>
      <c r="O198" s="4"/>
      <c r="P198" s="4"/>
      <c r="Q198" s="4"/>
      <c r="R198" s="4"/>
      <c r="S198" s="4"/>
      <c r="T198" s="4"/>
      <c r="U198" s="4"/>
      <c r="V198" s="4"/>
      <c r="W198" s="4"/>
      <c r="X198" s="4"/>
      <c r="Y198" s="4"/>
    </row>
    <row r="199">
      <c r="A199" s="11">
        <v>198.0</v>
      </c>
      <c r="B199" s="11" t="s">
        <v>587</v>
      </c>
      <c r="C199" s="6" t="s">
        <v>588</v>
      </c>
      <c r="D199" s="11">
        <v>2021.0</v>
      </c>
      <c r="E199" s="11" t="s">
        <v>574</v>
      </c>
      <c r="F199" s="11" t="s">
        <v>14</v>
      </c>
      <c r="G199" s="11" t="s">
        <v>49</v>
      </c>
      <c r="H199" s="4"/>
      <c r="I199" s="4"/>
      <c r="J199" s="4"/>
      <c r="K199" s="4"/>
      <c r="L199" s="4"/>
      <c r="M199" s="4"/>
      <c r="N199" s="4"/>
      <c r="O199" s="4"/>
      <c r="P199" s="4"/>
      <c r="Q199" s="4"/>
      <c r="R199" s="4"/>
      <c r="S199" s="4"/>
      <c r="T199" s="4"/>
      <c r="U199" s="4"/>
      <c r="V199" s="4"/>
      <c r="W199" s="4"/>
      <c r="X199" s="4"/>
      <c r="Y199" s="4"/>
    </row>
    <row r="200">
      <c r="A200" s="12">
        <v>199.0</v>
      </c>
      <c r="B200" s="11" t="s">
        <v>589</v>
      </c>
      <c r="C200" s="6" t="s">
        <v>590</v>
      </c>
      <c r="D200" s="11">
        <v>2024.0</v>
      </c>
      <c r="E200" s="11" t="s">
        <v>591</v>
      </c>
      <c r="F200" s="11" t="s">
        <v>14</v>
      </c>
      <c r="G200" s="11" t="s">
        <v>39</v>
      </c>
      <c r="H200" s="4"/>
      <c r="I200" s="4"/>
      <c r="J200" s="4"/>
      <c r="K200" s="4"/>
      <c r="L200" s="4"/>
      <c r="M200" s="4"/>
      <c r="N200" s="4"/>
      <c r="O200" s="4"/>
      <c r="P200" s="4"/>
      <c r="Q200" s="4"/>
      <c r="R200" s="4"/>
      <c r="S200" s="4"/>
      <c r="T200" s="4"/>
      <c r="U200" s="4"/>
      <c r="V200" s="4"/>
      <c r="W200" s="4"/>
      <c r="X200" s="4"/>
      <c r="Y200" s="4"/>
    </row>
    <row r="201">
      <c r="A201" s="11">
        <v>200.0</v>
      </c>
      <c r="B201" s="11" t="s">
        <v>592</v>
      </c>
      <c r="C201" s="6" t="s">
        <v>593</v>
      </c>
      <c r="D201" s="11">
        <v>2025.0</v>
      </c>
      <c r="E201" s="11" t="s">
        <v>580</v>
      </c>
      <c r="F201" s="11" t="s">
        <v>14</v>
      </c>
      <c r="G201" s="11" t="s">
        <v>49</v>
      </c>
      <c r="H201" s="4"/>
      <c r="I201" s="4"/>
      <c r="J201" s="4"/>
      <c r="K201" s="4"/>
      <c r="L201" s="4"/>
      <c r="M201" s="4"/>
      <c r="N201" s="4"/>
      <c r="O201" s="4"/>
      <c r="P201" s="4"/>
      <c r="Q201" s="4"/>
      <c r="R201" s="4"/>
      <c r="S201" s="4"/>
      <c r="T201" s="4"/>
      <c r="U201" s="4"/>
      <c r="V201" s="4"/>
      <c r="W201" s="4"/>
      <c r="X201" s="4"/>
      <c r="Y201" s="4"/>
    </row>
    <row r="202">
      <c r="A202" s="11">
        <v>201.0</v>
      </c>
      <c r="B202" s="11" t="s">
        <v>594</v>
      </c>
      <c r="C202" s="6" t="s">
        <v>595</v>
      </c>
      <c r="D202" s="11">
        <v>2025.0</v>
      </c>
      <c r="E202" s="11" t="s">
        <v>596</v>
      </c>
      <c r="F202" s="11" t="s">
        <v>14</v>
      </c>
      <c r="G202" s="11" t="s">
        <v>49</v>
      </c>
      <c r="H202" s="4"/>
      <c r="I202" s="4"/>
      <c r="J202" s="4"/>
      <c r="K202" s="4"/>
      <c r="L202" s="4"/>
      <c r="M202" s="4"/>
      <c r="N202" s="4"/>
      <c r="O202" s="4"/>
      <c r="P202" s="4"/>
      <c r="Q202" s="4"/>
      <c r="R202" s="4"/>
      <c r="S202" s="4"/>
      <c r="T202" s="4"/>
      <c r="U202" s="4"/>
      <c r="V202" s="4"/>
      <c r="W202" s="4"/>
      <c r="X202" s="4"/>
      <c r="Y202" s="4"/>
    </row>
    <row r="203">
      <c r="A203" s="12">
        <v>202.0</v>
      </c>
      <c r="B203" s="11" t="s">
        <v>597</v>
      </c>
      <c r="C203" s="6" t="s">
        <v>598</v>
      </c>
      <c r="D203" s="11">
        <v>2024.0</v>
      </c>
      <c r="E203" s="11" t="s">
        <v>599</v>
      </c>
      <c r="F203" s="11" t="s">
        <v>14</v>
      </c>
      <c r="G203" s="11" t="s">
        <v>39</v>
      </c>
      <c r="H203" s="4"/>
      <c r="I203" s="4"/>
      <c r="J203" s="4"/>
      <c r="K203" s="4"/>
      <c r="L203" s="4"/>
      <c r="M203" s="4"/>
      <c r="N203" s="4"/>
      <c r="O203" s="4"/>
      <c r="P203" s="4"/>
      <c r="Q203" s="4"/>
      <c r="R203" s="4"/>
      <c r="S203" s="4"/>
      <c r="T203" s="4"/>
      <c r="U203" s="4"/>
      <c r="V203" s="4"/>
      <c r="W203" s="4"/>
      <c r="X203" s="4"/>
      <c r="Y203" s="4"/>
    </row>
    <row r="204">
      <c r="A204" s="11">
        <v>203.0</v>
      </c>
      <c r="B204" s="11" t="s">
        <v>600</v>
      </c>
      <c r="C204" s="6" t="s">
        <v>601</v>
      </c>
      <c r="D204" s="11">
        <v>2023.0</v>
      </c>
      <c r="E204" s="11" t="s">
        <v>602</v>
      </c>
      <c r="F204" s="11" t="s">
        <v>14</v>
      </c>
      <c r="G204" s="11" t="s">
        <v>39</v>
      </c>
      <c r="H204" s="4"/>
      <c r="I204" s="4"/>
      <c r="J204" s="4"/>
      <c r="K204" s="4"/>
      <c r="L204" s="4"/>
      <c r="M204" s="4"/>
      <c r="N204" s="4"/>
      <c r="O204" s="4"/>
      <c r="P204" s="4"/>
      <c r="Q204" s="4"/>
      <c r="R204" s="4"/>
      <c r="S204" s="4"/>
      <c r="T204" s="4"/>
      <c r="U204" s="4"/>
      <c r="V204" s="4"/>
      <c r="W204" s="4"/>
      <c r="X204" s="4"/>
      <c r="Y204" s="4"/>
    </row>
    <row r="205">
      <c r="A205" s="11">
        <v>204.0</v>
      </c>
      <c r="B205" s="11" t="s">
        <v>603</v>
      </c>
      <c r="C205" s="6" t="s">
        <v>604</v>
      </c>
      <c r="D205" s="11">
        <v>2020.0</v>
      </c>
      <c r="E205" s="11" t="s">
        <v>605</v>
      </c>
      <c r="F205" s="11" t="s">
        <v>14</v>
      </c>
      <c r="G205" s="11" t="s">
        <v>39</v>
      </c>
      <c r="H205" s="4"/>
      <c r="I205" s="4"/>
      <c r="J205" s="4"/>
      <c r="K205" s="4"/>
      <c r="L205" s="4"/>
      <c r="M205" s="4"/>
      <c r="N205" s="4"/>
      <c r="O205" s="4"/>
      <c r="P205" s="4"/>
      <c r="Q205" s="4"/>
      <c r="R205" s="4"/>
      <c r="S205" s="4"/>
      <c r="T205" s="4"/>
      <c r="U205" s="4"/>
      <c r="V205" s="4"/>
      <c r="W205" s="4"/>
      <c r="X205" s="4"/>
      <c r="Y205" s="4"/>
    </row>
    <row r="206">
      <c r="A206" s="12">
        <v>205.0</v>
      </c>
      <c r="B206" s="11" t="s">
        <v>606</v>
      </c>
      <c r="C206" s="6" t="s">
        <v>607</v>
      </c>
      <c r="D206" s="11">
        <v>2025.0</v>
      </c>
      <c r="E206" s="11" t="s">
        <v>608</v>
      </c>
      <c r="F206" s="11" t="s">
        <v>14</v>
      </c>
      <c r="G206" s="11" t="s">
        <v>39</v>
      </c>
      <c r="H206" s="4"/>
      <c r="I206" s="4"/>
      <c r="J206" s="4"/>
      <c r="K206" s="4"/>
      <c r="L206" s="4"/>
      <c r="M206" s="4"/>
      <c r="N206" s="4"/>
      <c r="O206" s="4"/>
      <c r="P206" s="4"/>
      <c r="Q206" s="4"/>
      <c r="R206" s="4"/>
      <c r="S206" s="4"/>
      <c r="T206" s="4"/>
      <c r="U206" s="4"/>
      <c r="V206" s="4"/>
      <c r="W206" s="4"/>
      <c r="X206" s="4"/>
      <c r="Y206" s="4"/>
    </row>
    <row r="207">
      <c r="A207" s="11">
        <v>206.0</v>
      </c>
      <c r="B207" s="11" t="s">
        <v>609</v>
      </c>
      <c r="C207" s="6" t="s">
        <v>610</v>
      </c>
      <c r="D207" s="11">
        <v>2021.0</v>
      </c>
      <c r="E207" s="11" t="s">
        <v>611</v>
      </c>
      <c r="F207" s="11" t="s">
        <v>14</v>
      </c>
      <c r="G207" s="11" t="s">
        <v>39</v>
      </c>
      <c r="H207" s="4"/>
      <c r="I207" s="4"/>
      <c r="J207" s="4"/>
      <c r="K207" s="4"/>
      <c r="L207" s="4"/>
      <c r="M207" s="4"/>
      <c r="N207" s="4"/>
      <c r="O207" s="4"/>
      <c r="P207" s="4"/>
      <c r="Q207" s="4"/>
      <c r="R207" s="4"/>
      <c r="S207" s="4"/>
      <c r="T207" s="4"/>
      <c r="U207" s="4"/>
      <c r="V207" s="4"/>
      <c r="W207" s="4"/>
      <c r="X207" s="4"/>
      <c r="Y207" s="4"/>
    </row>
    <row r="208">
      <c r="A208" s="11">
        <v>207.0</v>
      </c>
      <c r="B208" s="11" t="s">
        <v>612</v>
      </c>
      <c r="C208" s="6" t="s">
        <v>613</v>
      </c>
      <c r="D208" s="11">
        <v>2024.0</v>
      </c>
      <c r="E208" s="11" t="s">
        <v>614</v>
      </c>
      <c r="F208" s="11" t="s">
        <v>14</v>
      </c>
      <c r="G208" s="11" t="s">
        <v>39</v>
      </c>
      <c r="H208" s="4"/>
      <c r="I208" s="4"/>
      <c r="J208" s="4"/>
      <c r="K208" s="4"/>
      <c r="L208" s="4"/>
      <c r="M208" s="4"/>
      <c r="N208" s="4"/>
      <c r="O208" s="4"/>
      <c r="P208" s="4"/>
      <c r="Q208" s="4"/>
      <c r="R208" s="4"/>
      <c r="S208" s="4"/>
      <c r="T208" s="4"/>
      <c r="U208" s="4"/>
      <c r="V208" s="4"/>
      <c r="W208" s="4"/>
      <c r="X208" s="4"/>
      <c r="Y208" s="4"/>
    </row>
    <row r="209">
      <c r="A209" s="12">
        <v>208.0</v>
      </c>
      <c r="B209" s="11" t="s">
        <v>615</v>
      </c>
      <c r="C209" s="6" t="s">
        <v>616</v>
      </c>
      <c r="D209" s="11">
        <v>2021.0</v>
      </c>
      <c r="E209" s="11" t="s">
        <v>617</v>
      </c>
      <c r="F209" s="11" t="s">
        <v>14</v>
      </c>
      <c r="G209" s="11" t="s">
        <v>39</v>
      </c>
      <c r="H209" s="4"/>
      <c r="I209" s="4"/>
      <c r="J209" s="4"/>
      <c r="K209" s="4"/>
      <c r="L209" s="4"/>
      <c r="M209" s="4"/>
      <c r="N209" s="4"/>
      <c r="O209" s="4"/>
      <c r="P209" s="4"/>
      <c r="Q209" s="4"/>
      <c r="R209" s="4"/>
      <c r="S209" s="4"/>
      <c r="T209" s="4"/>
      <c r="U209" s="4"/>
      <c r="V209" s="4"/>
      <c r="W209" s="4"/>
      <c r="X209" s="4"/>
      <c r="Y209" s="4"/>
    </row>
    <row r="210">
      <c r="A210" s="11">
        <v>209.0</v>
      </c>
      <c r="B210" s="11" t="s">
        <v>618</v>
      </c>
      <c r="C210" s="6" t="s">
        <v>619</v>
      </c>
      <c r="D210" s="11">
        <v>2022.0</v>
      </c>
      <c r="E210" s="11" t="s">
        <v>620</v>
      </c>
      <c r="F210" s="11" t="s">
        <v>14</v>
      </c>
      <c r="G210" s="11" t="s">
        <v>39</v>
      </c>
      <c r="H210" s="4"/>
      <c r="I210" s="4"/>
      <c r="J210" s="4"/>
      <c r="K210" s="4"/>
      <c r="L210" s="4"/>
      <c r="M210" s="4"/>
      <c r="N210" s="4"/>
      <c r="O210" s="4"/>
      <c r="P210" s="4"/>
      <c r="Q210" s="4"/>
      <c r="R210" s="4"/>
      <c r="S210" s="4"/>
      <c r="T210" s="4"/>
      <c r="U210" s="4"/>
      <c r="V210" s="4"/>
      <c r="W210" s="4"/>
      <c r="X210" s="4"/>
      <c r="Y210" s="4"/>
    </row>
    <row r="211">
      <c r="A211" s="11">
        <v>210.0</v>
      </c>
      <c r="B211" s="11" t="s">
        <v>621</v>
      </c>
      <c r="C211" s="6" t="s">
        <v>622</v>
      </c>
      <c r="D211" s="11">
        <v>2017.0</v>
      </c>
      <c r="E211" s="11" t="s">
        <v>623</v>
      </c>
      <c r="F211" s="11" t="s">
        <v>14</v>
      </c>
      <c r="G211" s="11" t="s">
        <v>39</v>
      </c>
      <c r="H211" s="4"/>
      <c r="I211" s="4"/>
      <c r="J211" s="4"/>
      <c r="K211" s="4"/>
      <c r="L211" s="4"/>
      <c r="M211" s="4"/>
      <c r="N211" s="4"/>
      <c r="O211" s="4"/>
      <c r="P211" s="4"/>
      <c r="Q211" s="4"/>
      <c r="R211" s="4"/>
      <c r="S211" s="4"/>
      <c r="T211" s="4"/>
      <c r="U211" s="4"/>
      <c r="V211" s="4"/>
      <c r="W211" s="4"/>
      <c r="X211" s="4"/>
      <c r="Y211" s="4"/>
    </row>
    <row r="212">
      <c r="A212" s="12">
        <v>211.0</v>
      </c>
      <c r="B212" s="11" t="s">
        <v>249</v>
      </c>
      <c r="C212" s="6" t="s">
        <v>624</v>
      </c>
      <c r="D212" s="11">
        <v>2021.0</v>
      </c>
      <c r="E212" s="11" t="s">
        <v>625</v>
      </c>
      <c r="F212" s="11" t="s">
        <v>14</v>
      </c>
      <c r="G212" s="11" t="s">
        <v>49</v>
      </c>
      <c r="H212" s="4"/>
      <c r="I212" s="4"/>
      <c r="J212" s="4"/>
      <c r="K212" s="4"/>
      <c r="L212" s="4"/>
      <c r="M212" s="4"/>
      <c r="N212" s="4"/>
      <c r="O212" s="4"/>
      <c r="P212" s="4"/>
      <c r="Q212" s="4"/>
      <c r="R212" s="4"/>
      <c r="S212" s="4"/>
      <c r="T212" s="4"/>
      <c r="U212" s="4"/>
      <c r="V212" s="4"/>
      <c r="W212" s="4"/>
      <c r="X212" s="4"/>
      <c r="Y212" s="4"/>
    </row>
    <row r="213">
      <c r="A213" s="11">
        <v>212.0</v>
      </c>
      <c r="B213" s="11" t="s">
        <v>626</v>
      </c>
      <c r="C213" s="6" t="s">
        <v>627</v>
      </c>
      <c r="D213" s="11">
        <v>2024.0</v>
      </c>
      <c r="E213" s="11" t="s">
        <v>625</v>
      </c>
      <c r="F213" s="11" t="s">
        <v>14</v>
      </c>
      <c r="G213" s="11" t="s">
        <v>49</v>
      </c>
      <c r="H213" s="4"/>
      <c r="I213" s="4"/>
      <c r="J213" s="4"/>
      <c r="K213" s="4"/>
      <c r="L213" s="4"/>
      <c r="M213" s="4"/>
      <c r="N213" s="4"/>
      <c r="O213" s="4"/>
      <c r="P213" s="4"/>
      <c r="Q213" s="4"/>
      <c r="R213" s="4"/>
      <c r="S213" s="4"/>
      <c r="T213" s="4"/>
      <c r="U213" s="4"/>
      <c r="V213" s="4"/>
      <c r="W213" s="4"/>
      <c r="X213" s="4"/>
      <c r="Y213" s="4"/>
    </row>
    <row r="214">
      <c r="A214" s="11">
        <v>213.0</v>
      </c>
      <c r="B214" s="11" t="s">
        <v>628</v>
      </c>
      <c r="C214" s="6" t="s">
        <v>629</v>
      </c>
      <c r="D214" s="11">
        <v>2021.0</v>
      </c>
      <c r="E214" s="11" t="s">
        <v>630</v>
      </c>
      <c r="F214" s="11" t="s">
        <v>14</v>
      </c>
      <c r="G214" s="11" t="s">
        <v>39</v>
      </c>
      <c r="H214" s="4"/>
      <c r="I214" s="4"/>
      <c r="J214" s="4"/>
      <c r="K214" s="4"/>
      <c r="L214" s="4"/>
      <c r="M214" s="4"/>
      <c r="N214" s="4"/>
      <c r="O214" s="4"/>
      <c r="P214" s="4"/>
      <c r="Q214" s="4"/>
      <c r="R214" s="4"/>
      <c r="S214" s="4"/>
      <c r="T214" s="4"/>
      <c r="U214" s="4"/>
      <c r="V214" s="4"/>
      <c r="W214" s="4"/>
      <c r="X214" s="4"/>
      <c r="Y214" s="4"/>
    </row>
    <row r="215">
      <c r="A215" s="12">
        <v>214.0</v>
      </c>
      <c r="B215" s="11" t="s">
        <v>631</v>
      </c>
      <c r="C215" s="6" t="s">
        <v>632</v>
      </c>
      <c r="D215" s="11">
        <v>2024.0</v>
      </c>
      <c r="E215" s="11" t="s">
        <v>580</v>
      </c>
      <c r="F215" s="11" t="s">
        <v>14</v>
      </c>
      <c r="G215" s="11" t="s">
        <v>49</v>
      </c>
      <c r="H215" s="4"/>
      <c r="I215" s="4"/>
      <c r="J215" s="4"/>
      <c r="K215" s="4"/>
      <c r="L215" s="4"/>
      <c r="M215" s="4"/>
      <c r="N215" s="4"/>
      <c r="O215" s="4"/>
      <c r="P215" s="4"/>
      <c r="Q215" s="4"/>
      <c r="R215" s="4"/>
      <c r="S215" s="4"/>
      <c r="T215" s="4"/>
      <c r="U215" s="4"/>
      <c r="V215" s="4"/>
      <c r="W215" s="4"/>
      <c r="X215" s="4"/>
      <c r="Y215" s="4"/>
    </row>
    <row r="216">
      <c r="A216" s="11">
        <v>215.0</v>
      </c>
      <c r="B216" s="11" t="s">
        <v>633</v>
      </c>
      <c r="C216" s="6" t="s">
        <v>634</v>
      </c>
      <c r="D216" s="11">
        <v>2024.0</v>
      </c>
      <c r="E216" s="11" t="s">
        <v>580</v>
      </c>
      <c r="F216" s="11" t="s">
        <v>14</v>
      </c>
      <c r="G216" s="11" t="s">
        <v>49</v>
      </c>
      <c r="H216" s="4"/>
      <c r="I216" s="4"/>
      <c r="J216" s="4"/>
      <c r="K216" s="4"/>
      <c r="L216" s="4"/>
      <c r="M216" s="4"/>
      <c r="N216" s="4"/>
      <c r="O216" s="4"/>
      <c r="P216" s="4"/>
      <c r="Q216" s="4"/>
      <c r="R216" s="4"/>
      <c r="S216" s="4"/>
      <c r="T216" s="4"/>
      <c r="U216" s="4"/>
      <c r="V216" s="4"/>
      <c r="W216" s="4"/>
      <c r="X216" s="4"/>
      <c r="Y216" s="4"/>
    </row>
    <row r="217">
      <c r="A217" s="11">
        <v>216.0</v>
      </c>
      <c r="B217" s="11" t="s">
        <v>635</v>
      </c>
      <c r="C217" s="6" t="s">
        <v>636</v>
      </c>
      <c r="D217" s="11">
        <v>2018.0</v>
      </c>
      <c r="E217" s="11" t="s">
        <v>637</v>
      </c>
      <c r="F217" s="11" t="s">
        <v>14</v>
      </c>
      <c r="G217" s="11" t="s">
        <v>39</v>
      </c>
      <c r="H217" s="4"/>
      <c r="I217" s="4"/>
      <c r="J217" s="4"/>
      <c r="K217" s="4"/>
      <c r="L217" s="4"/>
      <c r="M217" s="4"/>
      <c r="N217" s="4"/>
      <c r="O217" s="4"/>
      <c r="P217" s="4"/>
      <c r="Q217" s="4"/>
      <c r="R217" s="4"/>
      <c r="S217" s="4"/>
      <c r="T217" s="4"/>
      <c r="U217" s="4"/>
      <c r="V217" s="4"/>
      <c r="W217" s="4"/>
      <c r="X217" s="4"/>
      <c r="Y217" s="4"/>
    </row>
    <row r="218">
      <c r="A218" s="12">
        <v>217.0</v>
      </c>
      <c r="B218" s="11" t="s">
        <v>638</v>
      </c>
      <c r="C218" s="6" t="s">
        <v>639</v>
      </c>
      <c r="D218" s="11">
        <v>2015.0</v>
      </c>
      <c r="E218" s="11" t="s">
        <v>640</v>
      </c>
      <c r="F218" s="11" t="s">
        <v>14</v>
      </c>
      <c r="G218" s="11" t="s">
        <v>39</v>
      </c>
      <c r="H218" s="4"/>
      <c r="I218" s="4"/>
      <c r="J218" s="4"/>
      <c r="K218" s="4"/>
      <c r="L218" s="4"/>
      <c r="M218" s="4"/>
      <c r="N218" s="4"/>
      <c r="O218" s="4"/>
      <c r="P218" s="4"/>
      <c r="Q218" s="4"/>
      <c r="R218" s="4"/>
      <c r="S218" s="4"/>
      <c r="T218" s="4"/>
      <c r="U218" s="4"/>
      <c r="V218" s="4"/>
      <c r="W218" s="4"/>
      <c r="X218" s="4"/>
      <c r="Y218" s="4"/>
    </row>
    <row r="219">
      <c r="A219" s="11">
        <v>218.0</v>
      </c>
      <c r="B219" s="11" t="s">
        <v>641</v>
      </c>
      <c r="C219" s="6" t="s">
        <v>642</v>
      </c>
      <c r="D219" s="11">
        <v>2020.0</v>
      </c>
      <c r="E219" s="11" t="s">
        <v>643</v>
      </c>
      <c r="F219" s="11" t="s">
        <v>14</v>
      </c>
      <c r="G219" s="11" t="s">
        <v>39</v>
      </c>
      <c r="H219" s="4"/>
      <c r="I219" s="4"/>
      <c r="J219" s="4"/>
      <c r="K219" s="4"/>
      <c r="L219" s="4"/>
      <c r="M219" s="4"/>
      <c r="N219" s="4"/>
      <c r="O219" s="4"/>
      <c r="P219" s="4"/>
      <c r="Q219" s="4"/>
      <c r="R219" s="4"/>
      <c r="S219" s="4"/>
      <c r="T219" s="4"/>
      <c r="U219" s="4"/>
      <c r="V219" s="4"/>
      <c r="W219" s="4"/>
      <c r="X219" s="4"/>
      <c r="Y219" s="4"/>
    </row>
    <row r="220">
      <c r="A220" s="11">
        <v>219.0</v>
      </c>
      <c r="B220" s="11" t="s">
        <v>644</v>
      </c>
      <c r="C220" s="6" t="s">
        <v>645</v>
      </c>
      <c r="D220" s="11">
        <v>2025.0</v>
      </c>
      <c r="E220" s="11" t="s">
        <v>646</v>
      </c>
      <c r="F220" s="11" t="s">
        <v>14</v>
      </c>
      <c r="G220" s="11" t="s">
        <v>39</v>
      </c>
      <c r="H220" s="4"/>
      <c r="I220" s="4"/>
      <c r="J220" s="4"/>
      <c r="K220" s="4"/>
      <c r="L220" s="4"/>
      <c r="M220" s="4"/>
      <c r="N220" s="4"/>
      <c r="O220" s="4"/>
      <c r="P220" s="4"/>
      <c r="Q220" s="4"/>
      <c r="R220" s="4"/>
      <c r="S220" s="4"/>
      <c r="T220" s="4"/>
      <c r="U220" s="4"/>
      <c r="V220" s="4"/>
      <c r="W220" s="4"/>
      <c r="X220" s="4"/>
      <c r="Y220" s="4"/>
    </row>
    <row r="221">
      <c r="A221" s="12">
        <v>220.0</v>
      </c>
      <c r="B221" s="11" t="s">
        <v>647</v>
      </c>
      <c r="C221" s="6" t="s">
        <v>648</v>
      </c>
      <c r="D221" s="11">
        <v>2024.0</v>
      </c>
      <c r="E221" s="11" t="s">
        <v>649</v>
      </c>
      <c r="F221" s="11" t="s">
        <v>14</v>
      </c>
      <c r="G221" s="11" t="s">
        <v>49</v>
      </c>
      <c r="H221" s="4"/>
      <c r="I221" s="4"/>
      <c r="J221" s="4"/>
      <c r="K221" s="4"/>
      <c r="L221" s="4"/>
      <c r="M221" s="4"/>
      <c r="N221" s="4"/>
      <c r="O221" s="4"/>
      <c r="P221" s="4"/>
      <c r="Q221" s="4"/>
      <c r="R221" s="4"/>
      <c r="S221" s="4"/>
      <c r="T221" s="4"/>
      <c r="U221" s="4"/>
      <c r="V221" s="4"/>
      <c r="W221" s="4"/>
      <c r="X221" s="4"/>
      <c r="Y221" s="4"/>
    </row>
    <row r="222">
      <c r="A222" s="11">
        <v>221.0</v>
      </c>
      <c r="B222" s="11" t="s">
        <v>650</v>
      </c>
      <c r="C222" s="6" t="s">
        <v>651</v>
      </c>
      <c r="D222" s="11">
        <v>2018.0</v>
      </c>
      <c r="E222" s="11" t="s">
        <v>580</v>
      </c>
      <c r="F222" s="11" t="s">
        <v>14</v>
      </c>
      <c r="G222" s="11" t="s">
        <v>49</v>
      </c>
      <c r="H222" s="4"/>
      <c r="I222" s="4"/>
      <c r="J222" s="4"/>
      <c r="K222" s="4"/>
      <c r="L222" s="4"/>
      <c r="M222" s="4"/>
      <c r="N222" s="4"/>
      <c r="O222" s="4"/>
      <c r="P222" s="4"/>
      <c r="Q222" s="4"/>
      <c r="R222" s="4"/>
      <c r="S222" s="4"/>
      <c r="T222" s="4"/>
      <c r="U222" s="4"/>
      <c r="V222" s="4"/>
      <c r="W222" s="4"/>
      <c r="X222" s="4"/>
      <c r="Y222" s="4"/>
    </row>
    <row r="223">
      <c r="A223" s="11">
        <v>222.0</v>
      </c>
      <c r="B223" s="11" t="s">
        <v>652</v>
      </c>
      <c r="C223" s="6" t="s">
        <v>653</v>
      </c>
      <c r="D223" s="11">
        <v>2019.0</v>
      </c>
      <c r="E223" s="11" t="s">
        <v>580</v>
      </c>
      <c r="F223" s="11" t="s">
        <v>14</v>
      </c>
      <c r="G223" s="11" t="s">
        <v>49</v>
      </c>
      <c r="H223" s="4"/>
      <c r="I223" s="4"/>
      <c r="J223" s="4"/>
      <c r="K223" s="4"/>
      <c r="L223" s="4"/>
      <c r="M223" s="4"/>
      <c r="N223" s="4"/>
      <c r="O223" s="4"/>
      <c r="P223" s="4"/>
      <c r="Q223" s="4"/>
      <c r="R223" s="4"/>
      <c r="S223" s="4"/>
      <c r="T223" s="4"/>
      <c r="U223" s="4"/>
      <c r="V223" s="4"/>
      <c r="W223" s="4"/>
      <c r="X223" s="4"/>
      <c r="Y223" s="4"/>
    </row>
    <row r="224">
      <c r="A224" s="12">
        <v>223.0</v>
      </c>
      <c r="B224" s="11" t="s">
        <v>654</v>
      </c>
      <c r="C224" s="6" t="s">
        <v>655</v>
      </c>
      <c r="D224" s="11">
        <v>2017.0</v>
      </c>
      <c r="E224" s="11" t="s">
        <v>656</v>
      </c>
      <c r="F224" s="11" t="s">
        <v>14</v>
      </c>
      <c r="G224" s="11" t="s">
        <v>39</v>
      </c>
      <c r="H224" s="4"/>
      <c r="I224" s="4"/>
      <c r="J224" s="4"/>
      <c r="K224" s="4"/>
      <c r="L224" s="4"/>
      <c r="M224" s="4"/>
      <c r="N224" s="4"/>
      <c r="O224" s="4"/>
      <c r="P224" s="4"/>
      <c r="Q224" s="4"/>
      <c r="R224" s="4"/>
      <c r="S224" s="4"/>
      <c r="T224" s="4"/>
      <c r="U224" s="4"/>
      <c r="V224" s="4"/>
      <c r="W224" s="4"/>
      <c r="X224" s="4"/>
      <c r="Y224" s="4"/>
    </row>
    <row r="225">
      <c r="A225" s="11">
        <v>224.0</v>
      </c>
      <c r="B225" s="11" t="s">
        <v>657</v>
      </c>
      <c r="C225" s="6" t="s">
        <v>658</v>
      </c>
      <c r="D225" s="11">
        <v>2023.0</v>
      </c>
      <c r="E225" s="11" t="s">
        <v>659</v>
      </c>
      <c r="F225" s="11" t="s">
        <v>14</v>
      </c>
      <c r="G225" s="11" t="s">
        <v>39</v>
      </c>
      <c r="H225" s="4"/>
      <c r="I225" s="4"/>
      <c r="J225" s="4"/>
      <c r="K225" s="4"/>
      <c r="L225" s="4"/>
      <c r="M225" s="4"/>
      <c r="N225" s="4"/>
      <c r="O225" s="4"/>
      <c r="P225" s="4"/>
      <c r="Q225" s="4"/>
      <c r="R225" s="4"/>
      <c r="S225" s="4"/>
      <c r="T225" s="4"/>
      <c r="U225" s="4"/>
      <c r="V225" s="4"/>
      <c r="W225" s="4"/>
      <c r="X225" s="4"/>
      <c r="Y225" s="4"/>
    </row>
    <row r="226">
      <c r="A226" s="11">
        <v>225.0</v>
      </c>
      <c r="B226" s="11" t="s">
        <v>660</v>
      </c>
      <c r="C226" s="6" t="s">
        <v>661</v>
      </c>
      <c r="D226" s="11">
        <v>2017.0</v>
      </c>
      <c r="E226" s="11" t="s">
        <v>574</v>
      </c>
      <c r="F226" s="11" t="s">
        <v>14</v>
      </c>
      <c r="G226" s="11" t="s">
        <v>49</v>
      </c>
      <c r="H226" s="4"/>
      <c r="I226" s="4"/>
      <c r="J226" s="4"/>
      <c r="K226" s="4"/>
      <c r="L226" s="4"/>
      <c r="M226" s="4"/>
      <c r="N226" s="4"/>
      <c r="O226" s="4"/>
      <c r="P226" s="4"/>
      <c r="Q226" s="4"/>
      <c r="R226" s="4"/>
      <c r="S226" s="4"/>
      <c r="T226" s="4"/>
      <c r="U226" s="4"/>
      <c r="V226" s="4"/>
      <c r="W226" s="4"/>
      <c r="X226" s="4"/>
      <c r="Y226" s="4"/>
    </row>
    <row r="227">
      <c r="A227" s="12">
        <v>226.0</v>
      </c>
      <c r="B227" s="11" t="s">
        <v>662</v>
      </c>
      <c r="C227" s="6" t="s">
        <v>663</v>
      </c>
      <c r="D227" s="11">
        <v>2020.0</v>
      </c>
      <c r="E227" s="11" t="s">
        <v>664</v>
      </c>
      <c r="F227" s="11" t="s">
        <v>14</v>
      </c>
      <c r="G227" s="11" t="s">
        <v>49</v>
      </c>
      <c r="H227" s="4"/>
      <c r="I227" s="4"/>
      <c r="J227" s="4"/>
      <c r="K227" s="4"/>
      <c r="L227" s="4"/>
      <c r="M227" s="4"/>
      <c r="N227" s="4"/>
      <c r="O227" s="4"/>
      <c r="P227" s="4"/>
      <c r="Q227" s="4"/>
      <c r="R227" s="4"/>
      <c r="S227" s="4"/>
      <c r="T227" s="4"/>
      <c r="U227" s="4"/>
      <c r="V227" s="4"/>
      <c r="W227" s="4"/>
      <c r="X227" s="4"/>
      <c r="Y227" s="4"/>
    </row>
    <row r="228">
      <c r="A228" s="11">
        <v>227.0</v>
      </c>
      <c r="B228" s="11" t="s">
        <v>665</v>
      </c>
      <c r="C228" s="6" t="s">
        <v>666</v>
      </c>
      <c r="D228" s="11">
        <v>2018.0</v>
      </c>
      <c r="E228" s="11" t="s">
        <v>596</v>
      </c>
      <c r="F228" s="11" t="s">
        <v>14</v>
      </c>
      <c r="G228" s="11" t="s">
        <v>49</v>
      </c>
      <c r="H228" s="4"/>
      <c r="I228" s="4"/>
      <c r="J228" s="4"/>
      <c r="K228" s="4"/>
      <c r="L228" s="4"/>
      <c r="M228" s="4"/>
      <c r="N228" s="4"/>
      <c r="O228" s="4"/>
      <c r="P228" s="4"/>
      <c r="Q228" s="4"/>
      <c r="R228" s="4"/>
      <c r="S228" s="4"/>
      <c r="T228" s="4"/>
      <c r="U228" s="4"/>
      <c r="V228" s="4"/>
      <c r="W228" s="4"/>
      <c r="X228" s="4"/>
      <c r="Y228" s="4"/>
    </row>
    <row r="229">
      <c r="A229" s="11">
        <v>228.0</v>
      </c>
      <c r="B229" s="11" t="s">
        <v>667</v>
      </c>
      <c r="C229" s="6" t="s">
        <v>668</v>
      </c>
      <c r="D229" s="11">
        <v>2018.0</v>
      </c>
      <c r="E229" s="11" t="s">
        <v>669</v>
      </c>
      <c r="F229" s="11" t="s">
        <v>14</v>
      </c>
      <c r="G229" s="11" t="s">
        <v>39</v>
      </c>
      <c r="H229" s="4"/>
      <c r="I229" s="4"/>
      <c r="J229" s="4"/>
      <c r="K229" s="4"/>
      <c r="L229" s="4"/>
      <c r="M229" s="4"/>
      <c r="N229" s="4"/>
      <c r="O229" s="4"/>
      <c r="P229" s="4"/>
      <c r="Q229" s="4"/>
      <c r="R229" s="4"/>
      <c r="S229" s="4"/>
      <c r="T229" s="4"/>
      <c r="U229" s="4"/>
      <c r="V229" s="4"/>
      <c r="W229" s="4"/>
      <c r="X229" s="4"/>
      <c r="Y229" s="4"/>
    </row>
    <row r="230">
      <c r="A230" s="12">
        <v>229.0</v>
      </c>
      <c r="B230" s="11" t="s">
        <v>670</v>
      </c>
      <c r="C230" s="6" t="s">
        <v>671</v>
      </c>
      <c r="D230" s="11">
        <v>2019.0</v>
      </c>
      <c r="E230" s="11" t="s">
        <v>672</v>
      </c>
      <c r="F230" s="11" t="s">
        <v>14</v>
      </c>
      <c r="G230" s="11" t="s">
        <v>39</v>
      </c>
      <c r="H230" s="4"/>
      <c r="I230" s="4"/>
      <c r="J230" s="4"/>
      <c r="K230" s="4"/>
      <c r="L230" s="4"/>
      <c r="M230" s="4"/>
      <c r="N230" s="4"/>
      <c r="O230" s="4"/>
      <c r="P230" s="4"/>
      <c r="Q230" s="4"/>
      <c r="R230" s="4"/>
      <c r="S230" s="4"/>
      <c r="T230" s="4"/>
      <c r="U230" s="4"/>
      <c r="V230" s="4"/>
      <c r="W230" s="4"/>
      <c r="X230" s="4"/>
      <c r="Y230" s="4"/>
    </row>
    <row r="231">
      <c r="A231" s="11">
        <v>230.0</v>
      </c>
      <c r="B231" s="11" t="s">
        <v>673</v>
      </c>
      <c r="C231" s="6" t="s">
        <v>674</v>
      </c>
      <c r="D231" s="11">
        <v>2022.0</v>
      </c>
      <c r="E231" s="11" t="s">
        <v>675</v>
      </c>
      <c r="F231" s="11" t="s">
        <v>14</v>
      </c>
      <c r="G231" s="11" t="s">
        <v>39</v>
      </c>
      <c r="H231" s="4"/>
      <c r="I231" s="4"/>
      <c r="J231" s="4"/>
      <c r="K231" s="4"/>
      <c r="L231" s="4"/>
      <c r="M231" s="4"/>
      <c r="N231" s="4"/>
      <c r="O231" s="4"/>
      <c r="P231" s="4"/>
      <c r="Q231" s="4"/>
      <c r="R231" s="4"/>
      <c r="S231" s="4"/>
      <c r="T231" s="4"/>
      <c r="U231" s="4"/>
      <c r="V231" s="4"/>
      <c r="W231" s="4"/>
      <c r="X231" s="4"/>
      <c r="Y231" s="4"/>
    </row>
    <row r="232">
      <c r="A232" s="11">
        <v>231.0</v>
      </c>
      <c r="B232" s="11" t="s">
        <v>676</v>
      </c>
      <c r="C232" s="6" t="s">
        <v>677</v>
      </c>
      <c r="D232" s="11">
        <v>2025.0</v>
      </c>
      <c r="E232" s="11" t="s">
        <v>678</v>
      </c>
      <c r="F232" s="11" t="s">
        <v>14</v>
      </c>
      <c r="G232" s="11" t="s">
        <v>39</v>
      </c>
      <c r="H232" s="4"/>
      <c r="I232" s="4"/>
      <c r="J232" s="4"/>
      <c r="K232" s="4"/>
      <c r="L232" s="4"/>
      <c r="M232" s="4"/>
      <c r="N232" s="4"/>
      <c r="O232" s="4"/>
      <c r="P232" s="4"/>
      <c r="Q232" s="4"/>
      <c r="R232" s="4"/>
      <c r="S232" s="4"/>
      <c r="T232" s="4"/>
      <c r="U232" s="4"/>
      <c r="V232" s="4"/>
      <c r="W232" s="4"/>
      <c r="X232" s="4"/>
      <c r="Y232" s="4"/>
    </row>
    <row r="233">
      <c r="A233" s="12">
        <v>232.0</v>
      </c>
      <c r="B233" s="11" t="s">
        <v>679</v>
      </c>
      <c r="C233" s="6" t="s">
        <v>680</v>
      </c>
      <c r="D233" s="11">
        <v>2018.0</v>
      </c>
      <c r="E233" s="11" t="s">
        <v>580</v>
      </c>
      <c r="F233" s="11" t="s">
        <v>14</v>
      </c>
      <c r="G233" s="11" t="s">
        <v>49</v>
      </c>
      <c r="H233" s="4"/>
      <c r="I233" s="4"/>
      <c r="J233" s="4"/>
      <c r="K233" s="4"/>
      <c r="L233" s="4"/>
      <c r="M233" s="4"/>
      <c r="N233" s="4"/>
      <c r="O233" s="4"/>
      <c r="P233" s="4"/>
      <c r="Q233" s="4"/>
      <c r="R233" s="4"/>
      <c r="S233" s="4"/>
      <c r="T233" s="4"/>
      <c r="U233" s="4"/>
      <c r="V233" s="4"/>
      <c r="W233" s="4"/>
      <c r="X233" s="4"/>
      <c r="Y233" s="4"/>
    </row>
    <row r="234">
      <c r="A234" s="11">
        <v>233.0</v>
      </c>
      <c r="B234" s="11" t="s">
        <v>681</v>
      </c>
      <c r="C234" s="6" t="s">
        <v>682</v>
      </c>
      <c r="D234" s="11">
        <v>2015.0</v>
      </c>
      <c r="E234" s="11" t="s">
        <v>683</v>
      </c>
      <c r="F234" s="11" t="s">
        <v>14</v>
      </c>
      <c r="G234" s="11" t="s">
        <v>39</v>
      </c>
      <c r="H234" s="4"/>
      <c r="I234" s="4"/>
      <c r="J234" s="4"/>
      <c r="K234" s="4"/>
      <c r="L234" s="4"/>
      <c r="M234" s="4"/>
      <c r="N234" s="4"/>
      <c r="O234" s="4"/>
      <c r="P234" s="4"/>
      <c r="Q234" s="4"/>
      <c r="R234" s="4"/>
      <c r="S234" s="4"/>
      <c r="T234" s="4"/>
      <c r="U234" s="4"/>
      <c r="V234" s="4"/>
      <c r="W234" s="4"/>
      <c r="X234" s="4"/>
      <c r="Y234" s="4"/>
    </row>
    <row r="235">
      <c r="A235" s="11">
        <v>234.0</v>
      </c>
      <c r="B235" s="11" t="s">
        <v>684</v>
      </c>
      <c r="C235" s="6" t="s">
        <v>685</v>
      </c>
      <c r="D235" s="11">
        <v>2024.0</v>
      </c>
      <c r="E235" s="11" t="s">
        <v>580</v>
      </c>
      <c r="F235" s="11" t="s">
        <v>14</v>
      </c>
      <c r="G235" s="11" t="s">
        <v>49</v>
      </c>
      <c r="H235" s="4"/>
      <c r="I235" s="4"/>
      <c r="J235" s="4"/>
      <c r="K235" s="4"/>
      <c r="L235" s="4"/>
      <c r="M235" s="4"/>
      <c r="N235" s="4"/>
      <c r="O235" s="4"/>
      <c r="P235" s="4"/>
      <c r="Q235" s="4"/>
      <c r="R235" s="4"/>
      <c r="S235" s="4"/>
      <c r="T235" s="4"/>
      <c r="U235" s="4"/>
      <c r="V235" s="4"/>
      <c r="W235" s="4"/>
      <c r="X235" s="4"/>
      <c r="Y235" s="4"/>
    </row>
    <row r="236">
      <c r="A236" s="12">
        <v>235.0</v>
      </c>
      <c r="B236" s="11" t="s">
        <v>686</v>
      </c>
      <c r="C236" s="6" t="s">
        <v>687</v>
      </c>
      <c r="D236" s="11">
        <v>2020.0</v>
      </c>
      <c r="E236" s="11" t="s">
        <v>688</v>
      </c>
      <c r="F236" s="11" t="s">
        <v>14</v>
      </c>
      <c r="G236" s="11" t="s">
        <v>39</v>
      </c>
      <c r="H236" s="4"/>
      <c r="I236" s="4"/>
      <c r="J236" s="4"/>
      <c r="K236" s="4"/>
      <c r="L236" s="4"/>
      <c r="M236" s="4"/>
      <c r="N236" s="4"/>
      <c r="O236" s="4"/>
      <c r="P236" s="4"/>
      <c r="Q236" s="4"/>
      <c r="R236" s="4"/>
      <c r="S236" s="4"/>
      <c r="T236" s="4"/>
      <c r="U236" s="4"/>
      <c r="V236" s="4"/>
      <c r="W236" s="4"/>
      <c r="X236" s="4"/>
      <c r="Y236" s="4"/>
    </row>
    <row r="237">
      <c r="A237" s="11">
        <v>236.0</v>
      </c>
      <c r="B237" s="11" t="s">
        <v>689</v>
      </c>
      <c r="C237" s="6" t="s">
        <v>690</v>
      </c>
      <c r="D237" s="11">
        <v>2021.0</v>
      </c>
      <c r="E237" s="11" t="s">
        <v>691</v>
      </c>
      <c r="F237" s="11" t="s">
        <v>14</v>
      </c>
      <c r="G237" s="11" t="s">
        <v>39</v>
      </c>
      <c r="H237" s="4"/>
      <c r="I237" s="4"/>
      <c r="J237" s="4"/>
      <c r="K237" s="4"/>
      <c r="L237" s="4"/>
      <c r="M237" s="4"/>
      <c r="N237" s="4"/>
      <c r="O237" s="4"/>
      <c r="P237" s="4"/>
      <c r="Q237" s="4"/>
      <c r="R237" s="4"/>
      <c r="S237" s="4"/>
      <c r="T237" s="4"/>
      <c r="U237" s="4"/>
      <c r="V237" s="4"/>
      <c r="W237" s="4"/>
      <c r="X237" s="4"/>
      <c r="Y237" s="4"/>
    </row>
    <row r="238">
      <c r="A238" s="11">
        <v>237.0</v>
      </c>
      <c r="B238" s="11" t="s">
        <v>692</v>
      </c>
      <c r="C238" s="6" t="s">
        <v>693</v>
      </c>
      <c r="D238" s="11">
        <v>2019.0</v>
      </c>
      <c r="E238" s="11" t="s">
        <v>694</v>
      </c>
      <c r="F238" s="11" t="s">
        <v>14</v>
      </c>
      <c r="G238" s="11" t="s">
        <v>49</v>
      </c>
      <c r="H238" s="4"/>
      <c r="I238" s="4"/>
      <c r="J238" s="4"/>
      <c r="K238" s="4"/>
      <c r="L238" s="4"/>
      <c r="M238" s="4"/>
      <c r="N238" s="4"/>
      <c r="O238" s="4"/>
      <c r="P238" s="4"/>
      <c r="Q238" s="4"/>
      <c r="R238" s="4"/>
      <c r="S238" s="4"/>
      <c r="T238" s="4"/>
      <c r="U238" s="4"/>
      <c r="V238" s="4"/>
      <c r="W238" s="4"/>
      <c r="X238" s="4"/>
      <c r="Y238" s="4"/>
    </row>
    <row r="239">
      <c r="A239" s="12">
        <v>238.0</v>
      </c>
      <c r="B239" s="11" t="s">
        <v>695</v>
      </c>
      <c r="C239" s="6" t="s">
        <v>696</v>
      </c>
      <c r="D239" s="11">
        <v>2021.0</v>
      </c>
      <c r="E239" s="11" t="s">
        <v>574</v>
      </c>
      <c r="F239" s="11" t="s">
        <v>14</v>
      </c>
      <c r="G239" s="11" t="s">
        <v>49</v>
      </c>
      <c r="H239" s="4"/>
      <c r="I239" s="4"/>
      <c r="J239" s="4"/>
      <c r="K239" s="4"/>
      <c r="L239" s="4"/>
      <c r="M239" s="4"/>
      <c r="N239" s="4"/>
      <c r="O239" s="4"/>
      <c r="P239" s="4"/>
      <c r="Q239" s="4"/>
      <c r="R239" s="4"/>
      <c r="S239" s="4"/>
      <c r="T239" s="4"/>
      <c r="U239" s="4"/>
      <c r="V239" s="4"/>
      <c r="W239" s="4"/>
      <c r="X239" s="4"/>
      <c r="Y239" s="4"/>
    </row>
    <row r="240">
      <c r="A240" s="11">
        <v>239.0</v>
      </c>
      <c r="B240" s="11" t="s">
        <v>697</v>
      </c>
      <c r="C240" s="6" t="s">
        <v>698</v>
      </c>
      <c r="D240" s="11">
        <v>2015.0</v>
      </c>
      <c r="E240" s="11" t="s">
        <v>699</v>
      </c>
      <c r="F240" s="11" t="s">
        <v>14</v>
      </c>
      <c r="G240" s="11" t="s">
        <v>39</v>
      </c>
      <c r="H240" s="4"/>
      <c r="I240" s="4"/>
      <c r="J240" s="4"/>
      <c r="K240" s="4"/>
      <c r="L240" s="4"/>
      <c r="M240" s="4"/>
      <c r="N240" s="4"/>
      <c r="O240" s="4"/>
      <c r="P240" s="4"/>
      <c r="Q240" s="4"/>
      <c r="R240" s="4"/>
      <c r="S240" s="4"/>
      <c r="T240" s="4"/>
      <c r="U240" s="4"/>
      <c r="V240" s="4"/>
      <c r="W240" s="4"/>
      <c r="X240" s="4"/>
      <c r="Y240" s="4"/>
    </row>
    <row r="241">
      <c r="A241" s="11">
        <v>240.0</v>
      </c>
      <c r="B241" s="11" t="s">
        <v>700</v>
      </c>
      <c r="C241" s="6" t="s">
        <v>701</v>
      </c>
      <c r="D241" s="11">
        <v>2025.0</v>
      </c>
      <c r="E241" s="11" t="s">
        <v>574</v>
      </c>
      <c r="F241" s="11" t="s">
        <v>14</v>
      </c>
      <c r="G241" s="11" t="s">
        <v>49</v>
      </c>
      <c r="H241" s="4"/>
      <c r="I241" s="4"/>
      <c r="J241" s="4"/>
      <c r="K241" s="4"/>
      <c r="L241" s="4"/>
      <c r="M241" s="4"/>
      <c r="N241" s="4"/>
      <c r="O241" s="4"/>
      <c r="P241" s="4"/>
      <c r="Q241" s="4"/>
      <c r="R241" s="4"/>
      <c r="S241" s="4"/>
      <c r="T241" s="4"/>
      <c r="U241" s="4"/>
      <c r="V241" s="4"/>
      <c r="W241" s="4"/>
      <c r="X241" s="4"/>
      <c r="Y241" s="4"/>
    </row>
    <row r="242">
      <c r="A242" s="12">
        <v>241.0</v>
      </c>
      <c r="B242" s="11" t="s">
        <v>702</v>
      </c>
      <c r="C242" s="6" t="s">
        <v>703</v>
      </c>
      <c r="D242" s="11">
        <v>2025.0</v>
      </c>
      <c r="E242" s="11" t="s">
        <v>574</v>
      </c>
      <c r="F242" s="11" t="s">
        <v>14</v>
      </c>
      <c r="G242" s="11" t="s">
        <v>49</v>
      </c>
      <c r="H242" s="4"/>
      <c r="I242" s="4"/>
      <c r="J242" s="4"/>
      <c r="K242" s="4"/>
      <c r="L242" s="4"/>
      <c r="M242" s="4"/>
      <c r="N242" s="4"/>
      <c r="O242" s="4"/>
      <c r="P242" s="4"/>
      <c r="Q242" s="4"/>
      <c r="R242" s="4"/>
      <c r="S242" s="4"/>
      <c r="T242" s="4"/>
      <c r="U242" s="4"/>
      <c r="V242" s="4"/>
      <c r="W242" s="4"/>
      <c r="X242" s="4"/>
      <c r="Y242" s="4"/>
    </row>
    <row r="243">
      <c r="A243" s="11">
        <v>242.0</v>
      </c>
      <c r="B243" s="11" t="s">
        <v>704</v>
      </c>
      <c r="C243" s="6" t="s">
        <v>705</v>
      </c>
      <c r="D243" s="11">
        <v>2019.0</v>
      </c>
      <c r="E243" s="11" t="s">
        <v>706</v>
      </c>
      <c r="F243" s="11" t="s">
        <v>14</v>
      </c>
      <c r="G243" s="11" t="s">
        <v>39</v>
      </c>
      <c r="H243" s="4"/>
      <c r="I243" s="4"/>
      <c r="J243" s="4"/>
      <c r="K243" s="4"/>
      <c r="L243" s="4"/>
      <c r="M243" s="4"/>
      <c r="N243" s="4"/>
      <c r="O243" s="4"/>
      <c r="P243" s="4"/>
      <c r="Q243" s="4"/>
      <c r="R243" s="4"/>
      <c r="S243" s="4"/>
      <c r="T243" s="4"/>
      <c r="U243" s="4"/>
      <c r="V243" s="4"/>
      <c r="W243" s="4"/>
      <c r="X243" s="4"/>
      <c r="Y243" s="4"/>
    </row>
    <row r="244">
      <c r="A244" s="11">
        <v>243.0</v>
      </c>
      <c r="B244" s="11" t="s">
        <v>707</v>
      </c>
      <c r="C244" s="6" t="s">
        <v>708</v>
      </c>
      <c r="D244" s="11">
        <v>2021.0</v>
      </c>
      <c r="E244" s="11" t="s">
        <v>706</v>
      </c>
      <c r="F244" s="11" t="s">
        <v>14</v>
      </c>
      <c r="G244" s="11" t="s">
        <v>39</v>
      </c>
      <c r="H244" s="4"/>
      <c r="I244" s="4"/>
      <c r="J244" s="4"/>
      <c r="K244" s="4"/>
      <c r="L244" s="4"/>
      <c r="M244" s="4"/>
      <c r="N244" s="4"/>
      <c r="O244" s="4"/>
      <c r="P244" s="4"/>
      <c r="Q244" s="4"/>
      <c r="R244" s="4"/>
      <c r="S244" s="4"/>
      <c r="T244" s="4"/>
      <c r="U244" s="4"/>
      <c r="V244" s="4"/>
      <c r="W244" s="4"/>
      <c r="X244" s="4"/>
      <c r="Y244" s="4"/>
    </row>
    <row r="245">
      <c r="A245" s="12">
        <v>244.0</v>
      </c>
      <c r="B245" s="11" t="s">
        <v>709</v>
      </c>
      <c r="C245" s="6" t="s">
        <v>710</v>
      </c>
      <c r="D245" s="11">
        <v>2025.0</v>
      </c>
      <c r="E245" s="11" t="s">
        <v>574</v>
      </c>
      <c r="F245" s="11" t="s">
        <v>14</v>
      </c>
      <c r="G245" s="11" t="s">
        <v>49</v>
      </c>
      <c r="H245" s="4"/>
      <c r="I245" s="4"/>
      <c r="J245" s="4"/>
      <c r="K245" s="4"/>
      <c r="L245" s="4"/>
      <c r="M245" s="4"/>
      <c r="N245" s="4"/>
      <c r="O245" s="4"/>
      <c r="P245" s="4"/>
      <c r="Q245" s="4"/>
      <c r="R245" s="4"/>
      <c r="S245" s="4"/>
      <c r="T245" s="4"/>
      <c r="U245" s="4"/>
      <c r="V245" s="4"/>
      <c r="W245" s="4"/>
      <c r="X245" s="4"/>
      <c r="Y245" s="4"/>
    </row>
    <row r="246">
      <c r="A246" s="11">
        <v>245.0</v>
      </c>
      <c r="B246" s="11" t="s">
        <v>711</v>
      </c>
      <c r="C246" s="6" t="s">
        <v>712</v>
      </c>
      <c r="D246" s="11">
        <v>2021.0</v>
      </c>
      <c r="E246" s="11" t="s">
        <v>713</v>
      </c>
      <c r="F246" s="11" t="s">
        <v>14</v>
      </c>
      <c r="G246" s="11" t="s">
        <v>39</v>
      </c>
      <c r="H246" s="4"/>
      <c r="I246" s="4"/>
      <c r="J246" s="4"/>
      <c r="K246" s="4"/>
      <c r="L246" s="4"/>
      <c r="M246" s="4"/>
      <c r="N246" s="4"/>
      <c r="O246" s="4"/>
      <c r="P246" s="4"/>
      <c r="Q246" s="4"/>
      <c r="R246" s="4"/>
      <c r="S246" s="4"/>
      <c r="T246" s="4"/>
      <c r="U246" s="4"/>
      <c r="V246" s="4"/>
      <c r="W246" s="4"/>
      <c r="X246" s="4"/>
      <c r="Y246" s="4"/>
    </row>
    <row r="247">
      <c r="A247" s="11">
        <v>246.0</v>
      </c>
      <c r="B247" s="11" t="s">
        <v>714</v>
      </c>
      <c r="C247" s="6" t="s">
        <v>715</v>
      </c>
      <c r="D247" s="11">
        <v>2022.0</v>
      </c>
      <c r="E247" s="11" t="s">
        <v>716</v>
      </c>
      <c r="F247" s="11" t="s">
        <v>14</v>
      </c>
      <c r="G247" s="11" t="s">
        <v>39</v>
      </c>
      <c r="H247" s="4"/>
      <c r="I247" s="4"/>
      <c r="J247" s="4"/>
      <c r="K247" s="4"/>
      <c r="L247" s="4"/>
      <c r="M247" s="4"/>
      <c r="N247" s="4"/>
      <c r="O247" s="4"/>
      <c r="P247" s="4"/>
      <c r="Q247" s="4"/>
      <c r="R247" s="4"/>
      <c r="S247" s="4"/>
      <c r="T247" s="4"/>
      <c r="U247" s="4"/>
      <c r="V247" s="4"/>
      <c r="W247" s="4"/>
      <c r="X247" s="4"/>
      <c r="Y247" s="4"/>
    </row>
    <row r="248">
      <c r="A248" s="12">
        <v>247.0</v>
      </c>
      <c r="B248" s="11" t="s">
        <v>717</v>
      </c>
      <c r="C248" s="6" t="s">
        <v>718</v>
      </c>
      <c r="D248" s="11">
        <v>2018.0</v>
      </c>
      <c r="E248" s="11" t="s">
        <v>719</v>
      </c>
      <c r="F248" s="11" t="s">
        <v>14</v>
      </c>
      <c r="G248" s="11" t="s">
        <v>39</v>
      </c>
      <c r="H248" s="4"/>
      <c r="I248" s="4"/>
      <c r="J248" s="4"/>
      <c r="K248" s="4"/>
      <c r="L248" s="4"/>
      <c r="M248" s="4"/>
      <c r="N248" s="4"/>
      <c r="O248" s="4"/>
      <c r="P248" s="4"/>
      <c r="Q248" s="4"/>
      <c r="R248" s="4"/>
      <c r="S248" s="4"/>
      <c r="T248" s="4"/>
      <c r="U248" s="4"/>
      <c r="V248" s="4"/>
      <c r="W248" s="4"/>
      <c r="X248" s="4"/>
      <c r="Y248" s="4"/>
    </row>
    <row r="249">
      <c r="A249" s="11">
        <v>248.0</v>
      </c>
      <c r="B249" s="11" t="s">
        <v>720</v>
      </c>
      <c r="C249" s="6" t="s">
        <v>721</v>
      </c>
      <c r="D249" s="11">
        <v>2024.0</v>
      </c>
      <c r="E249" s="11" t="s">
        <v>580</v>
      </c>
      <c r="F249" s="11" t="s">
        <v>14</v>
      </c>
      <c r="G249" s="11" t="s">
        <v>49</v>
      </c>
      <c r="H249" s="4"/>
      <c r="I249" s="4"/>
      <c r="J249" s="4"/>
      <c r="K249" s="4"/>
      <c r="L249" s="4"/>
      <c r="M249" s="4"/>
      <c r="N249" s="4"/>
      <c r="O249" s="4"/>
      <c r="P249" s="4"/>
      <c r="Q249" s="4"/>
      <c r="R249" s="4"/>
      <c r="S249" s="4"/>
      <c r="T249" s="4"/>
      <c r="U249" s="4"/>
      <c r="V249" s="4"/>
      <c r="W249" s="4"/>
      <c r="X249" s="4"/>
      <c r="Y249" s="4"/>
    </row>
    <row r="250">
      <c r="A250" s="11">
        <v>249.0</v>
      </c>
      <c r="B250" s="11" t="s">
        <v>722</v>
      </c>
      <c r="C250" s="6" t="s">
        <v>723</v>
      </c>
      <c r="D250" s="11">
        <v>2025.0</v>
      </c>
      <c r="E250" s="11" t="s">
        <v>574</v>
      </c>
      <c r="F250" s="11" t="s">
        <v>14</v>
      </c>
      <c r="G250" s="11" t="s">
        <v>49</v>
      </c>
      <c r="H250" s="4"/>
      <c r="I250" s="4"/>
      <c r="J250" s="4"/>
      <c r="K250" s="4"/>
      <c r="L250" s="4"/>
      <c r="M250" s="4"/>
      <c r="N250" s="4"/>
      <c r="O250" s="4"/>
      <c r="P250" s="4"/>
      <c r="Q250" s="4"/>
      <c r="R250" s="4"/>
      <c r="S250" s="4"/>
      <c r="T250" s="4"/>
      <c r="U250" s="4"/>
      <c r="V250" s="4"/>
      <c r="W250" s="4"/>
      <c r="X250" s="4"/>
      <c r="Y250" s="4"/>
    </row>
    <row r="251">
      <c r="A251" s="12">
        <v>250.0</v>
      </c>
      <c r="B251" s="11" t="s">
        <v>724</v>
      </c>
      <c r="C251" s="6" t="s">
        <v>725</v>
      </c>
      <c r="D251" s="11">
        <v>2024.0</v>
      </c>
      <c r="E251" s="11" t="s">
        <v>726</v>
      </c>
      <c r="F251" s="11" t="s">
        <v>14</v>
      </c>
      <c r="G251" s="11" t="s">
        <v>39</v>
      </c>
      <c r="H251" s="4"/>
      <c r="I251" s="4"/>
      <c r="J251" s="4"/>
      <c r="K251" s="4"/>
      <c r="L251" s="4"/>
      <c r="M251" s="4"/>
      <c r="N251" s="4"/>
      <c r="O251" s="4"/>
      <c r="P251" s="4"/>
      <c r="Q251" s="4"/>
      <c r="R251" s="4"/>
      <c r="S251" s="4"/>
      <c r="T251" s="4"/>
      <c r="U251" s="4"/>
      <c r="V251" s="4"/>
      <c r="W251" s="4"/>
      <c r="X251" s="4"/>
      <c r="Y251" s="4"/>
    </row>
    <row r="252">
      <c r="A252" s="11">
        <v>251.0</v>
      </c>
      <c r="B252" s="11" t="s">
        <v>727</v>
      </c>
      <c r="C252" s="6" t="s">
        <v>728</v>
      </c>
      <c r="D252" s="11">
        <v>2019.0</v>
      </c>
      <c r="E252" s="11" t="s">
        <v>580</v>
      </c>
      <c r="F252" s="11" t="s">
        <v>14</v>
      </c>
      <c r="G252" s="11" t="s">
        <v>49</v>
      </c>
      <c r="H252" s="4"/>
      <c r="I252" s="4"/>
      <c r="J252" s="4"/>
      <c r="K252" s="4"/>
      <c r="L252" s="4"/>
      <c r="M252" s="4"/>
      <c r="N252" s="4"/>
      <c r="O252" s="4"/>
      <c r="P252" s="4"/>
      <c r="Q252" s="4"/>
      <c r="R252" s="4"/>
      <c r="S252" s="4"/>
      <c r="T252" s="4"/>
      <c r="U252" s="4"/>
      <c r="V252" s="4"/>
      <c r="W252" s="4"/>
      <c r="X252" s="4"/>
      <c r="Y252" s="4"/>
    </row>
    <row r="253">
      <c r="A253" s="11">
        <v>252.0</v>
      </c>
      <c r="B253" s="11" t="s">
        <v>729</v>
      </c>
      <c r="C253" s="6" t="s">
        <v>730</v>
      </c>
      <c r="D253" s="11">
        <v>2021.0</v>
      </c>
      <c r="E253" s="11" t="s">
        <v>574</v>
      </c>
      <c r="F253" s="11" t="s">
        <v>14</v>
      </c>
      <c r="G253" s="11" t="s">
        <v>49</v>
      </c>
      <c r="H253" s="4"/>
      <c r="I253" s="4"/>
      <c r="J253" s="4"/>
      <c r="K253" s="4"/>
      <c r="L253" s="4"/>
      <c r="M253" s="4"/>
      <c r="N253" s="4"/>
      <c r="O253" s="4"/>
      <c r="P253" s="4"/>
      <c r="Q253" s="4"/>
      <c r="R253" s="4"/>
      <c r="S253" s="4"/>
      <c r="T253" s="4"/>
      <c r="U253" s="4"/>
      <c r="V253" s="4"/>
      <c r="W253" s="4"/>
      <c r="X253" s="4"/>
      <c r="Y253" s="4"/>
    </row>
    <row r="254">
      <c r="A254" s="12">
        <v>253.0</v>
      </c>
      <c r="B254" s="11" t="s">
        <v>731</v>
      </c>
      <c r="C254" s="6" t="s">
        <v>732</v>
      </c>
      <c r="D254" s="11">
        <v>2020.0</v>
      </c>
      <c r="E254" s="11" t="s">
        <v>574</v>
      </c>
      <c r="F254" s="11" t="s">
        <v>14</v>
      </c>
      <c r="G254" s="11" t="s">
        <v>49</v>
      </c>
      <c r="H254" s="4"/>
      <c r="I254" s="4"/>
      <c r="J254" s="4"/>
      <c r="K254" s="4"/>
      <c r="L254" s="4"/>
      <c r="M254" s="4"/>
      <c r="N254" s="4"/>
      <c r="O254" s="4"/>
      <c r="P254" s="4"/>
      <c r="Q254" s="4"/>
      <c r="R254" s="4"/>
      <c r="S254" s="4"/>
      <c r="T254" s="4"/>
      <c r="U254" s="4"/>
      <c r="V254" s="4"/>
      <c r="W254" s="4"/>
      <c r="X254" s="4"/>
      <c r="Y254" s="4"/>
    </row>
    <row r="255">
      <c r="A255" s="11">
        <v>254.0</v>
      </c>
      <c r="B255" s="11" t="s">
        <v>733</v>
      </c>
      <c r="C255" s="6" t="s">
        <v>734</v>
      </c>
      <c r="D255" s="11">
        <v>2025.0</v>
      </c>
      <c r="E255" s="11" t="s">
        <v>596</v>
      </c>
      <c r="F255" s="11" t="s">
        <v>14</v>
      </c>
      <c r="G255" s="11" t="s">
        <v>49</v>
      </c>
      <c r="H255" s="4"/>
      <c r="I255" s="4"/>
      <c r="J255" s="4"/>
      <c r="K255" s="4"/>
      <c r="L255" s="4"/>
      <c r="M255" s="4"/>
      <c r="N255" s="4"/>
      <c r="O255" s="4"/>
      <c r="P255" s="4"/>
      <c r="Q255" s="4"/>
      <c r="R255" s="4"/>
      <c r="S255" s="4"/>
      <c r="T255" s="4"/>
      <c r="U255" s="4"/>
      <c r="V255" s="4"/>
      <c r="W255" s="4"/>
      <c r="X255" s="4"/>
      <c r="Y255" s="4"/>
    </row>
    <row r="256">
      <c r="A256" s="11">
        <v>255.0</v>
      </c>
      <c r="B256" s="11" t="s">
        <v>735</v>
      </c>
      <c r="C256" s="6" t="s">
        <v>736</v>
      </c>
      <c r="D256" s="11">
        <v>2025.0</v>
      </c>
      <c r="E256" s="11" t="s">
        <v>737</v>
      </c>
      <c r="F256" s="11" t="s">
        <v>14</v>
      </c>
      <c r="G256" s="11" t="s">
        <v>49</v>
      </c>
      <c r="H256" s="4"/>
      <c r="I256" s="4"/>
      <c r="J256" s="4"/>
      <c r="K256" s="4"/>
      <c r="L256" s="4"/>
      <c r="M256" s="4"/>
      <c r="N256" s="4"/>
      <c r="O256" s="4"/>
      <c r="P256" s="4"/>
      <c r="Q256" s="4"/>
      <c r="R256" s="4"/>
      <c r="S256" s="4"/>
      <c r="T256" s="4"/>
      <c r="U256" s="4"/>
      <c r="V256" s="4"/>
      <c r="W256" s="4"/>
      <c r="X256" s="4"/>
      <c r="Y256" s="4"/>
    </row>
    <row r="257">
      <c r="A257" s="12">
        <v>256.0</v>
      </c>
      <c r="B257" s="11" t="s">
        <v>738</v>
      </c>
      <c r="C257" s="6" t="s">
        <v>739</v>
      </c>
      <c r="D257" s="11">
        <v>2022.0</v>
      </c>
      <c r="E257" s="11" t="s">
        <v>740</v>
      </c>
      <c r="F257" s="11" t="s">
        <v>14</v>
      </c>
      <c r="G257" s="11" t="s">
        <v>39</v>
      </c>
      <c r="H257" s="4"/>
      <c r="I257" s="4"/>
      <c r="J257" s="4"/>
      <c r="K257" s="4"/>
      <c r="L257" s="4"/>
      <c r="M257" s="4"/>
      <c r="N257" s="4"/>
      <c r="O257" s="4"/>
      <c r="P257" s="4"/>
      <c r="Q257" s="4"/>
      <c r="R257" s="4"/>
      <c r="S257" s="4"/>
      <c r="T257" s="4"/>
      <c r="U257" s="4"/>
      <c r="V257" s="4"/>
      <c r="W257" s="4"/>
      <c r="X257" s="4"/>
      <c r="Y257" s="4"/>
    </row>
    <row r="258">
      <c r="A258" s="11">
        <v>257.0</v>
      </c>
      <c r="B258" s="11" t="s">
        <v>741</v>
      </c>
      <c r="C258" s="6" t="s">
        <v>742</v>
      </c>
      <c r="D258" s="11">
        <v>2024.0</v>
      </c>
      <c r="E258" s="11" t="s">
        <v>743</v>
      </c>
      <c r="F258" s="11" t="s">
        <v>14</v>
      </c>
      <c r="G258" s="11" t="s">
        <v>39</v>
      </c>
      <c r="H258" s="4"/>
      <c r="I258" s="4"/>
      <c r="J258" s="4"/>
      <c r="K258" s="4"/>
      <c r="L258" s="4"/>
      <c r="M258" s="4"/>
      <c r="N258" s="4"/>
      <c r="O258" s="4"/>
      <c r="P258" s="4"/>
      <c r="Q258" s="4"/>
      <c r="R258" s="4"/>
      <c r="S258" s="4"/>
      <c r="T258" s="4"/>
      <c r="U258" s="4"/>
      <c r="V258" s="4"/>
      <c r="W258" s="4"/>
      <c r="X258" s="4"/>
      <c r="Y258" s="4"/>
    </row>
    <row r="259">
      <c r="A259" s="11">
        <v>258.0</v>
      </c>
      <c r="B259" s="11" t="s">
        <v>744</v>
      </c>
      <c r="C259" s="6" t="s">
        <v>745</v>
      </c>
      <c r="D259" s="11">
        <v>2021.0</v>
      </c>
      <c r="E259" s="11" t="s">
        <v>565</v>
      </c>
      <c r="F259" s="11" t="s">
        <v>14</v>
      </c>
      <c r="G259" s="11" t="s">
        <v>49</v>
      </c>
      <c r="H259" s="4"/>
      <c r="I259" s="4"/>
      <c r="J259" s="4"/>
      <c r="K259" s="4"/>
      <c r="L259" s="4"/>
      <c r="M259" s="4"/>
      <c r="N259" s="4"/>
      <c r="O259" s="4"/>
      <c r="P259" s="4"/>
      <c r="Q259" s="4"/>
      <c r="R259" s="4"/>
      <c r="S259" s="4"/>
      <c r="T259" s="4"/>
      <c r="U259" s="4"/>
      <c r="V259" s="4"/>
      <c r="W259" s="4"/>
      <c r="X259" s="4"/>
      <c r="Y259" s="4"/>
    </row>
    <row r="260">
      <c r="A260" s="12">
        <v>259.0</v>
      </c>
      <c r="B260" s="11" t="s">
        <v>746</v>
      </c>
      <c r="C260" s="6" t="s">
        <v>747</v>
      </c>
      <c r="D260" s="11">
        <v>2023.0</v>
      </c>
      <c r="E260" s="11" t="s">
        <v>748</v>
      </c>
      <c r="F260" s="11" t="s">
        <v>14</v>
      </c>
      <c r="G260" s="11" t="s">
        <v>39</v>
      </c>
      <c r="H260" s="4"/>
      <c r="I260" s="4"/>
      <c r="J260" s="4"/>
      <c r="K260" s="4"/>
      <c r="L260" s="4"/>
      <c r="M260" s="4"/>
      <c r="N260" s="4"/>
      <c r="O260" s="4"/>
      <c r="P260" s="4"/>
      <c r="Q260" s="4"/>
      <c r="R260" s="4"/>
      <c r="S260" s="4"/>
      <c r="T260" s="4"/>
      <c r="U260" s="4"/>
      <c r="V260" s="4"/>
      <c r="W260" s="4"/>
      <c r="X260" s="4"/>
      <c r="Y260" s="4"/>
    </row>
    <row r="261">
      <c r="A261" s="11">
        <v>260.0</v>
      </c>
      <c r="B261" s="11" t="s">
        <v>749</v>
      </c>
      <c r="C261" s="6" t="s">
        <v>750</v>
      </c>
      <c r="D261" s="11">
        <v>2023.0</v>
      </c>
      <c r="E261" s="11" t="s">
        <v>659</v>
      </c>
      <c r="F261" s="11" t="s">
        <v>14</v>
      </c>
      <c r="G261" s="11" t="s">
        <v>39</v>
      </c>
      <c r="H261" s="4"/>
      <c r="I261" s="4"/>
      <c r="J261" s="4"/>
      <c r="K261" s="4"/>
      <c r="L261" s="4"/>
      <c r="M261" s="4"/>
      <c r="N261" s="4"/>
      <c r="O261" s="4"/>
      <c r="P261" s="4"/>
      <c r="Q261" s="4"/>
      <c r="R261" s="4"/>
      <c r="S261" s="4"/>
      <c r="T261" s="4"/>
      <c r="U261" s="4"/>
      <c r="V261" s="4"/>
      <c r="W261" s="4"/>
      <c r="X261" s="4"/>
      <c r="Y261" s="4"/>
    </row>
    <row r="262">
      <c r="A262" s="11">
        <v>261.0</v>
      </c>
      <c r="B262" s="11" t="s">
        <v>751</v>
      </c>
      <c r="C262" s="6" t="s">
        <v>752</v>
      </c>
      <c r="D262" s="11">
        <v>2021.0</v>
      </c>
      <c r="E262" s="11" t="s">
        <v>580</v>
      </c>
      <c r="F262" s="11" t="s">
        <v>14</v>
      </c>
      <c r="G262" s="11" t="s">
        <v>49</v>
      </c>
      <c r="H262" s="4"/>
      <c r="I262" s="4"/>
      <c r="J262" s="4"/>
      <c r="K262" s="4"/>
      <c r="L262" s="4"/>
      <c r="M262" s="4"/>
      <c r="N262" s="4"/>
      <c r="O262" s="4"/>
      <c r="P262" s="4"/>
      <c r="Q262" s="4"/>
      <c r="R262" s="4"/>
      <c r="S262" s="4"/>
      <c r="T262" s="4"/>
      <c r="U262" s="4"/>
      <c r="V262" s="4"/>
      <c r="W262" s="4"/>
      <c r="X262" s="4"/>
      <c r="Y262" s="4"/>
    </row>
    <row r="263">
      <c r="A263" s="12">
        <v>262.0</v>
      </c>
      <c r="B263" s="11" t="s">
        <v>753</v>
      </c>
      <c r="C263" s="6" t="s">
        <v>754</v>
      </c>
      <c r="D263" s="11">
        <v>2023.0</v>
      </c>
      <c r="E263" s="11" t="s">
        <v>755</v>
      </c>
      <c r="F263" s="11" t="s">
        <v>14</v>
      </c>
      <c r="G263" s="11" t="s">
        <v>49</v>
      </c>
      <c r="H263" s="4"/>
      <c r="I263" s="4"/>
      <c r="J263" s="4"/>
      <c r="K263" s="4"/>
      <c r="L263" s="4"/>
      <c r="M263" s="4"/>
      <c r="N263" s="4"/>
      <c r="O263" s="4"/>
      <c r="P263" s="4"/>
      <c r="Q263" s="4"/>
      <c r="R263" s="4"/>
      <c r="S263" s="4"/>
      <c r="T263" s="4"/>
      <c r="U263" s="4"/>
      <c r="V263" s="4"/>
      <c r="W263" s="4"/>
      <c r="X263" s="4"/>
      <c r="Y263" s="4"/>
    </row>
    <row r="264">
      <c r="A264" s="11">
        <v>263.0</v>
      </c>
      <c r="B264" s="11" t="s">
        <v>756</v>
      </c>
      <c r="C264" s="6" t="s">
        <v>757</v>
      </c>
      <c r="D264" s="11">
        <v>2022.0</v>
      </c>
      <c r="E264" s="11" t="s">
        <v>625</v>
      </c>
      <c r="F264" s="11" t="s">
        <v>14</v>
      </c>
      <c r="G264" s="11" t="s">
        <v>49</v>
      </c>
      <c r="H264" s="4"/>
      <c r="I264" s="4"/>
      <c r="J264" s="4"/>
      <c r="K264" s="4"/>
      <c r="L264" s="4"/>
      <c r="M264" s="4"/>
      <c r="N264" s="4"/>
      <c r="O264" s="4"/>
      <c r="P264" s="4"/>
      <c r="Q264" s="4"/>
      <c r="R264" s="4"/>
      <c r="S264" s="4"/>
      <c r="T264" s="4"/>
      <c r="U264" s="4"/>
      <c r="V264" s="4"/>
      <c r="W264" s="4"/>
      <c r="X264" s="4"/>
      <c r="Y264" s="4"/>
    </row>
    <row r="265">
      <c r="A265" s="11">
        <v>264.0</v>
      </c>
      <c r="B265" s="11" t="s">
        <v>758</v>
      </c>
      <c r="C265" s="6" t="s">
        <v>759</v>
      </c>
      <c r="D265" s="11">
        <v>2016.0</v>
      </c>
      <c r="E265" s="11" t="s">
        <v>760</v>
      </c>
      <c r="F265" s="11" t="s">
        <v>14</v>
      </c>
      <c r="G265" s="11" t="s">
        <v>39</v>
      </c>
      <c r="H265" s="4"/>
      <c r="I265" s="4"/>
      <c r="J265" s="4"/>
      <c r="K265" s="4"/>
      <c r="L265" s="4"/>
      <c r="M265" s="4"/>
      <c r="N265" s="4"/>
      <c r="O265" s="4"/>
      <c r="P265" s="4"/>
      <c r="Q265" s="4"/>
      <c r="R265" s="4"/>
      <c r="S265" s="4"/>
      <c r="T265" s="4"/>
      <c r="U265" s="4"/>
      <c r="V265" s="4"/>
      <c r="W265" s="4"/>
      <c r="X265" s="4"/>
      <c r="Y265" s="4"/>
    </row>
    <row r="266">
      <c r="A266" s="12">
        <v>265.0</v>
      </c>
      <c r="B266" s="11" t="s">
        <v>761</v>
      </c>
      <c r="C266" s="6" t="s">
        <v>762</v>
      </c>
      <c r="D266" s="11">
        <v>2016.0</v>
      </c>
      <c r="E266" s="11" t="s">
        <v>763</v>
      </c>
      <c r="F266" s="11" t="s">
        <v>14</v>
      </c>
      <c r="G266" s="11" t="s">
        <v>49</v>
      </c>
      <c r="H266" s="4"/>
      <c r="I266" s="4"/>
      <c r="J266" s="4"/>
      <c r="K266" s="4"/>
      <c r="L266" s="4"/>
      <c r="M266" s="4"/>
      <c r="N266" s="4"/>
      <c r="O266" s="4"/>
      <c r="P266" s="4"/>
      <c r="Q266" s="4"/>
      <c r="R266" s="4"/>
      <c r="S266" s="4"/>
      <c r="T266" s="4"/>
      <c r="U266" s="4"/>
      <c r="V266" s="4"/>
      <c r="W266" s="4"/>
      <c r="X266" s="4"/>
      <c r="Y266" s="4"/>
    </row>
    <row r="267">
      <c r="A267" s="11">
        <v>266.0</v>
      </c>
      <c r="B267" s="11" t="s">
        <v>764</v>
      </c>
      <c r="C267" s="6" t="s">
        <v>765</v>
      </c>
      <c r="D267" s="11">
        <v>2023.0</v>
      </c>
      <c r="E267" s="11" t="s">
        <v>766</v>
      </c>
      <c r="F267" s="11" t="s">
        <v>14</v>
      </c>
      <c r="G267" s="11" t="s">
        <v>49</v>
      </c>
      <c r="H267" s="4"/>
      <c r="I267" s="4"/>
      <c r="J267" s="4"/>
      <c r="K267" s="4"/>
      <c r="L267" s="4"/>
      <c r="M267" s="4"/>
      <c r="N267" s="4"/>
      <c r="O267" s="4"/>
      <c r="P267" s="4"/>
      <c r="Q267" s="4"/>
      <c r="R267" s="4"/>
      <c r="S267" s="4"/>
      <c r="T267" s="4"/>
      <c r="U267" s="4"/>
      <c r="V267" s="4"/>
      <c r="W267" s="4"/>
      <c r="X267" s="4"/>
      <c r="Y267" s="4"/>
    </row>
    <row r="268">
      <c r="A268" s="11">
        <v>267.0</v>
      </c>
      <c r="B268" s="11" t="s">
        <v>767</v>
      </c>
      <c r="C268" s="6" t="s">
        <v>768</v>
      </c>
      <c r="D268" s="11">
        <v>2023.0</v>
      </c>
      <c r="E268" s="11" t="s">
        <v>769</v>
      </c>
      <c r="F268" s="11" t="s">
        <v>14</v>
      </c>
      <c r="G268" s="11" t="s">
        <v>39</v>
      </c>
      <c r="H268" s="4"/>
      <c r="I268" s="4"/>
      <c r="J268" s="4"/>
      <c r="K268" s="4"/>
      <c r="L268" s="4"/>
      <c r="M268" s="4"/>
      <c r="N268" s="4"/>
      <c r="O268" s="4"/>
      <c r="P268" s="4"/>
      <c r="Q268" s="4"/>
      <c r="R268" s="4"/>
      <c r="S268" s="4"/>
      <c r="T268" s="4"/>
      <c r="U268" s="4"/>
      <c r="V268" s="4"/>
      <c r="W268" s="4"/>
      <c r="X268" s="4"/>
      <c r="Y268" s="4"/>
    </row>
    <row r="269">
      <c r="A269" s="12">
        <v>268.0</v>
      </c>
      <c r="B269" s="11" t="s">
        <v>770</v>
      </c>
      <c r="C269" s="6" t="s">
        <v>771</v>
      </c>
      <c r="D269" s="11">
        <v>2025.0</v>
      </c>
      <c r="E269" s="11" t="s">
        <v>580</v>
      </c>
      <c r="F269" s="11" t="s">
        <v>14</v>
      </c>
      <c r="G269" s="11" t="s">
        <v>49</v>
      </c>
      <c r="H269" s="4"/>
      <c r="I269" s="4"/>
      <c r="J269" s="4"/>
      <c r="K269" s="4"/>
      <c r="L269" s="4"/>
      <c r="M269" s="4"/>
      <c r="N269" s="4"/>
      <c r="O269" s="4"/>
      <c r="P269" s="4"/>
      <c r="Q269" s="4"/>
      <c r="R269" s="4"/>
      <c r="S269" s="4"/>
      <c r="T269" s="4"/>
      <c r="U269" s="4"/>
      <c r="V269" s="4"/>
      <c r="W269" s="4"/>
      <c r="X269" s="4"/>
      <c r="Y269" s="4"/>
    </row>
    <row r="270">
      <c r="A270" s="11">
        <v>269.0</v>
      </c>
      <c r="B270" s="11" t="s">
        <v>772</v>
      </c>
      <c r="C270" s="6" t="s">
        <v>773</v>
      </c>
      <c r="D270" s="11">
        <v>2025.0</v>
      </c>
      <c r="E270" s="11" t="s">
        <v>596</v>
      </c>
      <c r="F270" s="11" t="s">
        <v>14</v>
      </c>
      <c r="G270" s="11" t="s">
        <v>49</v>
      </c>
      <c r="H270" s="4"/>
      <c r="I270" s="4"/>
      <c r="J270" s="4"/>
      <c r="K270" s="4"/>
      <c r="L270" s="4"/>
      <c r="M270" s="4"/>
      <c r="N270" s="4"/>
      <c r="O270" s="4"/>
      <c r="P270" s="4"/>
      <c r="Q270" s="4"/>
      <c r="R270" s="4"/>
      <c r="S270" s="4"/>
      <c r="T270" s="4"/>
      <c r="U270" s="4"/>
      <c r="V270" s="4"/>
      <c r="W270" s="4"/>
      <c r="X270" s="4"/>
      <c r="Y270" s="4"/>
    </row>
    <row r="271">
      <c r="A271" s="11">
        <v>270.0</v>
      </c>
      <c r="B271" s="11" t="s">
        <v>774</v>
      </c>
      <c r="C271" s="6" t="s">
        <v>775</v>
      </c>
      <c r="D271" s="11">
        <v>2023.0</v>
      </c>
      <c r="E271" s="11" t="s">
        <v>776</v>
      </c>
      <c r="F271" s="11" t="s">
        <v>14</v>
      </c>
      <c r="G271" s="11" t="s">
        <v>39</v>
      </c>
      <c r="H271" s="4"/>
      <c r="I271" s="4"/>
      <c r="J271" s="4"/>
      <c r="K271" s="4"/>
      <c r="L271" s="4"/>
      <c r="M271" s="4"/>
      <c r="N271" s="4"/>
      <c r="O271" s="4"/>
      <c r="P271" s="4"/>
      <c r="Q271" s="4"/>
      <c r="R271" s="4"/>
      <c r="S271" s="4"/>
      <c r="T271" s="4"/>
      <c r="U271" s="4"/>
      <c r="V271" s="4"/>
      <c r="W271" s="4"/>
      <c r="X271" s="4"/>
      <c r="Y271" s="4"/>
    </row>
    <row r="272">
      <c r="A272" s="12">
        <v>271.0</v>
      </c>
      <c r="B272" s="11" t="s">
        <v>777</v>
      </c>
      <c r="C272" s="6" t="s">
        <v>778</v>
      </c>
      <c r="D272" s="11">
        <v>2015.0</v>
      </c>
      <c r="E272" s="11" t="s">
        <v>779</v>
      </c>
      <c r="F272" s="11" t="s">
        <v>14</v>
      </c>
      <c r="G272" s="11" t="s">
        <v>39</v>
      </c>
      <c r="H272" s="4"/>
      <c r="I272" s="4"/>
      <c r="J272" s="4"/>
      <c r="K272" s="4"/>
      <c r="L272" s="4"/>
      <c r="M272" s="4"/>
      <c r="N272" s="4"/>
      <c r="O272" s="4"/>
      <c r="P272" s="4"/>
      <c r="Q272" s="4"/>
      <c r="R272" s="4"/>
      <c r="S272" s="4"/>
      <c r="T272" s="4"/>
      <c r="U272" s="4"/>
      <c r="V272" s="4"/>
      <c r="W272" s="4"/>
      <c r="X272" s="4"/>
      <c r="Y272" s="4"/>
    </row>
    <row r="273">
      <c r="A273" s="11">
        <v>272.0</v>
      </c>
      <c r="B273" s="11" t="s">
        <v>780</v>
      </c>
      <c r="C273" s="6" t="s">
        <v>781</v>
      </c>
      <c r="D273" s="11">
        <v>2016.0</v>
      </c>
      <c r="E273" s="11" t="s">
        <v>782</v>
      </c>
      <c r="F273" s="11" t="s">
        <v>14</v>
      </c>
      <c r="G273" s="11" t="s">
        <v>39</v>
      </c>
      <c r="H273" s="4"/>
      <c r="I273" s="4"/>
      <c r="J273" s="4"/>
      <c r="K273" s="4"/>
      <c r="L273" s="4"/>
      <c r="M273" s="4"/>
      <c r="N273" s="4"/>
      <c r="O273" s="4"/>
      <c r="P273" s="4"/>
      <c r="Q273" s="4"/>
      <c r="R273" s="4"/>
      <c r="S273" s="4"/>
      <c r="T273" s="4"/>
      <c r="U273" s="4"/>
      <c r="V273" s="4"/>
      <c r="W273" s="4"/>
      <c r="X273" s="4"/>
      <c r="Y273" s="4"/>
    </row>
    <row r="274">
      <c r="A274" s="11">
        <v>273.0</v>
      </c>
      <c r="B274" s="11" t="s">
        <v>783</v>
      </c>
      <c r="C274" s="6" t="s">
        <v>784</v>
      </c>
      <c r="D274" s="11">
        <v>2022.0</v>
      </c>
      <c r="E274" s="11" t="s">
        <v>785</v>
      </c>
      <c r="F274" s="11" t="s">
        <v>14</v>
      </c>
      <c r="G274" s="11" t="s">
        <v>49</v>
      </c>
      <c r="H274" s="4"/>
      <c r="I274" s="4"/>
      <c r="J274" s="4"/>
      <c r="K274" s="4"/>
      <c r="L274" s="4"/>
      <c r="M274" s="4"/>
      <c r="N274" s="4"/>
      <c r="O274" s="4"/>
      <c r="P274" s="4"/>
      <c r="Q274" s="4"/>
      <c r="R274" s="4"/>
      <c r="S274" s="4"/>
      <c r="T274" s="4"/>
      <c r="U274" s="4"/>
      <c r="V274" s="4"/>
      <c r="W274" s="4"/>
      <c r="X274" s="4"/>
      <c r="Y274" s="4"/>
    </row>
    <row r="275">
      <c r="A275" s="12">
        <v>274.0</v>
      </c>
      <c r="B275" s="11" t="s">
        <v>786</v>
      </c>
      <c r="C275" s="6" t="s">
        <v>787</v>
      </c>
      <c r="D275" s="11">
        <v>2017.0</v>
      </c>
      <c r="E275" s="11" t="s">
        <v>788</v>
      </c>
      <c r="F275" s="11" t="s">
        <v>14</v>
      </c>
      <c r="G275" s="11" t="s">
        <v>39</v>
      </c>
      <c r="H275" s="4"/>
      <c r="I275" s="4"/>
      <c r="J275" s="4"/>
      <c r="K275" s="4"/>
      <c r="L275" s="4"/>
      <c r="M275" s="4"/>
      <c r="N275" s="4"/>
      <c r="O275" s="4"/>
      <c r="P275" s="4"/>
      <c r="Q275" s="4"/>
      <c r="R275" s="4"/>
      <c r="S275" s="4"/>
      <c r="T275" s="4"/>
      <c r="U275" s="4"/>
      <c r="V275" s="4"/>
      <c r="W275" s="4"/>
      <c r="X275" s="4"/>
      <c r="Y275" s="4"/>
    </row>
    <row r="276">
      <c r="A276" s="11">
        <v>275.0</v>
      </c>
      <c r="B276" s="11" t="s">
        <v>789</v>
      </c>
      <c r="C276" s="6" t="s">
        <v>790</v>
      </c>
      <c r="D276" s="11">
        <v>2025.0</v>
      </c>
      <c r="E276" s="11" t="s">
        <v>580</v>
      </c>
      <c r="F276" s="11" t="s">
        <v>14</v>
      </c>
      <c r="G276" s="11" t="s">
        <v>49</v>
      </c>
      <c r="H276" s="4"/>
      <c r="I276" s="4"/>
      <c r="J276" s="4"/>
      <c r="K276" s="4"/>
      <c r="L276" s="4"/>
      <c r="M276" s="4"/>
      <c r="N276" s="4"/>
      <c r="O276" s="4"/>
      <c r="P276" s="4"/>
      <c r="Q276" s="4"/>
      <c r="R276" s="4"/>
      <c r="S276" s="4"/>
      <c r="T276" s="4"/>
      <c r="U276" s="4"/>
      <c r="V276" s="4"/>
      <c r="W276" s="4"/>
      <c r="X276" s="4"/>
      <c r="Y276" s="4"/>
    </row>
    <row r="277">
      <c r="A277" s="11">
        <v>276.0</v>
      </c>
      <c r="B277" s="11" t="s">
        <v>791</v>
      </c>
      <c r="C277" s="6" t="s">
        <v>792</v>
      </c>
      <c r="D277" s="11">
        <v>2019.0</v>
      </c>
      <c r="E277" s="11" t="s">
        <v>793</v>
      </c>
      <c r="F277" s="11" t="s">
        <v>14</v>
      </c>
      <c r="G277" s="11" t="s">
        <v>39</v>
      </c>
      <c r="H277" s="4"/>
      <c r="I277" s="4"/>
      <c r="J277" s="4"/>
      <c r="K277" s="4"/>
      <c r="L277" s="4"/>
      <c r="M277" s="4"/>
      <c r="N277" s="4"/>
      <c r="O277" s="4"/>
      <c r="P277" s="4"/>
      <c r="Q277" s="4"/>
      <c r="R277" s="4"/>
      <c r="S277" s="4"/>
      <c r="T277" s="4"/>
      <c r="U277" s="4"/>
      <c r="V277" s="4"/>
      <c r="W277" s="4"/>
      <c r="X277" s="4"/>
      <c r="Y277" s="4"/>
    </row>
    <row r="278">
      <c r="A278" s="12">
        <v>277.0</v>
      </c>
      <c r="B278" s="11" t="s">
        <v>794</v>
      </c>
      <c r="C278" s="6" t="s">
        <v>795</v>
      </c>
      <c r="D278" s="11">
        <v>2022.0</v>
      </c>
      <c r="E278" s="11" t="s">
        <v>796</v>
      </c>
      <c r="F278" s="11" t="s">
        <v>14</v>
      </c>
      <c r="G278" s="11" t="s">
        <v>39</v>
      </c>
      <c r="H278" s="4"/>
      <c r="I278" s="4"/>
      <c r="J278" s="4"/>
      <c r="K278" s="4"/>
      <c r="L278" s="4"/>
      <c r="M278" s="4"/>
      <c r="N278" s="4"/>
      <c r="O278" s="4"/>
      <c r="P278" s="4"/>
      <c r="Q278" s="4"/>
      <c r="R278" s="4"/>
      <c r="S278" s="4"/>
      <c r="T278" s="4"/>
      <c r="U278" s="4"/>
      <c r="V278" s="4"/>
      <c r="W278" s="4"/>
      <c r="X278" s="4"/>
      <c r="Y278" s="4"/>
    </row>
    <row r="279">
      <c r="A279" s="11">
        <v>278.0</v>
      </c>
      <c r="B279" s="11" t="s">
        <v>797</v>
      </c>
      <c r="C279" s="6" t="s">
        <v>798</v>
      </c>
      <c r="D279" s="11">
        <v>2021.0</v>
      </c>
      <c r="E279" s="11" t="s">
        <v>799</v>
      </c>
      <c r="F279" s="11" t="s">
        <v>14</v>
      </c>
      <c r="G279" s="11" t="s">
        <v>39</v>
      </c>
      <c r="H279" s="4"/>
      <c r="I279" s="4"/>
      <c r="J279" s="4"/>
      <c r="K279" s="4"/>
      <c r="L279" s="4"/>
      <c r="M279" s="4"/>
      <c r="N279" s="4"/>
      <c r="O279" s="4"/>
      <c r="P279" s="4"/>
      <c r="Q279" s="4"/>
      <c r="R279" s="4"/>
      <c r="S279" s="4"/>
      <c r="T279" s="4"/>
      <c r="U279" s="4"/>
      <c r="V279" s="4"/>
      <c r="W279" s="4"/>
      <c r="X279" s="4"/>
      <c r="Y279" s="4"/>
    </row>
    <row r="280">
      <c r="A280" s="11">
        <v>279.0</v>
      </c>
      <c r="B280" s="11" t="s">
        <v>800</v>
      </c>
      <c r="C280" s="6" t="s">
        <v>801</v>
      </c>
      <c r="D280" s="11">
        <v>2021.0</v>
      </c>
      <c r="E280" s="11" t="s">
        <v>580</v>
      </c>
      <c r="F280" s="11" t="s">
        <v>14</v>
      </c>
      <c r="G280" s="11" t="s">
        <v>49</v>
      </c>
      <c r="H280" s="4"/>
      <c r="I280" s="4"/>
      <c r="J280" s="4"/>
      <c r="K280" s="4"/>
      <c r="L280" s="4"/>
      <c r="M280" s="4"/>
      <c r="N280" s="4"/>
      <c r="O280" s="4"/>
      <c r="P280" s="4"/>
      <c r="Q280" s="4"/>
      <c r="R280" s="4"/>
      <c r="S280" s="4"/>
      <c r="T280" s="4"/>
      <c r="U280" s="4"/>
      <c r="V280" s="4"/>
      <c r="W280" s="4"/>
      <c r="X280" s="4"/>
      <c r="Y280" s="4"/>
    </row>
    <row r="281">
      <c r="A281" s="12">
        <v>280.0</v>
      </c>
      <c r="B281" s="11" t="s">
        <v>802</v>
      </c>
      <c r="C281" s="6" t="s">
        <v>803</v>
      </c>
      <c r="D281" s="11">
        <v>2015.0</v>
      </c>
      <c r="E281" s="11" t="s">
        <v>804</v>
      </c>
      <c r="F281" s="11" t="s">
        <v>14</v>
      </c>
      <c r="G281" s="11" t="s">
        <v>39</v>
      </c>
      <c r="H281" s="4"/>
      <c r="I281" s="4"/>
      <c r="J281" s="4"/>
      <c r="K281" s="4"/>
      <c r="L281" s="4"/>
      <c r="M281" s="4"/>
      <c r="N281" s="4"/>
      <c r="O281" s="4"/>
      <c r="P281" s="4"/>
      <c r="Q281" s="4"/>
      <c r="R281" s="4"/>
      <c r="S281" s="4"/>
      <c r="T281" s="4"/>
      <c r="U281" s="4"/>
      <c r="V281" s="4"/>
      <c r="W281" s="4"/>
      <c r="X281" s="4"/>
      <c r="Y281" s="4"/>
    </row>
    <row r="282">
      <c r="A282" s="11">
        <v>281.0</v>
      </c>
      <c r="B282" s="11" t="s">
        <v>805</v>
      </c>
      <c r="C282" s="6" t="s">
        <v>806</v>
      </c>
      <c r="D282" s="11">
        <v>2023.0</v>
      </c>
      <c r="E282" s="11" t="s">
        <v>574</v>
      </c>
      <c r="F282" s="11" t="s">
        <v>14</v>
      </c>
      <c r="G282" s="11" t="s">
        <v>49</v>
      </c>
      <c r="H282" s="4"/>
      <c r="I282" s="4"/>
      <c r="J282" s="4"/>
      <c r="K282" s="4"/>
      <c r="L282" s="4"/>
      <c r="M282" s="4"/>
      <c r="N282" s="4"/>
      <c r="O282" s="4"/>
      <c r="P282" s="4"/>
      <c r="Q282" s="4"/>
      <c r="R282" s="4"/>
      <c r="S282" s="4"/>
      <c r="T282" s="4"/>
      <c r="U282" s="4"/>
      <c r="V282" s="4"/>
      <c r="W282" s="4"/>
      <c r="X282" s="4"/>
      <c r="Y282" s="4"/>
    </row>
    <row r="283">
      <c r="A283" s="11">
        <v>282.0</v>
      </c>
      <c r="B283" s="11" t="s">
        <v>807</v>
      </c>
      <c r="C283" s="6" t="s">
        <v>808</v>
      </c>
      <c r="D283" s="11">
        <v>2015.0</v>
      </c>
      <c r="E283" s="11" t="s">
        <v>809</v>
      </c>
      <c r="F283" s="11" t="s">
        <v>14</v>
      </c>
      <c r="G283" s="11" t="s">
        <v>39</v>
      </c>
      <c r="H283" s="4"/>
      <c r="I283" s="4"/>
      <c r="J283" s="4"/>
      <c r="K283" s="4"/>
      <c r="L283" s="4"/>
      <c r="M283" s="4"/>
      <c r="N283" s="4"/>
      <c r="O283" s="4"/>
      <c r="P283" s="4"/>
      <c r="Q283" s="4"/>
      <c r="R283" s="4"/>
      <c r="S283" s="4"/>
      <c r="T283" s="4"/>
      <c r="U283" s="4"/>
      <c r="V283" s="4"/>
      <c r="W283" s="4"/>
      <c r="X283" s="4"/>
      <c r="Y283" s="4"/>
    </row>
    <row r="284">
      <c r="A284" s="12">
        <v>283.0</v>
      </c>
      <c r="B284" s="11" t="s">
        <v>810</v>
      </c>
      <c r="C284" s="6" t="s">
        <v>811</v>
      </c>
      <c r="D284" s="11">
        <v>2025.0</v>
      </c>
      <c r="E284" s="11" t="s">
        <v>812</v>
      </c>
      <c r="F284" s="11" t="s">
        <v>14</v>
      </c>
      <c r="G284" s="11" t="s">
        <v>49</v>
      </c>
      <c r="H284" s="4"/>
      <c r="I284" s="4"/>
      <c r="J284" s="4"/>
      <c r="K284" s="4"/>
      <c r="L284" s="4"/>
      <c r="M284" s="4"/>
      <c r="N284" s="4"/>
      <c r="O284" s="4"/>
      <c r="P284" s="4"/>
      <c r="Q284" s="4"/>
      <c r="R284" s="4"/>
      <c r="S284" s="4"/>
      <c r="T284" s="4"/>
      <c r="U284" s="4"/>
      <c r="V284" s="4"/>
      <c r="W284" s="4"/>
      <c r="X284" s="4"/>
      <c r="Y284" s="4"/>
    </row>
    <row r="285">
      <c r="A285" s="11">
        <v>284.0</v>
      </c>
      <c r="B285" s="11" t="s">
        <v>813</v>
      </c>
      <c r="C285" s="6" t="s">
        <v>814</v>
      </c>
      <c r="D285" s="11">
        <v>2015.0</v>
      </c>
      <c r="E285" s="11" t="s">
        <v>815</v>
      </c>
      <c r="F285" s="11" t="s">
        <v>14</v>
      </c>
      <c r="G285" s="11" t="s">
        <v>39</v>
      </c>
      <c r="H285" s="4"/>
      <c r="I285" s="4"/>
      <c r="J285" s="4"/>
      <c r="K285" s="4"/>
      <c r="L285" s="4"/>
      <c r="M285" s="4"/>
      <c r="N285" s="4"/>
      <c r="O285" s="4"/>
      <c r="P285" s="4"/>
      <c r="Q285" s="4"/>
      <c r="R285" s="4"/>
      <c r="S285" s="4"/>
      <c r="T285" s="4"/>
      <c r="U285" s="4"/>
      <c r="V285" s="4"/>
      <c r="W285" s="4"/>
      <c r="X285" s="4"/>
      <c r="Y285" s="4"/>
    </row>
    <row r="286">
      <c r="A286" s="11">
        <v>285.0</v>
      </c>
      <c r="B286" s="11" t="s">
        <v>816</v>
      </c>
      <c r="C286" s="6" t="s">
        <v>817</v>
      </c>
      <c r="D286" s="11">
        <v>2025.0</v>
      </c>
      <c r="E286" s="11" t="s">
        <v>818</v>
      </c>
      <c r="F286" s="11" t="s">
        <v>14</v>
      </c>
      <c r="G286" s="11" t="s">
        <v>49</v>
      </c>
      <c r="H286" s="4"/>
      <c r="I286" s="4"/>
      <c r="J286" s="4"/>
      <c r="K286" s="4"/>
      <c r="L286" s="4"/>
      <c r="M286" s="4"/>
      <c r="N286" s="4"/>
      <c r="O286" s="4"/>
      <c r="P286" s="4"/>
      <c r="Q286" s="4"/>
      <c r="R286" s="4"/>
      <c r="S286" s="4"/>
      <c r="T286" s="4"/>
      <c r="U286" s="4"/>
      <c r="V286" s="4"/>
      <c r="W286" s="4"/>
      <c r="X286" s="4"/>
      <c r="Y286" s="4"/>
    </row>
    <row r="287">
      <c r="A287" s="12">
        <v>286.0</v>
      </c>
      <c r="B287" s="11" t="s">
        <v>819</v>
      </c>
      <c r="C287" s="6" t="s">
        <v>820</v>
      </c>
      <c r="D287" s="11">
        <v>2022.0</v>
      </c>
      <c r="E287" s="11" t="s">
        <v>821</v>
      </c>
      <c r="F287" s="11" t="s">
        <v>14</v>
      </c>
      <c r="G287" s="11" t="s">
        <v>39</v>
      </c>
      <c r="H287" s="4"/>
      <c r="I287" s="4"/>
      <c r="J287" s="4"/>
      <c r="K287" s="4"/>
      <c r="L287" s="4"/>
      <c r="M287" s="4"/>
      <c r="N287" s="4"/>
      <c r="O287" s="4"/>
      <c r="P287" s="4"/>
      <c r="Q287" s="4"/>
      <c r="R287" s="4"/>
      <c r="S287" s="4"/>
      <c r="T287" s="4"/>
      <c r="U287" s="4"/>
      <c r="V287" s="4"/>
      <c r="W287" s="4"/>
      <c r="X287" s="4"/>
      <c r="Y287" s="4"/>
    </row>
    <row r="288">
      <c r="A288" s="11">
        <v>287.0</v>
      </c>
      <c r="B288" s="11" t="s">
        <v>822</v>
      </c>
      <c r="C288" s="6" t="s">
        <v>823</v>
      </c>
      <c r="D288" s="11">
        <v>2024.0</v>
      </c>
      <c r="E288" s="11" t="s">
        <v>824</v>
      </c>
      <c r="F288" s="11" t="s">
        <v>14</v>
      </c>
      <c r="G288" s="11" t="s">
        <v>39</v>
      </c>
      <c r="H288" s="4"/>
      <c r="I288" s="4"/>
      <c r="J288" s="4"/>
      <c r="K288" s="4"/>
      <c r="L288" s="4"/>
      <c r="M288" s="4"/>
      <c r="N288" s="4"/>
      <c r="O288" s="4"/>
      <c r="P288" s="4"/>
      <c r="Q288" s="4"/>
      <c r="R288" s="4"/>
      <c r="S288" s="4"/>
      <c r="T288" s="4"/>
      <c r="U288" s="4"/>
      <c r="V288" s="4"/>
      <c r="W288" s="4"/>
      <c r="X288" s="4"/>
      <c r="Y288" s="4"/>
    </row>
    <row r="289">
      <c r="A289" s="11">
        <v>288.0</v>
      </c>
      <c r="B289" s="11" t="s">
        <v>825</v>
      </c>
      <c r="C289" s="6" t="s">
        <v>826</v>
      </c>
      <c r="D289" s="11">
        <v>2019.0</v>
      </c>
      <c r="E289" s="11" t="s">
        <v>827</v>
      </c>
      <c r="F289" s="11" t="s">
        <v>14</v>
      </c>
      <c r="G289" s="11" t="s">
        <v>49</v>
      </c>
      <c r="H289" s="4"/>
      <c r="I289" s="4"/>
      <c r="J289" s="4"/>
      <c r="K289" s="4"/>
      <c r="L289" s="4"/>
      <c r="M289" s="4"/>
      <c r="N289" s="4"/>
      <c r="O289" s="4"/>
      <c r="P289" s="4"/>
      <c r="Q289" s="4"/>
      <c r="R289" s="4"/>
      <c r="S289" s="4"/>
      <c r="T289" s="4"/>
      <c r="U289" s="4"/>
      <c r="V289" s="4"/>
      <c r="W289" s="4"/>
      <c r="X289" s="4"/>
      <c r="Y289" s="4"/>
    </row>
    <row r="290">
      <c r="A290" s="12">
        <v>289.0</v>
      </c>
      <c r="B290" s="11" t="s">
        <v>828</v>
      </c>
      <c r="C290" s="6" t="s">
        <v>829</v>
      </c>
      <c r="D290" s="11">
        <v>2019.0</v>
      </c>
      <c r="E290" s="11" t="s">
        <v>830</v>
      </c>
      <c r="F290" s="11" t="s">
        <v>14</v>
      </c>
      <c r="G290" s="11" t="s">
        <v>39</v>
      </c>
      <c r="H290" s="4"/>
      <c r="I290" s="4"/>
      <c r="J290" s="4"/>
      <c r="K290" s="4"/>
      <c r="L290" s="4"/>
      <c r="M290" s="4"/>
      <c r="N290" s="4"/>
      <c r="O290" s="4"/>
      <c r="P290" s="4"/>
      <c r="Q290" s="4"/>
      <c r="R290" s="4"/>
      <c r="S290" s="4"/>
      <c r="T290" s="4"/>
      <c r="U290" s="4"/>
      <c r="V290" s="4"/>
      <c r="W290" s="4"/>
      <c r="X290" s="4"/>
      <c r="Y290" s="4"/>
    </row>
    <row r="291">
      <c r="A291" s="11">
        <v>290.0</v>
      </c>
      <c r="B291" s="11" t="s">
        <v>831</v>
      </c>
      <c r="C291" s="6" t="s">
        <v>832</v>
      </c>
      <c r="D291" s="11">
        <v>2019.0</v>
      </c>
      <c r="E291" s="11" t="s">
        <v>833</v>
      </c>
      <c r="F291" s="11" t="s">
        <v>14</v>
      </c>
      <c r="G291" s="11" t="s">
        <v>39</v>
      </c>
      <c r="H291" s="4"/>
      <c r="I291" s="4"/>
      <c r="J291" s="4"/>
      <c r="K291" s="4"/>
      <c r="L291" s="4"/>
      <c r="M291" s="4"/>
      <c r="N291" s="4"/>
      <c r="O291" s="4"/>
      <c r="P291" s="4"/>
      <c r="Q291" s="4"/>
      <c r="R291" s="4"/>
      <c r="S291" s="4"/>
      <c r="T291" s="4"/>
      <c r="U291" s="4"/>
      <c r="V291" s="4"/>
      <c r="W291" s="4"/>
      <c r="X291" s="4"/>
      <c r="Y291" s="4"/>
    </row>
    <row r="292">
      <c r="A292" s="11">
        <v>291.0</v>
      </c>
      <c r="B292" s="11" t="s">
        <v>834</v>
      </c>
      <c r="C292" s="6" t="s">
        <v>835</v>
      </c>
      <c r="D292" s="11">
        <v>2020.0</v>
      </c>
      <c r="E292" s="11" t="s">
        <v>580</v>
      </c>
      <c r="F292" s="11" t="s">
        <v>14</v>
      </c>
      <c r="G292" s="11" t="s">
        <v>49</v>
      </c>
      <c r="H292" s="4"/>
      <c r="I292" s="4"/>
      <c r="J292" s="4"/>
      <c r="K292" s="4"/>
      <c r="L292" s="4"/>
      <c r="M292" s="4"/>
      <c r="N292" s="4"/>
      <c r="O292" s="4"/>
      <c r="P292" s="4"/>
      <c r="Q292" s="4"/>
      <c r="R292" s="4"/>
      <c r="S292" s="4"/>
      <c r="T292" s="4"/>
      <c r="U292" s="4"/>
      <c r="V292" s="4"/>
      <c r="W292" s="4"/>
      <c r="X292" s="4"/>
      <c r="Y292" s="4"/>
    </row>
    <row r="293">
      <c r="A293" s="12">
        <v>292.0</v>
      </c>
      <c r="B293" s="11" t="s">
        <v>836</v>
      </c>
      <c r="C293" s="6" t="s">
        <v>837</v>
      </c>
      <c r="D293" s="11">
        <v>2024.0</v>
      </c>
      <c r="E293" s="11" t="s">
        <v>596</v>
      </c>
      <c r="F293" s="11" t="s">
        <v>14</v>
      </c>
      <c r="G293" s="11" t="s">
        <v>49</v>
      </c>
      <c r="H293" s="4"/>
      <c r="I293" s="4"/>
      <c r="J293" s="4"/>
      <c r="K293" s="4"/>
      <c r="L293" s="4"/>
      <c r="M293" s="4"/>
      <c r="N293" s="4"/>
      <c r="O293" s="4"/>
      <c r="P293" s="4"/>
      <c r="Q293" s="4"/>
      <c r="R293" s="4"/>
      <c r="S293" s="4"/>
      <c r="T293" s="4"/>
      <c r="U293" s="4"/>
      <c r="V293" s="4"/>
      <c r="W293" s="4"/>
      <c r="X293" s="4"/>
      <c r="Y293" s="4"/>
    </row>
    <row r="294">
      <c r="A294" s="11">
        <v>293.0</v>
      </c>
      <c r="B294" s="11" t="s">
        <v>838</v>
      </c>
      <c r="C294" s="6" t="s">
        <v>839</v>
      </c>
      <c r="D294" s="11">
        <v>2025.0</v>
      </c>
      <c r="E294" s="11" t="s">
        <v>596</v>
      </c>
      <c r="F294" s="11" t="s">
        <v>14</v>
      </c>
      <c r="G294" s="11" t="s">
        <v>49</v>
      </c>
      <c r="H294" s="4"/>
      <c r="I294" s="4"/>
      <c r="J294" s="4"/>
      <c r="K294" s="4"/>
      <c r="L294" s="4"/>
      <c r="M294" s="4"/>
      <c r="N294" s="4"/>
      <c r="O294" s="4"/>
      <c r="P294" s="4"/>
      <c r="Q294" s="4"/>
      <c r="R294" s="4"/>
      <c r="S294" s="4"/>
      <c r="T294" s="4"/>
      <c r="U294" s="4"/>
      <c r="V294" s="4"/>
      <c r="W294" s="4"/>
      <c r="X294" s="4"/>
      <c r="Y294" s="4"/>
    </row>
    <row r="295">
      <c r="A295" s="11">
        <v>294.0</v>
      </c>
      <c r="B295" s="11" t="s">
        <v>840</v>
      </c>
      <c r="C295" s="6" t="s">
        <v>841</v>
      </c>
      <c r="D295" s="11">
        <v>2018.0</v>
      </c>
      <c r="E295" s="11" t="s">
        <v>842</v>
      </c>
      <c r="F295" s="11" t="s">
        <v>14</v>
      </c>
      <c r="G295" s="11" t="s">
        <v>39</v>
      </c>
      <c r="H295" s="4"/>
      <c r="I295" s="4"/>
      <c r="J295" s="4"/>
      <c r="K295" s="4"/>
      <c r="L295" s="4"/>
      <c r="M295" s="4"/>
      <c r="N295" s="4"/>
      <c r="O295" s="4"/>
      <c r="P295" s="4"/>
      <c r="Q295" s="4"/>
      <c r="R295" s="4"/>
      <c r="S295" s="4"/>
      <c r="T295" s="4"/>
      <c r="U295" s="4"/>
      <c r="V295" s="4"/>
      <c r="W295" s="4"/>
      <c r="X295" s="4"/>
      <c r="Y295" s="4"/>
    </row>
    <row r="296">
      <c r="A296" s="12">
        <v>295.0</v>
      </c>
      <c r="B296" s="11" t="s">
        <v>843</v>
      </c>
      <c r="C296" s="6" t="s">
        <v>844</v>
      </c>
      <c r="D296" s="11">
        <v>2021.0</v>
      </c>
      <c r="E296" s="11" t="s">
        <v>845</v>
      </c>
      <c r="F296" s="11" t="s">
        <v>14</v>
      </c>
      <c r="G296" s="11" t="s">
        <v>39</v>
      </c>
      <c r="H296" s="4"/>
      <c r="I296" s="4"/>
      <c r="J296" s="4"/>
      <c r="K296" s="4"/>
      <c r="L296" s="4"/>
      <c r="M296" s="4"/>
      <c r="N296" s="4"/>
      <c r="O296" s="4"/>
      <c r="P296" s="4"/>
      <c r="Q296" s="4"/>
      <c r="R296" s="4"/>
      <c r="S296" s="4"/>
      <c r="T296" s="4"/>
      <c r="U296" s="4"/>
      <c r="V296" s="4"/>
      <c r="W296" s="4"/>
      <c r="X296" s="4"/>
      <c r="Y296" s="4"/>
    </row>
    <row r="297">
      <c r="A297" s="11">
        <v>296.0</v>
      </c>
      <c r="B297" s="11" t="s">
        <v>846</v>
      </c>
      <c r="C297" s="6" t="s">
        <v>847</v>
      </c>
      <c r="D297" s="11">
        <v>2015.0</v>
      </c>
      <c r="E297" s="11" t="s">
        <v>848</v>
      </c>
      <c r="F297" s="11" t="s">
        <v>14</v>
      </c>
      <c r="G297" s="11" t="s">
        <v>39</v>
      </c>
      <c r="H297" s="4"/>
      <c r="I297" s="4"/>
      <c r="J297" s="4"/>
      <c r="K297" s="4"/>
      <c r="L297" s="4"/>
      <c r="M297" s="4"/>
      <c r="N297" s="4"/>
      <c r="O297" s="4"/>
      <c r="P297" s="4"/>
      <c r="Q297" s="4"/>
      <c r="R297" s="4"/>
      <c r="S297" s="4"/>
      <c r="T297" s="4"/>
      <c r="U297" s="4"/>
      <c r="V297" s="4"/>
      <c r="W297" s="4"/>
      <c r="X297" s="4"/>
      <c r="Y297" s="4"/>
    </row>
    <row r="298">
      <c r="A298" s="11">
        <v>297.0</v>
      </c>
      <c r="B298" s="11" t="s">
        <v>849</v>
      </c>
      <c r="C298" s="6" t="s">
        <v>850</v>
      </c>
      <c r="D298" s="11">
        <v>2018.0</v>
      </c>
      <c r="E298" s="11" t="s">
        <v>851</v>
      </c>
      <c r="F298" s="11" t="s">
        <v>14</v>
      </c>
      <c r="G298" s="11" t="s">
        <v>49</v>
      </c>
      <c r="H298" s="4"/>
      <c r="I298" s="4"/>
      <c r="J298" s="4"/>
      <c r="K298" s="4"/>
      <c r="L298" s="4"/>
      <c r="M298" s="4"/>
      <c r="N298" s="4"/>
      <c r="O298" s="4"/>
      <c r="P298" s="4"/>
      <c r="Q298" s="4"/>
      <c r="R298" s="4"/>
      <c r="S298" s="4"/>
      <c r="T298" s="4"/>
      <c r="U298" s="4"/>
      <c r="V298" s="4"/>
      <c r="W298" s="4"/>
      <c r="X298" s="4"/>
      <c r="Y298" s="4"/>
    </row>
    <row r="299">
      <c r="A299" s="12">
        <v>298.0</v>
      </c>
      <c r="B299" s="11" t="s">
        <v>852</v>
      </c>
      <c r="C299" s="6" t="s">
        <v>853</v>
      </c>
      <c r="D299" s="11">
        <v>2018.0</v>
      </c>
      <c r="E299" s="11" t="s">
        <v>854</v>
      </c>
      <c r="F299" s="11" t="s">
        <v>14</v>
      </c>
      <c r="G299" s="11" t="s">
        <v>39</v>
      </c>
      <c r="H299" s="4"/>
      <c r="I299" s="4"/>
      <c r="J299" s="4"/>
      <c r="K299" s="4"/>
      <c r="L299" s="4"/>
      <c r="M299" s="4"/>
      <c r="N299" s="4"/>
      <c r="O299" s="4"/>
      <c r="P299" s="4"/>
      <c r="Q299" s="4"/>
      <c r="R299" s="4"/>
      <c r="S299" s="4"/>
      <c r="T299" s="4"/>
      <c r="U299" s="4"/>
      <c r="V299" s="4"/>
      <c r="W299" s="4"/>
      <c r="X299" s="4"/>
      <c r="Y299" s="4"/>
    </row>
    <row r="300">
      <c r="A300" s="11">
        <v>299.0</v>
      </c>
      <c r="B300" s="11" t="s">
        <v>855</v>
      </c>
      <c r="C300" s="6" t="s">
        <v>856</v>
      </c>
      <c r="D300" s="11">
        <v>2016.0</v>
      </c>
      <c r="E300" s="11" t="s">
        <v>694</v>
      </c>
      <c r="F300" s="11" t="s">
        <v>14</v>
      </c>
      <c r="G300" s="11" t="s">
        <v>49</v>
      </c>
      <c r="H300" s="4"/>
      <c r="I300" s="4"/>
      <c r="J300" s="4"/>
      <c r="K300" s="4"/>
      <c r="L300" s="4"/>
      <c r="M300" s="4"/>
      <c r="N300" s="4"/>
      <c r="O300" s="4"/>
      <c r="P300" s="4"/>
      <c r="Q300" s="4"/>
      <c r="R300" s="4"/>
      <c r="S300" s="4"/>
      <c r="T300" s="4"/>
      <c r="U300" s="4"/>
      <c r="V300" s="4"/>
      <c r="W300" s="4"/>
      <c r="X300" s="4"/>
      <c r="Y300" s="4"/>
    </row>
    <row r="301">
      <c r="A301" s="11">
        <v>300.0</v>
      </c>
      <c r="B301" s="11" t="s">
        <v>857</v>
      </c>
      <c r="C301" s="6" t="s">
        <v>858</v>
      </c>
      <c r="D301" s="11">
        <v>2018.0</v>
      </c>
      <c r="E301" s="11" t="s">
        <v>580</v>
      </c>
      <c r="F301" s="11" t="s">
        <v>14</v>
      </c>
      <c r="G301" s="11" t="s">
        <v>49</v>
      </c>
      <c r="H301" s="4"/>
      <c r="I301" s="4"/>
      <c r="J301" s="4"/>
      <c r="K301" s="4"/>
      <c r="L301" s="4"/>
      <c r="M301" s="4"/>
      <c r="N301" s="4"/>
      <c r="O301" s="4"/>
      <c r="P301" s="4"/>
      <c r="Q301" s="4"/>
      <c r="R301" s="4"/>
      <c r="S301" s="4"/>
      <c r="T301" s="4"/>
      <c r="U301" s="4"/>
      <c r="V301" s="4"/>
      <c r="W301" s="4"/>
      <c r="X301" s="4"/>
      <c r="Y301" s="4"/>
    </row>
    <row r="302">
      <c r="A302" s="12">
        <v>301.0</v>
      </c>
      <c r="B302" s="11" t="s">
        <v>859</v>
      </c>
      <c r="C302" s="6" t="s">
        <v>860</v>
      </c>
      <c r="D302" s="11">
        <v>2017.0</v>
      </c>
      <c r="E302" s="11" t="s">
        <v>861</v>
      </c>
      <c r="F302" s="11" t="s">
        <v>14</v>
      </c>
      <c r="G302" s="11" t="s">
        <v>39</v>
      </c>
      <c r="H302" s="4"/>
      <c r="I302" s="4"/>
      <c r="J302" s="4"/>
      <c r="K302" s="4"/>
      <c r="L302" s="4"/>
      <c r="M302" s="4"/>
      <c r="N302" s="4"/>
      <c r="O302" s="4"/>
      <c r="P302" s="4"/>
      <c r="Q302" s="4"/>
      <c r="R302" s="4"/>
      <c r="S302" s="4"/>
      <c r="T302" s="4"/>
      <c r="U302" s="4"/>
      <c r="V302" s="4"/>
      <c r="W302" s="4"/>
      <c r="X302" s="4"/>
      <c r="Y302" s="4"/>
    </row>
    <row r="303">
      <c r="A303" s="11">
        <v>302.0</v>
      </c>
      <c r="B303" s="11" t="s">
        <v>862</v>
      </c>
      <c r="C303" s="6" t="s">
        <v>863</v>
      </c>
      <c r="D303" s="11">
        <v>2020.0</v>
      </c>
      <c r="E303" s="11" t="s">
        <v>596</v>
      </c>
      <c r="F303" s="11" t="s">
        <v>14</v>
      </c>
      <c r="G303" s="11" t="s">
        <v>49</v>
      </c>
      <c r="H303" s="4"/>
      <c r="I303" s="4"/>
      <c r="J303" s="4"/>
      <c r="K303" s="4"/>
      <c r="L303" s="4"/>
      <c r="M303" s="4"/>
      <c r="N303" s="4"/>
      <c r="O303" s="4"/>
      <c r="P303" s="4"/>
      <c r="Q303" s="4"/>
      <c r="R303" s="4"/>
      <c r="S303" s="4"/>
      <c r="T303" s="4"/>
      <c r="U303" s="4"/>
      <c r="V303" s="4"/>
      <c r="W303" s="4"/>
      <c r="X303" s="4"/>
      <c r="Y303" s="4"/>
    </row>
    <row r="304">
      <c r="A304" s="11">
        <v>303.0</v>
      </c>
      <c r="B304" s="11" t="s">
        <v>864</v>
      </c>
      <c r="C304" s="6" t="s">
        <v>865</v>
      </c>
      <c r="D304" s="11">
        <v>2018.0</v>
      </c>
      <c r="E304" s="11" t="s">
        <v>580</v>
      </c>
      <c r="F304" s="11" t="s">
        <v>14</v>
      </c>
      <c r="G304" s="11" t="s">
        <v>49</v>
      </c>
      <c r="H304" s="4"/>
      <c r="I304" s="4"/>
      <c r="J304" s="4"/>
      <c r="K304" s="4"/>
      <c r="L304" s="4"/>
      <c r="M304" s="4"/>
      <c r="N304" s="4"/>
      <c r="O304" s="4"/>
      <c r="P304" s="4"/>
      <c r="Q304" s="4"/>
      <c r="R304" s="4"/>
      <c r="S304" s="4"/>
      <c r="T304" s="4"/>
      <c r="U304" s="4"/>
      <c r="V304" s="4"/>
      <c r="W304" s="4"/>
      <c r="X304" s="4"/>
      <c r="Y304" s="4"/>
    </row>
    <row r="305">
      <c r="A305" s="12">
        <v>304.0</v>
      </c>
      <c r="B305" s="11" t="s">
        <v>866</v>
      </c>
      <c r="C305" s="6" t="s">
        <v>867</v>
      </c>
      <c r="D305" s="11">
        <v>2019.0</v>
      </c>
      <c r="E305" s="11" t="s">
        <v>868</v>
      </c>
      <c r="F305" s="11" t="s">
        <v>14</v>
      </c>
      <c r="G305" s="11" t="s">
        <v>39</v>
      </c>
      <c r="H305" s="4"/>
      <c r="I305" s="4"/>
      <c r="J305" s="4"/>
      <c r="K305" s="4"/>
      <c r="L305" s="4"/>
      <c r="M305" s="4"/>
      <c r="N305" s="4"/>
      <c r="O305" s="4"/>
      <c r="P305" s="4"/>
      <c r="Q305" s="4"/>
      <c r="R305" s="4"/>
      <c r="S305" s="4"/>
      <c r="T305" s="4"/>
      <c r="U305" s="4"/>
      <c r="V305" s="4"/>
      <c r="W305" s="4"/>
      <c r="X305" s="4"/>
      <c r="Y305" s="4"/>
    </row>
    <row r="306">
      <c r="A306" s="11">
        <v>305.0</v>
      </c>
      <c r="B306" s="11" t="s">
        <v>869</v>
      </c>
      <c r="C306" s="6" t="s">
        <v>870</v>
      </c>
      <c r="D306" s="11">
        <v>2019.0</v>
      </c>
      <c r="E306" s="11" t="s">
        <v>871</v>
      </c>
      <c r="F306" s="11" t="s">
        <v>14</v>
      </c>
      <c r="G306" s="11" t="s">
        <v>39</v>
      </c>
      <c r="H306" s="4"/>
      <c r="I306" s="4"/>
      <c r="J306" s="4"/>
      <c r="K306" s="4"/>
      <c r="L306" s="4"/>
      <c r="M306" s="4"/>
      <c r="N306" s="4"/>
      <c r="O306" s="4"/>
      <c r="P306" s="4"/>
      <c r="Q306" s="4"/>
      <c r="R306" s="4"/>
      <c r="S306" s="4"/>
      <c r="T306" s="4"/>
      <c r="U306" s="4"/>
      <c r="V306" s="4"/>
      <c r="W306" s="4"/>
      <c r="X306" s="4"/>
      <c r="Y306" s="4"/>
    </row>
    <row r="307">
      <c r="A307" s="11">
        <v>306.0</v>
      </c>
      <c r="B307" s="11" t="s">
        <v>872</v>
      </c>
      <c r="C307" s="6" t="s">
        <v>873</v>
      </c>
      <c r="D307" s="11">
        <v>2022.0</v>
      </c>
      <c r="E307" s="11" t="s">
        <v>874</v>
      </c>
      <c r="F307" s="11" t="s">
        <v>14</v>
      </c>
      <c r="G307" s="11" t="s">
        <v>49</v>
      </c>
      <c r="H307" s="4"/>
      <c r="I307" s="4"/>
      <c r="J307" s="4"/>
      <c r="K307" s="4"/>
      <c r="L307" s="4"/>
      <c r="M307" s="4"/>
      <c r="N307" s="4"/>
      <c r="O307" s="4"/>
      <c r="P307" s="4"/>
      <c r="Q307" s="4"/>
      <c r="R307" s="4"/>
      <c r="S307" s="4"/>
      <c r="T307" s="4"/>
      <c r="U307" s="4"/>
      <c r="V307" s="4"/>
      <c r="W307" s="4"/>
      <c r="X307" s="4"/>
      <c r="Y307" s="4"/>
    </row>
    <row r="308">
      <c r="A308" s="12">
        <v>307.0</v>
      </c>
      <c r="B308" s="11" t="s">
        <v>875</v>
      </c>
      <c r="C308" s="6" t="s">
        <v>876</v>
      </c>
      <c r="D308" s="11">
        <v>2016.0</v>
      </c>
      <c r="E308" s="11" t="s">
        <v>877</v>
      </c>
      <c r="F308" s="11" t="s">
        <v>14</v>
      </c>
      <c r="G308" s="11" t="s">
        <v>39</v>
      </c>
      <c r="H308" s="4"/>
      <c r="I308" s="4"/>
      <c r="J308" s="4"/>
      <c r="K308" s="4"/>
      <c r="L308" s="4"/>
      <c r="M308" s="4"/>
      <c r="N308" s="4"/>
      <c r="O308" s="4"/>
      <c r="P308" s="4"/>
      <c r="Q308" s="4"/>
      <c r="R308" s="4"/>
      <c r="S308" s="4"/>
      <c r="T308" s="4"/>
      <c r="U308" s="4"/>
      <c r="V308" s="4"/>
      <c r="W308" s="4"/>
      <c r="X308" s="4"/>
      <c r="Y308" s="4"/>
    </row>
    <row r="309">
      <c r="A309" s="11">
        <v>308.0</v>
      </c>
      <c r="B309" s="11" t="s">
        <v>878</v>
      </c>
      <c r="C309" s="6" t="s">
        <v>879</v>
      </c>
      <c r="D309" s="11">
        <v>2018.0</v>
      </c>
      <c r="E309" s="11" t="s">
        <v>880</v>
      </c>
      <c r="F309" s="11" t="s">
        <v>16</v>
      </c>
      <c r="G309" s="11" t="s">
        <v>49</v>
      </c>
      <c r="H309" s="4"/>
      <c r="I309" s="4"/>
      <c r="J309" s="4"/>
      <c r="K309" s="4"/>
      <c r="L309" s="4"/>
      <c r="M309" s="4"/>
      <c r="N309" s="4"/>
      <c r="O309" s="4"/>
      <c r="P309" s="4"/>
      <c r="Q309" s="4"/>
      <c r="R309" s="4"/>
      <c r="S309" s="4"/>
      <c r="T309" s="4"/>
      <c r="U309" s="4"/>
      <c r="V309" s="4"/>
      <c r="W309" s="4"/>
      <c r="X309" s="4"/>
      <c r="Y309" s="4"/>
    </row>
    <row r="310">
      <c r="A310" s="11">
        <v>309.0</v>
      </c>
      <c r="B310" s="11" t="s">
        <v>881</v>
      </c>
      <c r="C310" s="6" t="s">
        <v>882</v>
      </c>
      <c r="D310" s="11">
        <v>2018.0</v>
      </c>
      <c r="E310" s="11" t="s">
        <v>883</v>
      </c>
      <c r="F310" s="11" t="s">
        <v>16</v>
      </c>
      <c r="G310" s="11" t="s">
        <v>49</v>
      </c>
      <c r="H310" s="4"/>
      <c r="I310" s="4"/>
      <c r="J310" s="4"/>
      <c r="K310" s="4"/>
      <c r="L310" s="4"/>
      <c r="M310" s="4"/>
      <c r="N310" s="4"/>
      <c r="O310" s="4"/>
      <c r="P310" s="4"/>
      <c r="Q310" s="4"/>
      <c r="R310" s="4"/>
      <c r="S310" s="4"/>
      <c r="T310" s="4"/>
      <c r="U310" s="4"/>
      <c r="V310" s="4"/>
      <c r="W310" s="4"/>
      <c r="X310" s="4"/>
      <c r="Y310" s="4"/>
    </row>
    <row r="311">
      <c r="A311" s="12">
        <v>310.0</v>
      </c>
      <c r="B311" s="11" t="s">
        <v>884</v>
      </c>
      <c r="C311" s="6" t="s">
        <v>885</v>
      </c>
      <c r="D311" s="11">
        <v>2023.0</v>
      </c>
      <c r="E311" s="11" t="s">
        <v>886</v>
      </c>
      <c r="F311" s="11" t="s">
        <v>16</v>
      </c>
      <c r="G311" s="11" t="s">
        <v>49</v>
      </c>
      <c r="H311" s="4"/>
      <c r="I311" s="4"/>
      <c r="J311" s="4"/>
      <c r="K311" s="4"/>
      <c r="L311" s="4"/>
      <c r="M311" s="4"/>
      <c r="N311" s="4"/>
      <c r="O311" s="4"/>
      <c r="P311" s="4"/>
      <c r="Q311" s="4"/>
      <c r="R311" s="4"/>
      <c r="S311" s="4"/>
      <c r="T311" s="4"/>
      <c r="U311" s="4"/>
      <c r="V311" s="4"/>
      <c r="W311" s="4"/>
      <c r="X311" s="4"/>
      <c r="Y311" s="4"/>
    </row>
    <row r="312">
      <c r="A312" s="12">
        <v>311.0</v>
      </c>
      <c r="B312" s="11" t="s">
        <v>887</v>
      </c>
      <c r="C312" s="6" t="s">
        <v>888</v>
      </c>
      <c r="D312" s="11">
        <v>2026.0</v>
      </c>
      <c r="E312" s="11" t="s">
        <v>889</v>
      </c>
      <c r="F312" s="11" t="s">
        <v>16</v>
      </c>
      <c r="G312" s="11" t="s">
        <v>49</v>
      </c>
      <c r="H312" s="4"/>
      <c r="I312" s="4"/>
      <c r="J312" s="4"/>
      <c r="K312" s="4"/>
      <c r="L312" s="4"/>
      <c r="M312" s="4"/>
      <c r="N312" s="4"/>
      <c r="O312" s="4"/>
      <c r="P312" s="4"/>
      <c r="Q312" s="4"/>
      <c r="R312" s="4"/>
      <c r="S312" s="4"/>
      <c r="T312" s="4"/>
      <c r="U312" s="4"/>
      <c r="V312" s="4"/>
      <c r="W312" s="4"/>
      <c r="X312" s="4"/>
      <c r="Y312" s="4"/>
    </row>
    <row r="313">
      <c r="A313" s="11">
        <v>312.0</v>
      </c>
      <c r="B313" s="11" t="s">
        <v>890</v>
      </c>
      <c r="C313" s="6" t="s">
        <v>891</v>
      </c>
      <c r="D313" s="11">
        <v>2022.0</v>
      </c>
      <c r="E313" s="11" t="s">
        <v>892</v>
      </c>
      <c r="F313" s="11" t="s">
        <v>16</v>
      </c>
      <c r="G313" s="11" t="s">
        <v>49</v>
      </c>
      <c r="H313" s="4"/>
      <c r="I313" s="4"/>
      <c r="J313" s="4"/>
      <c r="K313" s="4"/>
      <c r="L313" s="4"/>
      <c r="M313" s="4"/>
      <c r="N313" s="4"/>
      <c r="O313" s="4"/>
      <c r="P313" s="4"/>
      <c r="Q313" s="4"/>
      <c r="R313" s="4"/>
      <c r="S313" s="4"/>
      <c r="T313" s="4"/>
      <c r="U313" s="4"/>
      <c r="V313" s="4"/>
      <c r="W313" s="4"/>
      <c r="X313" s="4"/>
      <c r="Y313" s="4"/>
    </row>
    <row r="314">
      <c r="A314" s="11">
        <v>313.0</v>
      </c>
      <c r="B314" s="11" t="s">
        <v>893</v>
      </c>
      <c r="C314" s="6" t="s">
        <v>894</v>
      </c>
      <c r="D314" s="11">
        <v>2024.0</v>
      </c>
      <c r="E314" s="11" t="s">
        <v>895</v>
      </c>
      <c r="F314" s="11" t="s">
        <v>16</v>
      </c>
      <c r="G314" s="11" t="s">
        <v>49</v>
      </c>
      <c r="H314" s="4"/>
      <c r="I314" s="4"/>
      <c r="J314" s="4"/>
      <c r="K314" s="4"/>
      <c r="L314" s="4"/>
      <c r="M314" s="4"/>
      <c r="N314" s="4"/>
      <c r="O314" s="4"/>
      <c r="P314" s="4"/>
      <c r="Q314" s="4"/>
      <c r="R314" s="4"/>
      <c r="S314" s="4"/>
      <c r="T314" s="4"/>
      <c r="U314" s="4"/>
      <c r="V314" s="4"/>
      <c r="W314" s="4"/>
      <c r="X314" s="4"/>
      <c r="Y314" s="4"/>
    </row>
    <row r="315">
      <c r="A315" s="12">
        <v>314.0</v>
      </c>
      <c r="B315" s="11" t="s">
        <v>896</v>
      </c>
      <c r="C315" s="6" t="s">
        <v>897</v>
      </c>
      <c r="D315" s="11">
        <v>2019.0</v>
      </c>
      <c r="E315" s="11" t="s">
        <v>880</v>
      </c>
      <c r="F315" s="11" t="s">
        <v>16</v>
      </c>
      <c r="G315" s="11" t="s">
        <v>49</v>
      </c>
      <c r="H315" s="4"/>
      <c r="I315" s="4"/>
      <c r="J315" s="4"/>
      <c r="K315" s="4"/>
      <c r="L315" s="4"/>
      <c r="M315" s="4"/>
      <c r="N315" s="4"/>
      <c r="O315" s="4"/>
      <c r="P315" s="4"/>
      <c r="Q315" s="4"/>
      <c r="R315" s="4"/>
      <c r="S315" s="4"/>
      <c r="T315" s="4"/>
      <c r="U315" s="4"/>
      <c r="V315" s="4"/>
      <c r="W315" s="4"/>
      <c r="X315" s="4"/>
      <c r="Y315" s="4"/>
    </row>
    <row r="316">
      <c r="A316" s="12">
        <v>315.0</v>
      </c>
      <c r="B316" s="11" t="s">
        <v>898</v>
      </c>
      <c r="C316" s="6" t="s">
        <v>899</v>
      </c>
      <c r="D316" s="11">
        <v>2016.0</v>
      </c>
      <c r="E316" s="11" t="s">
        <v>900</v>
      </c>
      <c r="F316" s="11" t="s">
        <v>16</v>
      </c>
      <c r="G316" s="11" t="s">
        <v>49</v>
      </c>
      <c r="H316" s="4"/>
      <c r="I316" s="4"/>
      <c r="J316" s="4"/>
      <c r="K316" s="4"/>
      <c r="L316" s="4"/>
      <c r="M316" s="4"/>
      <c r="N316" s="4"/>
      <c r="O316" s="4"/>
      <c r="P316" s="4"/>
      <c r="Q316" s="4"/>
      <c r="R316" s="4"/>
      <c r="S316" s="4"/>
      <c r="T316" s="4"/>
      <c r="U316" s="4"/>
      <c r="V316" s="4"/>
      <c r="W316" s="4"/>
      <c r="X316" s="4"/>
      <c r="Y316" s="4"/>
    </row>
    <row r="317">
      <c r="A317" s="11">
        <v>316.0</v>
      </c>
      <c r="B317" s="11" t="s">
        <v>420</v>
      </c>
      <c r="C317" s="6" t="s">
        <v>901</v>
      </c>
      <c r="D317" s="11">
        <v>2016.0</v>
      </c>
      <c r="E317" s="11" t="s">
        <v>422</v>
      </c>
      <c r="F317" s="11" t="s">
        <v>16</v>
      </c>
      <c r="G317" s="11" t="s">
        <v>49</v>
      </c>
      <c r="H317" s="4"/>
      <c r="I317" s="4"/>
      <c r="J317" s="4"/>
      <c r="K317" s="4"/>
      <c r="L317" s="4"/>
      <c r="M317" s="4"/>
      <c r="N317" s="4"/>
      <c r="O317" s="4"/>
      <c r="P317" s="4"/>
      <c r="Q317" s="4"/>
      <c r="R317" s="4"/>
      <c r="S317" s="4"/>
      <c r="T317" s="4"/>
      <c r="U317" s="4"/>
      <c r="V317" s="4"/>
      <c r="W317" s="4"/>
      <c r="X317" s="4"/>
      <c r="Y317" s="4"/>
    </row>
    <row r="318">
      <c r="A318" s="11">
        <v>317.0</v>
      </c>
      <c r="B318" s="11" t="s">
        <v>902</v>
      </c>
      <c r="C318" s="6" t="s">
        <v>903</v>
      </c>
      <c r="D318" s="11">
        <v>2020.0</v>
      </c>
      <c r="E318" s="11" t="s">
        <v>904</v>
      </c>
      <c r="F318" s="11" t="s">
        <v>16</v>
      </c>
      <c r="G318" s="11" t="s">
        <v>49</v>
      </c>
      <c r="H318" s="4"/>
      <c r="I318" s="4"/>
      <c r="J318" s="4"/>
      <c r="K318" s="4"/>
      <c r="L318" s="4"/>
      <c r="M318" s="4"/>
      <c r="N318" s="4"/>
      <c r="O318" s="4"/>
      <c r="P318" s="4"/>
      <c r="Q318" s="4"/>
      <c r="R318" s="4"/>
      <c r="S318" s="4"/>
      <c r="T318" s="4"/>
      <c r="U318" s="4"/>
      <c r="V318" s="4"/>
      <c r="W318" s="4"/>
      <c r="X318" s="4"/>
      <c r="Y318" s="4"/>
    </row>
    <row r="319">
      <c r="A319" s="12">
        <v>318.0</v>
      </c>
      <c r="B319" s="11" t="s">
        <v>905</v>
      </c>
      <c r="C319" s="6" t="s">
        <v>906</v>
      </c>
      <c r="D319" s="11">
        <v>2024.0</v>
      </c>
      <c r="E319" s="11" t="s">
        <v>907</v>
      </c>
      <c r="F319" s="11" t="s">
        <v>16</v>
      </c>
      <c r="G319" s="11" t="s">
        <v>49</v>
      </c>
      <c r="H319" s="4"/>
      <c r="I319" s="4"/>
      <c r="J319" s="4"/>
      <c r="K319" s="4"/>
      <c r="L319" s="4"/>
      <c r="M319" s="4"/>
      <c r="N319" s="4"/>
      <c r="O319" s="4"/>
      <c r="P319" s="4"/>
      <c r="Q319" s="4"/>
      <c r="R319" s="4"/>
      <c r="S319" s="4"/>
      <c r="T319" s="4"/>
      <c r="U319" s="4"/>
      <c r="V319" s="4"/>
      <c r="W319" s="4"/>
      <c r="X319" s="4"/>
      <c r="Y319" s="4"/>
    </row>
    <row r="320">
      <c r="A320" s="12">
        <v>319.0</v>
      </c>
      <c r="B320" s="11" t="s">
        <v>908</v>
      </c>
      <c r="C320" s="6" t="s">
        <v>909</v>
      </c>
      <c r="D320" s="11">
        <v>2020.0</v>
      </c>
      <c r="E320" s="11" t="s">
        <v>910</v>
      </c>
      <c r="F320" s="11" t="s">
        <v>16</v>
      </c>
      <c r="G320" s="11" t="s">
        <v>49</v>
      </c>
      <c r="H320" s="4"/>
      <c r="I320" s="4"/>
      <c r="J320" s="4"/>
      <c r="K320" s="4"/>
      <c r="L320" s="4"/>
      <c r="M320" s="4"/>
      <c r="N320" s="4"/>
      <c r="O320" s="4"/>
      <c r="P320" s="4"/>
      <c r="Q320" s="4"/>
      <c r="R320" s="4"/>
      <c r="S320" s="4"/>
      <c r="T320" s="4"/>
      <c r="U320" s="4"/>
      <c r="V320" s="4"/>
      <c r="W320" s="4"/>
      <c r="X320" s="4"/>
      <c r="Y320" s="4"/>
    </row>
    <row r="321">
      <c r="A321" s="11">
        <v>320.0</v>
      </c>
      <c r="B321" s="11" t="s">
        <v>911</v>
      </c>
      <c r="C321" s="6" t="s">
        <v>912</v>
      </c>
      <c r="D321" s="11">
        <v>2024.0</v>
      </c>
      <c r="E321" s="11" t="s">
        <v>913</v>
      </c>
      <c r="F321" s="11" t="s">
        <v>16</v>
      </c>
      <c r="G321" s="11" t="s">
        <v>49</v>
      </c>
      <c r="H321" s="4"/>
      <c r="I321" s="4"/>
      <c r="J321" s="4"/>
      <c r="K321" s="4"/>
      <c r="L321" s="4"/>
      <c r="M321" s="4"/>
      <c r="N321" s="4"/>
      <c r="O321" s="4"/>
      <c r="P321" s="4"/>
      <c r="Q321" s="4"/>
      <c r="R321" s="4"/>
      <c r="S321" s="4"/>
      <c r="T321" s="4"/>
      <c r="U321" s="4"/>
      <c r="V321" s="4"/>
      <c r="W321" s="4"/>
      <c r="X321" s="4"/>
      <c r="Y321" s="4"/>
    </row>
    <row r="322">
      <c r="A322" s="11">
        <v>321.0</v>
      </c>
      <c r="B322" s="11" t="s">
        <v>914</v>
      </c>
      <c r="C322" s="6" t="s">
        <v>915</v>
      </c>
      <c r="D322" s="11">
        <v>2025.0</v>
      </c>
      <c r="E322" s="11" t="s">
        <v>910</v>
      </c>
      <c r="F322" s="11" t="s">
        <v>16</v>
      </c>
      <c r="G322" s="11" t="s">
        <v>49</v>
      </c>
      <c r="H322" s="4"/>
      <c r="I322" s="4"/>
      <c r="J322" s="4"/>
      <c r="K322" s="4"/>
      <c r="L322" s="4"/>
      <c r="M322" s="4"/>
      <c r="N322" s="4"/>
      <c r="O322" s="4"/>
      <c r="P322" s="4"/>
      <c r="Q322" s="4"/>
      <c r="R322" s="4"/>
      <c r="S322" s="4"/>
      <c r="T322" s="4"/>
      <c r="U322" s="4"/>
      <c r="V322" s="4"/>
      <c r="W322" s="4"/>
      <c r="X322" s="4"/>
      <c r="Y322" s="4"/>
    </row>
    <row r="323">
      <c r="A323" s="12">
        <v>322.0</v>
      </c>
      <c r="B323" s="11" t="s">
        <v>916</v>
      </c>
      <c r="C323" s="6" t="s">
        <v>917</v>
      </c>
      <c r="D323" s="11">
        <v>2022.0</v>
      </c>
      <c r="E323" s="11" t="s">
        <v>918</v>
      </c>
      <c r="F323" s="11" t="s">
        <v>16</v>
      </c>
      <c r="G323" s="11" t="s">
        <v>49</v>
      </c>
      <c r="H323" s="4"/>
      <c r="I323" s="4"/>
      <c r="J323" s="4"/>
      <c r="K323" s="4"/>
      <c r="L323" s="4"/>
      <c r="M323" s="4"/>
      <c r="N323" s="4"/>
      <c r="O323" s="4"/>
      <c r="P323" s="4"/>
      <c r="Q323" s="4"/>
      <c r="R323" s="4"/>
      <c r="S323" s="4"/>
      <c r="T323" s="4"/>
      <c r="U323" s="4"/>
      <c r="V323" s="4"/>
      <c r="W323" s="4"/>
      <c r="X323" s="4"/>
      <c r="Y323" s="4"/>
    </row>
    <row r="324">
      <c r="A324" s="12">
        <v>323.0</v>
      </c>
      <c r="B324" s="11" t="s">
        <v>919</v>
      </c>
      <c r="C324" s="6" t="s">
        <v>920</v>
      </c>
      <c r="D324" s="11">
        <v>2024.0</v>
      </c>
      <c r="E324" s="11" t="s">
        <v>921</v>
      </c>
      <c r="F324" s="11" t="s">
        <v>16</v>
      </c>
      <c r="G324" s="11" t="s">
        <v>49</v>
      </c>
      <c r="H324" s="4"/>
      <c r="I324" s="4"/>
      <c r="J324" s="4"/>
      <c r="K324" s="4"/>
      <c r="L324" s="4"/>
      <c r="M324" s="4"/>
      <c r="N324" s="4"/>
      <c r="O324" s="4"/>
      <c r="P324" s="4"/>
      <c r="Q324" s="4"/>
      <c r="R324" s="4"/>
      <c r="S324" s="4"/>
      <c r="T324" s="4"/>
      <c r="U324" s="4"/>
      <c r="V324" s="4"/>
      <c r="W324" s="4"/>
      <c r="X324" s="4"/>
      <c r="Y324" s="4"/>
    </row>
    <row r="325">
      <c r="A325" s="11">
        <v>324.0</v>
      </c>
      <c r="B325" s="11" t="s">
        <v>922</v>
      </c>
      <c r="C325" s="6" t="s">
        <v>923</v>
      </c>
      <c r="D325" s="11">
        <v>2025.0</v>
      </c>
      <c r="E325" s="11" t="s">
        <v>924</v>
      </c>
      <c r="F325" s="11" t="s">
        <v>18</v>
      </c>
      <c r="G325" s="11" t="s">
        <v>49</v>
      </c>
      <c r="H325" s="4"/>
      <c r="I325" s="4"/>
      <c r="J325" s="4"/>
      <c r="K325" s="4"/>
      <c r="L325" s="4"/>
      <c r="M325" s="4"/>
      <c r="N325" s="4"/>
      <c r="O325" s="4"/>
      <c r="P325" s="4"/>
      <c r="Q325" s="4"/>
      <c r="R325" s="4"/>
      <c r="S325" s="4"/>
      <c r="T325" s="4"/>
      <c r="U325" s="4"/>
      <c r="V325" s="4"/>
      <c r="W325" s="4"/>
      <c r="X325" s="4"/>
      <c r="Y325" s="4"/>
    </row>
    <row r="326">
      <c r="A326" s="11">
        <v>325.0</v>
      </c>
      <c r="B326" s="11" t="s">
        <v>925</v>
      </c>
      <c r="C326" s="6" t="s">
        <v>926</v>
      </c>
      <c r="D326" s="11">
        <v>2021.0</v>
      </c>
      <c r="E326" s="11" t="s">
        <v>927</v>
      </c>
      <c r="F326" s="11" t="s">
        <v>18</v>
      </c>
      <c r="G326" s="11" t="s">
        <v>49</v>
      </c>
      <c r="H326" s="4"/>
      <c r="I326" s="4"/>
      <c r="J326" s="4"/>
      <c r="K326" s="4"/>
      <c r="L326" s="4"/>
      <c r="M326" s="4"/>
      <c r="N326" s="4"/>
      <c r="O326" s="4"/>
      <c r="P326" s="4"/>
      <c r="Q326" s="4"/>
      <c r="R326" s="4"/>
      <c r="S326" s="4"/>
      <c r="T326" s="4"/>
      <c r="U326" s="4"/>
      <c r="V326" s="4"/>
      <c r="W326" s="4"/>
      <c r="X326" s="4"/>
      <c r="Y326" s="4"/>
    </row>
    <row r="327">
      <c r="A327" s="12">
        <v>326.0</v>
      </c>
      <c r="B327" s="11" t="s">
        <v>928</v>
      </c>
      <c r="C327" s="6" t="s">
        <v>929</v>
      </c>
      <c r="D327" s="11">
        <v>2017.0</v>
      </c>
      <c r="E327" s="11" t="s">
        <v>930</v>
      </c>
      <c r="F327" s="11" t="s">
        <v>18</v>
      </c>
      <c r="G327" s="11" t="s">
        <v>49</v>
      </c>
      <c r="H327" s="4"/>
      <c r="I327" s="4"/>
      <c r="J327" s="4"/>
      <c r="K327" s="4"/>
      <c r="L327" s="4"/>
      <c r="M327" s="4"/>
      <c r="N327" s="4"/>
      <c r="O327" s="4"/>
      <c r="P327" s="4"/>
      <c r="Q327" s="4"/>
      <c r="R327" s="4"/>
      <c r="S327" s="4"/>
      <c r="T327" s="4"/>
      <c r="U327" s="4"/>
      <c r="V327" s="4"/>
      <c r="W327" s="4"/>
      <c r="X327" s="4"/>
      <c r="Y327" s="4"/>
    </row>
    <row r="328">
      <c r="A328" s="12">
        <v>327.0</v>
      </c>
      <c r="B328" s="11" t="s">
        <v>931</v>
      </c>
      <c r="C328" s="6" t="s">
        <v>932</v>
      </c>
      <c r="D328" s="11">
        <v>2023.0</v>
      </c>
      <c r="E328" s="11" t="s">
        <v>933</v>
      </c>
      <c r="F328" s="11" t="s">
        <v>18</v>
      </c>
      <c r="G328" s="11" t="s">
        <v>49</v>
      </c>
      <c r="H328" s="4"/>
      <c r="I328" s="4"/>
      <c r="J328" s="4"/>
      <c r="K328" s="4"/>
      <c r="L328" s="4"/>
      <c r="M328" s="4"/>
      <c r="N328" s="4"/>
      <c r="O328" s="4"/>
      <c r="P328" s="4"/>
      <c r="Q328" s="4"/>
      <c r="R328" s="4"/>
      <c r="S328" s="4"/>
      <c r="T328" s="4"/>
      <c r="U328" s="4"/>
      <c r="V328" s="4"/>
      <c r="W328" s="4"/>
      <c r="X328" s="4"/>
      <c r="Y328" s="4"/>
    </row>
    <row r="329">
      <c r="A329" s="11">
        <v>328.0</v>
      </c>
      <c r="B329" s="11" t="s">
        <v>934</v>
      </c>
      <c r="C329" s="6" t="s">
        <v>935</v>
      </c>
      <c r="D329" s="11">
        <v>2025.0</v>
      </c>
      <c r="E329" s="11" t="s">
        <v>936</v>
      </c>
      <c r="F329" s="11" t="s">
        <v>18</v>
      </c>
      <c r="G329" s="11" t="s">
        <v>49</v>
      </c>
      <c r="H329" s="4"/>
      <c r="I329" s="4"/>
      <c r="J329" s="4"/>
      <c r="K329" s="4"/>
      <c r="L329" s="4"/>
      <c r="M329" s="4"/>
      <c r="N329" s="4"/>
      <c r="O329" s="4"/>
      <c r="P329" s="4"/>
      <c r="Q329" s="4"/>
      <c r="R329" s="4"/>
      <c r="S329" s="4"/>
      <c r="T329" s="4"/>
      <c r="U329" s="4"/>
      <c r="V329" s="4"/>
      <c r="W329" s="4"/>
      <c r="X329" s="4"/>
      <c r="Y329" s="4"/>
    </row>
    <row r="330">
      <c r="A330" s="11">
        <v>329.0</v>
      </c>
      <c r="B330" s="11" t="s">
        <v>937</v>
      </c>
      <c r="C330" s="6" t="s">
        <v>938</v>
      </c>
      <c r="D330" s="11">
        <v>2025.0</v>
      </c>
      <c r="E330" s="11" t="s">
        <v>939</v>
      </c>
      <c r="F330" s="11" t="s">
        <v>18</v>
      </c>
      <c r="G330" s="11" t="s">
        <v>49</v>
      </c>
      <c r="H330" s="4"/>
      <c r="I330" s="4"/>
      <c r="J330" s="4"/>
      <c r="K330" s="4"/>
      <c r="L330" s="4"/>
      <c r="M330" s="4"/>
      <c r="N330" s="4"/>
      <c r="O330" s="4"/>
      <c r="P330" s="4"/>
      <c r="Q330" s="4"/>
      <c r="R330" s="4"/>
      <c r="S330" s="4"/>
      <c r="T330" s="4"/>
      <c r="U330" s="4"/>
      <c r="V330" s="4"/>
      <c r="W330" s="4"/>
      <c r="X330" s="4"/>
      <c r="Y330" s="4"/>
    </row>
    <row r="331">
      <c r="A331" s="12">
        <v>330.0</v>
      </c>
      <c r="B331" s="11" t="s">
        <v>940</v>
      </c>
      <c r="C331" s="6" t="s">
        <v>941</v>
      </c>
      <c r="D331" s="11">
        <v>2020.0</v>
      </c>
      <c r="E331" s="11" t="s">
        <v>930</v>
      </c>
      <c r="F331" s="11" t="s">
        <v>18</v>
      </c>
      <c r="G331" s="11" t="s">
        <v>49</v>
      </c>
      <c r="H331" s="4"/>
      <c r="I331" s="4"/>
      <c r="J331" s="4"/>
      <c r="K331" s="4"/>
      <c r="L331" s="4"/>
      <c r="M331" s="4"/>
      <c r="N331" s="4"/>
      <c r="O331" s="4"/>
      <c r="P331" s="4"/>
      <c r="Q331" s="4"/>
      <c r="R331" s="4"/>
      <c r="S331" s="4"/>
      <c r="T331" s="4"/>
      <c r="U331" s="4"/>
      <c r="V331" s="4"/>
      <c r="W331" s="4"/>
      <c r="X331" s="4"/>
      <c r="Y331" s="4"/>
    </row>
    <row r="332">
      <c r="A332" s="12">
        <v>331.0</v>
      </c>
      <c r="B332" s="11" t="s">
        <v>942</v>
      </c>
      <c r="C332" s="6" t="s">
        <v>943</v>
      </c>
      <c r="D332" s="11">
        <v>2022.0</v>
      </c>
      <c r="E332" s="11" t="s">
        <v>944</v>
      </c>
      <c r="F332" s="11" t="s">
        <v>18</v>
      </c>
      <c r="G332" s="11" t="s">
        <v>49</v>
      </c>
      <c r="H332" s="4"/>
      <c r="I332" s="4"/>
      <c r="J332" s="4"/>
      <c r="K332" s="4"/>
      <c r="L332" s="4"/>
      <c r="M332" s="4"/>
      <c r="N332" s="4"/>
      <c r="O332" s="4"/>
      <c r="P332" s="4"/>
      <c r="Q332" s="4"/>
      <c r="R332" s="4"/>
      <c r="S332" s="4"/>
      <c r="T332" s="4"/>
      <c r="U332" s="4"/>
      <c r="V332" s="4"/>
      <c r="W332" s="4"/>
      <c r="X332" s="4"/>
      <c r="Y332" s="4"/>
    </row>
    <row r="333">
      <c r="A333" s="11">
        <v>332.0</v>
      </c>
      <c r="B333" s="11" t="s">
        <v>945</v>
      </c>
      <c r="C333" s="6" t="s">
        <v>946</v>
      </c>
      <c r="D333" s="11">
        <v>2024.0</v>
      </c>
      <c r="E333" s="11" t="s">
        <v>947</v>
      </c>
      <c r="F333" s="11" t="s">
        <v>18</v>
      </c>
      <c r="G333" s="11" t="s">
        <v>49</v>
      </c>
      <c r="H333" s="4"/>
      <c r="I333" s="4"/>
      <c r="J333" s="4"/>
      <c r="K333" s="4"/>
      <c r="L333" s="4"/>
      <c r="M333" s="4"/>
      <c r="N333" s="4"/>
      <c r="O333" s="4"/>
      <c r="P333" s="4"/>
      <c r="Q333" s="4"/>
      <c r="R333" s="4"/>
      <c r="S333" s="4"/>
      <c r="T333" s="4"/>
      <c r="U333" s="4"/>
      <c r="V333" s="4"/>
      <c r="W333" s="4"/>
      <c r="X333" s="4"/>
      <c r="Y333" s="4"/>
    </row>
    <row r="334">
      <c r="A334" s="11">
        <v>333.0</v>
      </c>
      <c r="B334" s="11" t="s">
        <v>948</v>
      </c>
      <c r="C334" s="6" t="s">
        <v>949</v>
      </c>
      <c r="D334" s="11">
        <v>2015.0</v>
      </c>
      <c r="E334" s="11" t="s">
        <v>950</v>
      </c>
      <c r="F334" s="11" t="s">
        <v>18</v>
      </c>
      <c r="G334" s="11" t="s">
        <v>49</v>
      </c>
      <c r="H334" s="4"/>
      <c r="I334" s="4"/>
      <c r="J334" s="4"/>
      <c r="K334" s="4"/>
      <c r="L334" s="4"/>
      <c r="M334" s="4"/>
      <c r="N334" s="4"/>
      <c r="O334" s="4"/>
      <c r="P334" s="4"/>
      <c r="Q334" s="4"/>
      <c r="R334" s="4"/>
      <c r="S334" s="4"/>
      <c r="T334" s="4"/>
      <c r="U334" s="4"/>
      <c r="V334" s="4"/>
      <c r="W334" s="4"/>
      <c r="X334" s="4"/>
      <c r="Y334" s="4"/>
    </row>
    <row r="335">
      <c r="A335" s="12">
        <v>334.0</v>
      </c>
      <c r="B335" s="11" t="s">
        <v>951</v>
      </c>
      <c r="C335" s="6" t="s">
        <v>952</v>
      </c>
      <c r="D335" s="11">
        <v>2016.0</v>
      </c>
      <c r="E335" s="11" t="s">
        <v>930</v>
      </c>
      <c r="F335" s="11" t="s">
        <v>18</v>
      </c>
      <c r="G335" s="11" t="s">
        <v>49</v>
      </c>
      <c r="H335" s="4"/>
      <c r="I335" s="4"/>
      <c r="J335" s="4"/>
      <c r="K335" s="4"/>
      <c r="L335" s="4"/>
      <c r="M335" s="4"/>
      <c r="N335" s="4"/>
      <c r="O335" s="4"/>
      <c r="P335" s="4"/>
      <c r="Q335" s="4"/>
      <c r="R335" s="4"/>
      <c r="S335" s="4"/>
      <c r="T335" s="4"/>
      <c r="U335" s="4"/>
      <c r="V335" s="4"/>
      <c r="W335" s="4"/>
      <c r="X335" s="4"/>
      <c r="Y335" s="4"/>
    </row>
    <row r="336">
      <c r="A336" s="12">
        <v>335.0</v>
      </c>
      <c r="B336" s="11" t="s">
        <v>953</v>
      </c>
      <c r="C336" s="6" t="s">
        <v>954</v>
      </c>
      <c r="D336" s="11">
        <v>2021.0</v>
      </c>
      <c r="E336" s="11" t="s">
        <v>955</v>
      </c>
      <c r="F336" s="11" t="s">
        <v>18</v>
      </c>
      <c r="G336" s="11" t="s">
        <v>49</v>
      </c>
      <c r="H336" s="4"/>
      <c r="I336" s="4"/>
      <c r="J336" s="4"/>
      <c r="K336" s="4"/>
      <c r="L336" s="4"/>
      <c r="M336" s="4"/>
      <c r="N336" s="4"/>
      <c r="O336" s="4"/>
      <c r="P336" s="4"/>
      <c r="Q336" s="4"/>
      <c r="R336" s="4"/>
      <c r="S336" s="4"/>
      <c r="T336" s="4"/>
      <c r="U336" s="4"/>
      <c r="V336" s="4"/>
      <c r="W336" s="4"/>
      <c r="X336" s="4"/>
      <c r="Y336" s="4"/>
    </row>
    <row r="337">
      <c r="A337" s="11">
        <v>336.0</v>
      </c>
      <c r="B337" s="11" t="s">
        <v>956</v>
      </c>
      <c r="C337" s="6" t="s">
        <v>957</v>
      </c>
      <c r="D337" s="11">
        <v>2021.0</v>
      </c>
      <c r="E337" s="11" t="s">
        <v>958</v>
      </c>
      <c r="F337" s="11" t="s">
        <v>18</v>
      </c>
      <c r="G337" s="11" t="s">
        <v>49</v>
      </c>
      <c r="H337" s="4"/>
      <c r="I337" s="4"/>
      <c r="J337" s="4"/>
      <c r="K337" s="4"/>
      <c r="L337" s="4"/>
      <c r="M337" s="4"/>
      <c r="N337" s="4"/>
      <c r="O337" s="4"/>
      <c r="P337" s="4"/>
      <c r="Q337" s="4"/>
      <c r="R337" s="4"/>
      <c r="S337" s="4"/>
      <c r="T337" s="4"/>
      <c r="U337" s="4"/>
      <c r="V337" s="4"/>
      <c r="W337" s="4"/>
      <c r="X337" s="4"/>
      <c r="Y337" s="4"/>
    </row>
    <row r="338">
      <c r="A338" s="11">
        <v>337.0</v>
      </c>
      <c r="B338" s="11" t="s">
        <v>959</v>
      </c>
      <c r="C338" s="6" t="s">
        <v>960</v>
      </c>
      <c r="D338" s="11">
        <v>2020.0</v>
      </c>
      <c r="E338" s="11" t="s">
        <v>961</v>
      </c>
      <c r="F338" s="11" t="s">
        <v>18</v>
      </c>
      <c r="G338" s="11" t="s">
        <v>49</v>
      </c>
      <c r="H338" s="4"/>
      <c r="I338" s="4"/>
      <c r="J338" s="4"/>
      <c r="K338" s="4"/>
      <c r="L338" s="4"/>
      <c r="M338" s="4"/>
      <c r="N338" s="4"/>
      <c r="O338" s="4"/>
      <c r="P338" s="4"/>
      <c r="Q338" s="4"/>
      <c r="R338" s="4"/>
      <c r="S338" s="4"/>
      <c r="T338" s="4"/>
      <c r="U338" s="4"/>
      <c r="V338" s="4"/>
      <c r="W338" s="4"/>
      <c r="X338" s="4"/>
      <c r="Y338" s="4"/>
    </row>
    <row r="339">
      <c r="A339" s="12">
        <v>338.0</v>
      </c>
      <c r="B339" s="11" t="s">
        <v>962</v>
      </c>
      <c r="C339" s="6" t="s">
        <v>963</v>
      </c>
      <c r="D339" s="11">
        <v>2025.0</v>
      </c>
      <c r="E339" s="11" t="s">
        <v>964</v>
      </c>
      <c r="F339" s="11" t="s">
        <v>18</v>
      </c>
      <c r="G339" s="11" t="s">
        <v>49</v>
      </c>
      <c r="H339" s="4"/>
      <c r="I339" s="4"/>
      <c r="J339" s="4"/>
      <c r="K339" s="4"/>
      <c r="L339" s="4"/>
      <c r="M339" s="4"/>
      <c r="N339" s="4"/>
      <c r="O339" s="4"/>
      <c r="P339" s="4"/>
      <c r="Q339" s="4"/>
      <c r="R339" s="4"/>
      <c r="S339" s="4"/>
      <c r="T339" s="4"/>
      <c r="U339" s="4"/>
      <c r="V339" s="4"/>
      <c r="W339" s="4"/>
      <c r="X339" s="4"/>
      <c r="Y339" s="4"/>
    </row>
    <row r="340">
      <c r="A340" s="12">
        <v>339.0</v>
      </c>
      <c r="B340" s="11" t="s">
        <v>965</v>
      </c>
      <c r="C340" s="6" t="s">
        <v>966</v>
      </c>
      <c r="D340" s="11">
        <v>2025.0</v>
      </c>
      <c r="E340" s="11" t="s">
        <v>967</v>
      </c>
      <c r="F340" s="11" t="s">
        <v>18</v>
      </c>
      <c r="G340" s="11" t="s">
        <v>49</v>
      </c>
      <c r="H340" s="4"/>
      <c r="I340" s="4"/>
      <c r="J340" s="4"/>
      <c r="K340" s="4"/>
      <c r="L340" s="4"/>
      <c r="M340" s="4"/>
      <c r="N340" s="4"/>
      <c r="O340" s="4"/>
      <c r="P340" s="4"/>
      <c r="Q340" s="4"/>
      <c r="R340" s="4"/>
      <c r="S340" s="4"/>
      <c r="T340" s="4"/>
      <c r="U340" s="4"/>
      <c r="V340" s="4"/>
      <c r="W340" s="4"/>
      <c r="X340" s="4"/>
      <c r="Y340" s="4"/>
    </row>
    <row r="341">
      <c r="A341" s="11">
        <v>340.0</v>
      </c>
      <c r="B341" s="11" t="s">
        <v>968</v>
      </c>
      <c r="C341" s="6" t="s">
        <v>969</v>
      </c>
      <c r="D341" s="11">
        <v>2020.0</v>
      </c>
      <c r="E341" s="11" t="s">
        <v>961</v>
      </c>
      <c r="F341" s="11" t="s">
        <v>18</v>
      </c>
      <c r="G341" s="11" t="s">
        <v>49</v>
      </c>
      <c r="H341" s="4"/>
      <c r="I341" s="4"/>
      <c r="J341" s="4"/>
      <c r="K341" s="4"/>
      <c r="L341" s="4"/>
      <c r="M341" s="4"/>
      <c r="N341" s="4"/>
      <c r="O341" s="4"/>
      <c r="P341" s="4"/>
      <c r="Q341" s="4"/>
      <c r="R341" s="4"/>
      <c r="S341" s="4"/>
      <c r="T341" s="4"/>
      <c r="U341" s="4"/>
      <c r="V341" s="4"/>
      <c r="W341" s="4"/>
      <c r="X341" s="4"/>
      <c r="Y341" s="4"/>
    </row>
    <row r="342">
      <c r="A342" s="11">
        <v>341.0</v>
      </c>
      <c r="B342" s="11" t="s">
        <v>970</v>
      </c>
      <c r="C342" s="6" t="s">
        <v>971</v>
      </c>
      <c r="D342" s="11">
        <v>2021.0</v>
      </c>
      <c r="E342" s="11" t="s">
        <v>930</v>
      </c>
      <c r="F342" s="11" t="s">
        <v>18</v>
      </c>
      <c r="G342" s="11" t="s">
        <v>49</v>
      </c>
      <c r="H342" s="4"/>
      <c r="I342" s="4"/>
      <c r="J342" s="4"/>
      <c r="K342" s="4"/>
      <c r="L342" s="4"/>
      <c r="M342" s="4"/>
      <c r="N342" s="4"/>
      <c r="O342" s="4"/>
      <c r="P342" s="4"/>
      <c r="Q342" s="4"/>
      <c r="R342" s="4"/>
      <c r="S342" s="4"/>
      <c r="T342" s="4"/>
      <c r="U342" s="4"/>
      <c r="V342" s="4"/>
      <c r="W342" s="4"/>
      <c r="X342" s="4"/>
      <c r="Y342" s="4"/>
    </row>
    <row r="343">
      <c r="A343" s="12">
        <v>342.0</v>
      </c>
      <c r="B343" s="11" t="s">
        <v>972</v>
      </c>
      <c r="C343" s="6" t="s">
        <v>973</v>
      </c>
      <c r="D343" s="11">
        <v>2020.0</v>
      </c>
      <c r="E343" s="11" t="s">
        <v>967</v>
      </c>
      <c r="F343" s="11" t="s">
        <v>18</v>
      </c>
      <c r="G343" s="11" t="s">
        <v>49</v>
      </c>
      <c r="H343" s="4"/>
      <c r="I343" s="4"/>
      <c r="J343" s="4"/>
      <c r="K343" s="4"/>
      <c r="L343" s="4"/>
      <c r="M343" s="4"/>
      <c r="N343" s="4"/>
      <c r="O343" s="4"/>
      <c r="P343" s="4"/>
      <c r="Q343" s="4"/>
      <c r="R343" s="4"/>
      <c r="S343" s="4"/>
      <c r="T343" s="4"/>
      <c r="U343" s="4"/>
      <c r="V343" s="4"/>
      <c r="W343" s="4"/>
      <c r="X343" s="4"/>
      <c r="Y343" s="4"/>
    </row>
    <row r="344">
      <c r="A344" s="12">
        <v>343.0</v>
      </c>
      <c r="B344" s="11" t="s">
        <v>974</v>
      </c>
      <c r="C344" s="6" t="s">
        <v>975</v>
      </c>
      <c r="D344" s="11">
        <v>2022.0</v>
      </c>
      <c r="E344" s="11" t="s">
        <v>976</v>
      </c>
      <c r="F344" s="11" t="s">
        <v>18</v>
      </c>
      <c r="G344" s="11" t="s">
        <v>49</v>
      </c>
      <c r="H344" s="4"/>
      <c r="I344" s="4"/>
      <c r="J344" s="4"/>
      <c r="K344" s="4"/>
      <c r="L344" s="4"/>
      <c r="M344" s="4"/>
      <c r="N344" s="4"/>
      <c r="O344" s="4"/>
      <c r="P344" s="4"/>
      <c r="Q344" s="4"/>
      <c r="R344" s="4"/>
      <c r="S344" s="4"/>
      <c r="T344" s="4"/>
      <c r="U344" s="4"/>
      <c r="V344" s="4"/>
      <c r="W344" s="4"/>
      <c r="X344" s="4"/>
      <c r="Y344" s="4"/>
    </row>
    <row r="345">
      <c r="A345" s="11">
        <v>344.0</v>
      </c>
      <c r="B345" s="11" t="s">
        <v>977</v>
      </c>
      <c r="C345" s="6" t="s">
        <v>978</v>
      </c>
      <c r="D345" s="11">
        <v>2022.0</v>
      </c>
      <c r="E345" s="11" t="s">
        <v>979</v>
      </c>
      <c r="F345" s="11" t="s">
        <v>18</v>
      </c>
      <c r="G345" s="11" t="s">
        <v>49</v>
      </c>
      <c r="H345" s="4"/>
      <c r="I345" s="4"/>
      <c r="J345" s="4"/>
      <c r="K345" s="4"/>
      <c r="L345" s="4"/>
      <c r="M345" s="4"/>
      <c r="N345" s="4"/>
      <c r="O345" s="4"/>
      <c r="P345" s="4"/>
      <c r="Q345" s="4"/>
      <c r="R345" s="4"/>
      <c r="S345" s="4"/>
      <c r="T345" s="4"/>
      <c r="U345" s="4"/>
      <c r="V345" s="4"/>
      <c r="W345" s="4"/>
      <c r="X345" s="4"/>
      <c r="Y345" s="4"/>
    </row>
    <row r="346">
      <c r="A346" s="11">
        <v>345.0</v>
      </c>
      <c r="B346" s="11" t="s">
        <v>980</v>
      </c>
      <c r="C346" s="6" t="s">
        <v>981</v>
      </c>
      <c r="D346" s="11">
        <v>2021.0</v>
      </c>
      <c r="E346" s="11" t="s">
        <v>982</v>
      </c>
      <c r="F346" s="11" t="s">
        <v>18</v>
      </c>
      <c r="G346" s="11" t="s">
        <v>49</v>
      </c>
      <c r="H346" s="4"/>
      <c r="I346" s="4"/>
      <c r="J346" s="4"/>
      <c r="K346" s="4"/>
      <c r="L346" s="4"/>
      <c r="M346" s="4"/>
      <c r="N346" s="4"/>
      <c r="O346" s="4"/>
      <c r="P346" s="4"/>
      <c r="Q346" s="4"/>
      <c r="R346" s="4"/>
      <c r="S346" s="4"/>
      <c r="T346" s="4"/>
      <c r="U346" s="4"/>
      <c r="V346" s="4"/>
      <c r="W346" s="4"/>
      <c r="X346" s="4"/>
      <c r="Y346" s="4"/>
    </row>
    <row r="347">
      <c r="A347" s="12">
        <v>346.0</v>
      </c>
      <c r="B347" s="11" t="s">
        <v>983</v>
      </c>
      <c r="C347" s="6" t="s">
        <v>984</v>
      </c>
      <c r="D347" s="11">
        <v>2022.0</v>
      </c>
      <c r="E347" s="11" t="s">
        <v>985</v>
      </c>
      <c r="F347" s="11" t="s">
        <v>18</v>
      </c>
      <c r="G347" s="11" t="s">
        <v>49</v>
      </c>
      <c r="H347" s="4"/>
      <c r="I347" s="4"/>
      <c r="J347" s="4"/>
      <c r="K347" s="4"/>
      <c r="L347" s="4"/>
      <c r="M347" s="4"/>
      <c r="N347" s="4"/>
      <c r="O347" s="4"/>
      <c r="P347" s="4"/>
      <c r="Q347" s="4"/>
      <c r="R347" s="4"/>
      <c r="S347" s="4"/>
      <c r="T347" s="4"/>
      <c r="U347" s="4"/>
      <c r="V347" s="4"/>
      <c r="W347" s="4"/>
      <c r="X347" s="4"/>
      <c r="Y347" s="4"/>
    </row>
    <row r="348">
      <c r="A348" s="12">
        <v>347.0</v>
      </c>
      <c r="B348" s="11" t="s">
        <v>986</v>
      </c>
      <c r="C348" s="6" t="s">
        <v>987</v>
      </c>
      <c r="D348" s="11">
        <v>2020.0</v>
      </c>
      <c r="E348" s="11" t="s">
        <v>947</v>
      </c>
      <c r="F348" s="11" t="s">
        <v>18</v>
      </c>
      <c r="G348" s="11" t="s">
        <v>49</v>
      </c>
      <c r="H348" s="4"/>
      <c r="I348" s="4"/>
      <c r="J348" s="4"/>
      <c r="K348" s="4"/>
      <c r="L348" s="4"/>
      <c r="M348" s="4"/>
      <c r="N348" s="4"/>
      <c r="O348" s="4"/>
      <c r="P348" s="4"/>
      <c r="Q348" s="4"/>
      <c r="R348" s="4"/>
      <c r="S348" s="4"/>
      <c r="T348" s="4"/>
      <c r="U348" s="4"/>
      <c r="V348" s="4"/>
      <c r="W348" s="4"/>
      <c r="X348" s="4"/>
      <c r="Y348" s="4"/>
    </row>
    <row r="349">
      <c r="A349" s="11">
        <v>348.0</v>
      </c>
      <c r="B349" s="11" t="s">
        <v>988</v>
      </c>
      <c r="C349" s="6" t="s">
        <v>989</v>
      </c>
      <c r="D349" s="11">
        <v>2021.0</v>
      </c>
      <c r="E349" s="11" t="s">
        <v>947</v>
      </c>
      <c r="F349" s="11" t="s">
        <v>18</v>
      </c>
      <c r="G349" s="11" t="s">
        <v>49</v>
      </c>
      <c r="H349" s="4"/>
      <c r="I349" s="4"/>
      <c r="J349" s="4"/>
      <c r="K349" s="4"/>
      <c r="L349" s="4"/>
      <c r="M349" s="4"/>
      <c r="N349" s="4"/>
      <c r="O349" s="4"/>
      <c r="P349" s="4"/>
      <c r="Q349" s="4"/>
      <c r="R349" s="4"/>
      <c r="S349" s="4"/>
      <c r="T349" s="4"/>
      <c r="U349" s="4"/>
      <c r="V349" s="4"/>
      <c r="W349" s="4"/>
      <c r="X349" s="4"/>
      <c r="Y349" s="4"/>
    </row>
    <row r="350">
      <c r="A350" s="11">
        <v>349.0</v>
      </c>
      <c r="B350" s="11" t="s">
        <v>990</v>
      </c>
      <c r="C350" s="6" t="s">
        <v>991</v>
      </c>
      <c r="D350" s="11">
        <v>2022.0</v>
      </c>
      <c r="E350" s="11" t="s">
        <v>964</v>
      </c>
      <c r="F350" s="11" t="s">
        <v>18</v>
      </c>
      <c r="G350" s="11" t="s">
        <v>49</v>
      </c>
      <c r="H350" s="4"/>
      <c r="I350" s="4"/>
      <c r="J350" s="4"/>
      <c r="K350" s="4"/>
      <c r="L350" s="4"/>
      <c r="M350" s="4"/>
      <c r="N350" s="4"/>
      <c r="O350" s="4"/>
      <c r="P350" s="4"/>
      <c r="Q350" s="4"/>
      <c r="R350" s="4"/>
      <c r="S350" s="4"/>
      <c r="T350" s="4"/>
      <c r="U350" s="4"/>
      <c r="V350" s="4"/>
      <c r="W350" s="4"/>
      <c r="X350" s="4"/>
      <c r="Y350" s="4"/>
    </row>
    <row r="351">
      <c r="A351" s="12">
        <v>350.0</v>
      </c>
      <c r="B351" s="11" t="s">
        <v>992</v>
      </c>
      <c r="C351" s="6" t="s">
        <v>993</v>
      </c>
      <c r="D351" s="11">
        <v>2018.0</v>
      </c>
      <c r="E351" s="11" t="s">
        <v>947</v>
      </c>
      <c r="F351" s="11" t="s">
        <v>18</v>
      </c>
      <c r="G351" s="11" t="s">
        <v>49</v>
      </c>
      <c r="H351" s="4"/>
      <c r="I351" s="4"/>
      <c r="J351" s="4"/>
      <c r="K351" s="4"/>
      <c r="L351" s="4"/>
      <c r="M351" s="4"/>
      <c r="N351" s="4"/>
      <c r="O351" s="4"/>
      <c r="P351" s="4"/>
      <c r="Q351" s="4"/>
      <c r="R351" s="4"/>
      <c r="S351" s="4"/>
      <c r="T351" s="4"/>
      <c r="U351" s="4"/>
      <c r="V351" s="4"/>
      <c r="W351" s="4"/>
      <c r="X351" s="4"/>
      <c r="Y351" s="4"/>
    </row>
    <row r="352">
      <c r="A352" s="12">
        <v>351.0</v>
      </c>
      <c r="B352" s="11" t="s">
        <v>994</v>
      </c>
      <c r="C352" s="6" t="s">
        <v>995</v>
      </c>
      <c r="D352" s="11">
        <v>2021.0</v>
      </c>
      <c r="E352" s="11" t="s">
        <v>930</v>
      </c>
      <c r="F352" s="11" t="s">
        <v>18</v>
      </c>
      <c r="G352" s="11" t="s">
        <v>49</v>
      </c>
      <c r="H352" s="4"/>
      <c r="I352" s="4"/>
      <c r="J352" s="4"/>
      <c r="K352" s="4"/>
      <c r="L352" s="4"/>
      <c r="M352" s="4"/>
      <c r="N352" s="4"/>
      <c r="O352" s="4"/>
      <c r="P352" s="4"/>
      <c r="Q352" s="4"/>
      <c r="R352" s="4"/>
      <c r="S352" s="4"/>
      <c r="T352" s="4"/>
      <c r="U352" s="4"/>
      <c r="V352" s="4"/>
      <c r="W352" s="4"/>
      <c r="X352" s="4"/>
      <c r="Y352" s="4"/>
    </row>
    <row r="353">
      <c r="A353" s="11">
        <v>352.0</v>
      </c>
      <c r="B353" s="11" t="s">
        <v>996</v>
      </c>
      <c r="C353" s="6" t="s">
        <v>997</v>
      </c>
      <c r="D353" s="11">
        <v>2025.0</v>
      </c>
      <c r="E353" s="11" t="s">
        <v>998</v>
      </c>
      <c r="F353" s="11" t="s">
        <v>18</v>
      </c>
      <c r="G353" s="11" t="s">
        <v>49</v>
      </c>
      <c r="H353" s="4"/>
      <c r="I353" s="4"/>
      <c r="J353" s="4"/>
      <c r="K353" s="4"/>
      <c r="L353" s="4"/>
      <c r="M353" s="4"/>
      <c r="N353" s="4"/>
      <c r="O353" s="4"/>
      <c r="P353" s="4"/>
      <c r="Q353" s="4"/>
      <c r="R353" s="4"/>
      <c r="S353" s="4"/>
      <c r="T353" s="4"/>
      <c r="U353" s="4"/>
      <c r="V353" s="4"/>
      <c r="W353" s="4"/>
      <c r="X353" s="4"/>
      <c r="Y353" s="4"/>
    </row>
    <row r="354">
      <c r="A354" s="11">
        <v>353.0</v>
      </c>
      <c r="B354" s="11" t="s">
        <v>999</v>
      </c>
      <c r="C354" s="6" t="s">
        <v>1000</v>
      </c>
      <c r="D354" s="11">
        <v>2019.0</v>
      </c>
      <c r="E354" s="11" t="s">
        <v>1001</v>
      </c>
      <c r="F354" s="11" t="s">
        <v>18</v>
      </c>
      <c r="G354" s="11" t="s">
        <v>49</v>
      </c>
      <c r="H354" s="4"/>
      <c r="I354" s="4"/>
      <c r="J354" s="4"/>
      <c r="K354" s="4"/>
      <c r="L354" s="4"/>
      <c r="M354" s="4"/>
      <c r="N354" s="4"/>
      <c r="O354" s="4"/>
      <c r="P354" s="4"/>
      <c r="Q354" s="4"/>
      <c r="R354" s="4"/>
      <c r="S354" s="4"/>
      <c r="T354" s="4"/>
      <c r="U354" s="4"/>
      <c r="V354" s="4"/>
      <c r="W354" s="4"/>
      <c r="X354" s="4"/>
      <c r="Y354" s="4"/>
    </row>
    <row r="355">
      <c r="A355" s="12">
        <v>354.0</v>
      </c>
      <c r="B355" s="11" t="s">
        <v>1002</v>
      </c>
      <c r="C355" s="6" t="s">
        <v>1003</v>
      </c>
      <c r="D355" s="11">
        <v>2023.0</v>
      </c>
      <c r="E355" s="11" t="s">
        <v>958</v>
      </c>
      <c r="F355" s="11" t="s">
        <v>18</v>
      </c>
      <c r="G355" s="11" t="s">
        <v>49</v>
      </c>
      <c r="H355" s="4"/>
      <c r="I355" s="4"/>
      <c r="J355" s="4"/>
      <c r="K355" s="4"/>
      <c r="L355" s="4"/>
      <c r="M355" s="4"/>
      <c r="N355" s="4"/>
      <c r="O355" s="4"/>
      <c r="P355" s="4"/>
      <c r="Q355" s="4"/>
      <c r="R355" s="4"/>
      <c r="S355" s="4"/>
      <c r="T355" s="4"/>
      <c r="U355" s="4"/>
      <c r="V355" s="4"/>
      <c r="W355" s="4"/>
      <c r="X355" s="4"/>
      <c r="Y355" s="4"/>
    </row>
    <row r="356">
      <c r="A356" s="12">
        <v>355.0</v>
      </c>
      <c r="B356" s="11" t="s">
        <v>1004</v>
      </c>
      <c r="C356" s="6" t="s">
        <v>1005</v>
      </c>
      <c r="D356" s="11">
        <v>2022.0</v>
      </c>
      <c r="E356" s="11" t="s">
        <v>930</v>
      </c>
      <c r="F356" s="11" t="s">
        <v>18</v>
      </c>
      <c r="G356" s="11" t="s">
        <v>49</v>
      </c>
      <c r="H356" s="4"/>
      <c r="I356" s="4"/>
      <c r="J356" s="4"/>
      <c r="K356" s="4"/>
      <c r="L356" s="4"/>
      <c r="M356" s="4"/>
      <c r="N356" s="4"/>
      <c r="O356" s="4"/>
      <c r="P356" s="4"/>
      <c r="Q356" s="4"/>
      <c r="R356" s="4"/>
      <c r="S356" s="4"/>
      <c r="T356" s="4"/>
      <c r="U356" s="4"/>
      <c r="V356" s="4"/>
      <c r="W356" s="4"/>
      <c r="X356" s="4"/>
      <c r="Y356" s="4"/>
    </row>
    <row r="357">
      <c r="A357" s="11">
        <v>356.0</v>
      </c>
      <c r="B357" s="11" t="s">
        <v>1006</v>
      </c>
      <c r="C357" s="6" t="s">
        <v>1007</v>
      </c>
      <c r="D357" s="11">
        <v>2019.0</v>
      </c>
      <c r="E357" s="11" t="s">
        <v>930</v>
      </c>
      <c r="F357" s="11" t="s">
        <v>18</v>
      </c>
      <c r="G357" s="11" t="s">
        <v>49</v>
      </c>
      <c r="H357" s="4"/>
      <c r="I357" s="4"/>
      <c r="J357" s="4"/>
      <c r="K357" s="4"/>
      <c r="L357" s="4"/>
      <c r="M357" s="4"/>
      <c r="N357" s="4"/>
      <c r="O357" s="4"/>
      <c r="P357" s="4"/>
      <c r="Q357" s="4"/>
      <c r="R357" s="4"/>
      <c r="S357" s="4"/>
      <c r="T357" s="4"/>
      <c r="U357" s="4"/>
      <c r="V357" s="4"/>
      <c r="W357" s="4"/>
      <c r="X357" s="4"/>
      <c r="Y357" s="4"/>
    </row>
    <row r="358">
      <c r="A358" s="11">
        <v>357.0</v>
      </c>
      <c r="B358" s="11" t="s">
        <v>1008</v>
      </c>
      <c r="C358" s="6" t="s">
        <v>1009</v>
      </c>
      <c r="D358" s="11">
        <v>2023.0</v>
      </c>
      <c r="E358" s="11" t="s">
        <v>958</v>
      </c>
      <c r="F358" s="11" t="s">
        <v>18</v>
      </c>
      <c r="G358" s="11" t="s">
        <v>49</v>
      </c>
      <c r="H358" s="4"/>
      <c r="I358" s="4"/>
      <c r="J358" s="4"/>
      <c r="K358" s="4"/>
      <c r="L358" s="4"/>
      <c r="M358" s="4"/>
      <c r="N358" s="4"/>
      <c r="O358" s="4"/>
      <c r="P358" s="4"/>
      <c r="Q358" s="4"/>
      <c r="R358" s="4"/>
      <c r="S358" s="4"/>
      <c r="T358" s="4"/>
      <c r="U358" s="4"/>
      <c r="V358" s="4"/>
      <c r="W358" s="4"/>
      <c r="X358" s="4"/>
      <c r="Y358" s="4"/>
    </row>
    <row r="359">
      <c r="A359" s="12">
        <v>358.0</v>
      </c>
      <c r="B359" s="11" t="s">
        <v>1010</v>
      </c>
      <c r="C359" s="6" t="s">
        <v>1011</v>
      </c>
      <c r="D359" s="11">
        <v>2021.0</v>
      </c>
      <c r="E359" s="11" t="s">
        <v>924</v>
      </c>
      <c r="F359" s="11" t="s">
        <v>18</v>
      </c>
      <c r="G359" s="11" t="s">
        <v>49</v>
      </c>
      <c r="H359" s="4"/>
      <c r="I359" s="4"/>
      <c r="J359" s="4"/>
      <c r="K359" s="4"/>
      <c r="L359" s="4"/>
      <c r="M359" s="4"/>
      <c r="N359" s="4"/>
      <c r="O359" s="4"/>
      <c r="P359" s="4"/>
      <c r="Q359" s="4"/>
      <c r="R359" s="4"/>
      <c r="S359" s="4"/>
      <c r="T359" s="4"/>
      <c r="U359" s="4"/>
      <c r="V359" s="4"/>
      <c r="W359" s="4"/>
      <c r="X359" s="4"/>
      <c r="Y359" s="4"/>
    </row>
    <row r="360">
      <c r="A360" s="12">
        <v>359.0</v>
      </c>
      <c r="B360" s="11" t="s">
        <v>1012</v>
      </c>
      <c r="C360" s="6" t="s">
        <v>1013</v>
      </c>
      <c r="D360" s="11">
        <v>2020.0</v>
      </c>
      <c r="E360" s="11" t="s">
        <v>1014</v>
      </c>
      <c r="F360" s="11" t="s">
        <v>18</v>
      </c>
      <c r="G360" s="11" t="s">
        <v>49</v>
      </c>
      <c r="H360" s="4"/>
      <c r="I360" s="4"/>
      <c r="J360" s="4"/>
      <c r="K360" s="4"/>
      <c r="L360" s="4"/>
      <c r="M360" s="4"/>
      <c r="N360" s="4"/>
      <c r="O360" s="4"/>
      <c r="P360" s="4"/>
      <c r="Q360" s="4"/>
      <c r="R360" s="4"/>
      <c r="S360" s="4"/>
      <c r="T360" s="4"/>
      <c r="U360" s="4"/>
      <c r="V360" s="4"/>
      <c r="W360" s="4"/>
      <c r="X360" s="4"/>
      <c r="Y360" s="4"/>
    </row>
    <row r="361">
      <c r="A361" s="11">
        <v>360.0</v>
      </c>
      <c r="B361" s="11" t="s">
        <v>1015</v>
      </c>
      <c r="C361" s="6" t="s">
        <v>1016</v>
      </c>
      <c r="D361" s="11">
        <v>2016.0</v>
      </c>
      <c r="E361" s="11" t="s">
        <v>958</v>
      </c>
      <c r="F361" s="11" t="s">
        <v>18</v>
      </c>
      <c r="G361" s="11" t="s">
        <v>49</v>
      </c>
      <c r="H361" s="4"/>
      <c r="I361" s="4"/>
      <c r="J361" s="4"/>
      <c r="K361" s="4"/>
      <c r="L361" s="4"/>
      <c r="M361" s="4"/>
      <c r="N361" s="4"/>
      <c r="O361" s="4"/>
      <c r="P361" s="4"/>
      <c r="Q361" s="4"/>
      <c r="R361" s="4"/>
      <c r="S361" s="4"/>
      <c r="T361" s="4"/>
      <c r="U361" s="4"/>
      <c r="V361" s="4"/>
      <c r="W361" s="4"/>
      <c r="X361" s="4"/>
      <c r="Y361" s="4"/>
    </row>
    <row r="362">
      <c r="A362" s="11">
        <v>361.0</v>
      </c>
      <c r="B362" s="11" t="s">
        <v>1017</v>
      </c>
      <c r="C362" s="6" t="s">
        <v>1018</v>
      </c>
      <c r="D362" s="11">
        <v>2015.0</v>
      </c>
      <c r="E362" s="11" t="s">
        <v>1019</v>
      </c>
      <c r="F362" s="11" t="s">
        <v>18</v>
      </c>
      <c r="G362" s="11" t="s">
        <v>49</v>
      </c>
      <c r="H362" s="4"/>
      <c r="I362" s="4"/>
      <c r="J362" s="4"/>
      <c r="K362" s="4"/>
      <c r="L362" s="4"/>
      <c r="M362" s="4"/>
      <c r="N362" s="4"/>
      <c r="O362" s="4"/>
      <c r="P362" s="4"/>
      <c r="Q362" s="4"/>
      <c r="R362" s="4"/>
      <c r="S362" s="4"/>
      <c r="T362" s="4"/>
      <c r="U362" s="4"/>
      <c r="V362" s="4"/>
      <c r="W362" s="4"/>
      <c r="X362" s="4"/>
      <c r="Y362" s="4"/>
    </row>
    <row r="363">
      <c r="A363" s="12">
        <v>362.0</v>
      </c>
      <c r="B363" s="11" t="s">
        <v>1020</v>
      </c>
      <c r="C363" s="6" t="s">
        <v>1021</v>
      </c>
      <c r="D363" s="11">
        <v>2022.0</v>
      </c>
      <c r="E363" s="11" t="s">
        <v>1022</v>
      </c>
      <c r="F363" s="11" t="s">
        <v>18</v>
      </c>
      <c r="G363" s="11" t="s">
        <v>49</v>
      </c>
      <c r="H363" s="4"/>
      <c r="I363" s="4"/>
      <c r="J363" s="4"/>
      <c r="K363" s="4"/>
      <c r="L363" s="4"/>
      <c r="M363" s="4"/>
      <c r="N363" s="4"/>
      <c r="O363" s="4"/>
      <c r="P363" s="4"/>
      <c r="Q363" s="4"/>
      <c r="R363" s="4"/>
      <c r="S363" s="4"/>
      <c r="T363" s="4"/>
      <c r="U363" s="4"/>
      <c r="V363" s="4"/>
      <c r="W363" s="4"/>
      <c r="X363" s="4"/>
      <c r="Y363" s="4"/>
    </row>
    <row r="364">
      <c r="A364" s="12">
        <v>363.0</v>
      </c>
      <c r="B364" s="11" t="s">
        <v>1023</v>
      </c>
      <c r="C364" s="6" t="s">
        <v>1024</v>
      </c>
      <c r="D364" s="11">
        <v>2021.0</v>
      </c>
      <c r="E364" s="11" t="s">
        <v>958</v>
      </c>
      <c r="F364" s="11" t="s">
        <v>18</v>
      </c>
      <c r="G364" s="11" t="s">
        <v>49</v>
      </c>
      <c r="H364" s="4"/>
      <c r="I364" s="4"/>
      <c r="J364" s="4"/>
      <c r="K364" s="4"/>
      <c r="L364" s="4"/>
      <c r="M364" s="4"/>
      <c r="N364" s="4"/>
      <c r="O364" s="4"/>
      <c r="P364" s="4"/>
      <c r="Q364" s="4"/>
      <c r="R364" s="4"/>
      <c r="S364" s="4"/>
      <c r="T364" s="4"/>
      <c r="U364" s="4"/>
      <c r="V364" s="4"/>
      <c r="W364" s="4"/>
      <c r="X364" s="4"/>
      <c r="Y364" s="4"/>
    </row>
    <row r="365">
      <c r="A365" s="11">
        <v>364.0</v>
      </c>
      <c r="B365" s="11" t="s">
        <v>1025</v>
      </c>
      <c r="C365" s="6" t="s">
        <v>1026</v>
      </c>
      <c r="D365" s="11">
        <v>2025.0</v>
      </c>
      <c r="E365" s="11" t="s">
        <v>967</v>
      </c>
      <c r="F365" s="11" t="s">
        <v>18</v>
      </c>
      <c r="G365" s="11" t="s">
        <v>49</v>
      </c>
      <c r="H365" s="4"/>
      <c r="I365" s="4"/>
      <c r="J365" s="4"/>
      <c r="K365" s="4"/>
      <c r="L365" s="4"/>
      <c r="M365" s="4"/>
      <c r="N365" s="4"/>
      <c r="O365" s="4"/>
      <c r="P365" s="4"/>
      <c r="Q365" s="4"/>
      <c r="R365" s="4"/>
      <c r="S365" s="4"/>
      <c r="T365" s="4"/>
      <c r="U365" s="4"/>
      <c r="V365" s="4"/>
      <c r="W365" s="4"/>
      <c r="X365" s="4"/>
      <c r="Y365" s="4"/>
    </row>
    <row r="366">
      <c r="A366" s="11">
        <v>365.0</v>
      </c>
      <c r="B366" s="11" t="s">
        <v>1027</v>
      </c>
      <c r="C366" s="6" t="s">
        <v>1028</v>
      </c>
      <c r="D366" s="11">
        <v>2021.0</v>
      </c>
      <c r="E366" s="11" t="s">
        <v>1029</v>
      </c>
      <c r="F366" s="11" t="s">
        <v>18</v>
      </c>
      <c r="G366" s="11" t="s">
        <v>49</v>
      </c>
      <c r="H366" s="4"/>
      <c r="I366" s="4"/>
      <c r="J366" s="4"/>
      <c r="K366" s="4"/>
      <c r="L366" s="4"/>
      <c r="M366" s="4"/>
      <c r="N366" s="4"/>
      <c r="O366" s="4"/>
      <c r="P366" s="4"/>
      <c r="Q366" s="4"/>
      <c r="R366" s="4"/>
      <c r="S366" s="4"/>
      <c r="T366" s="4"/>
      <c r="U366" s="4"/>
      <c r="V366" s="4"/>
      <c r="W366" s="4"/>
      <c r="X366" s="4"/>
      <c r="Y366" s="4"/>
    </row>
    <row r="367">
      <c r="A367" s="12">
        <v>366.0</v>
      </c>
      <c r="B367" s="11" t="s">
        <v>1030</v>
      </c>
      <c r="C367" s="6" t="s">
        <v>1031</v>
      </c>
      <c r="D367" s="11">
        <v>2024.0</v>
      </c>
      <c r="E367" s="11" t="s">
        <v>1032</v>
      </c>
      <c r="F367" s="11" t="s">
        <v>20</v>
      </c>
      <c r="G367" s="11" t="s">
        <v>1033</v>
      </c>
      <c r="H367" s="4"/>
      <c r="I367" s="4"/>
      <c r="J367" s="4"/>
      <c r="K367" s="4"/>
      <c r="L367" s="4"/>
      <c r="M367" s="4"/>
      <c r="N367" s="4"/>
      <c r="O367" s="4"/>
      <c r="P367" s="4"/>
      <c r="Q367" s="4"/>
      <c r="R367" s="4"/>
      <c r="S367" s="4"/>
      <c r="T367" s="4"/>
      <c r="U367" s="4"/>
      <c r="V367" s="4"/>
      <c r="W367" s="4"/>
      <c r="X367" s="4"/>
      <c r="Y367" s="4"/>
    </row>
    <row r="368">
      <c r="A368" s="12">
        <v>367.0</v>
      </c>
      <c r="B368" s="11" t="s">
        <v>1034</v>
      </c>
      <c r="C368" s="6" t="s">
        <v>1035</v>
      </c>
      <c r="D368" s="11">
        <v>2021.0</v>
      </c>
      <c r="E368" s="11" t="s">
        <v>1032</v>
      </c>
      <c r="F368" s="11" t="s">
        <v>20</v>
      </c>
      <c r="G368" s="11" t="s">
        <v>1033</v>
      </c>
      <c r="H368" s="4"/>
      <c r="I368" s="4"/>
      <c r="J368" s="4"/>
      <c r="K368" s="4"/>
      <c r="L368" s="4"/>
      <c r="M368" s="4"/>
      <c r="N368" s="4"/>
      <c r="O368" s="4"/>
      <c r="P368" s="4"/>
      <c r="Q368" s="4"/>
      <c r="R368" s="4"/>
      <c r="S368" s="4"/>
      <c r="T368" s="4"/>
      <c r="U368" s="4"/>
      <c r="V368" s="4"/>
      <c r="W368" s="4"/>
      <c r="X368" s="4"/>
      <c r="Y368" s="4"/>
    </row>
    <row r="369">
      <c r="A369" s="11">
        <v>368.0</v>
      </c>
      <c r="B369" s="11" t="s">
        <v>1036</v>
      </c>
      <c r="C369" s="6" t="s">
        <v>1037</v>
      </c>
      <c r="D369" s="4"/>
      <c r="E369" s="11" t="s">
        <v>1038</v>
      </c>
      <c r="F369" s="11" t="s">
        <v>20</v>
      </c>
      <c r="G369" s="11" t="s">
        <v>39</v>
      </c>
      <c r="H369" s="4"/>
      <c r="I369" s="4"/>
      <c r="J369" s="4"/>
      <c r="K369" s="4"/>
      <c r="L369" s="4"/>
      <c r="M369" s="4"/>
      <c r="N369" s="4"/>
      <c r="O369" s="4"/>
      <c r="P369" s="4"/>
      <c r="Q369" s="4"/>
      <c r="R369" s="4"/>
      <c r="S369" s="4"/>
      <c r="T369" s="4"/>
      <c r="U369" s="4"/>
      <c r="V369" s="4"/>
      <c r="W369" s="4"/>
      <c r="X369" s="4"/>
      <c r="Y369" s="4"/>
    </row>
    <row r="370">
      <c r="A370" s="11">
        <v>369.0</v>
      </c>
      <c r="B370" s="11" t="s">
        <v>1039</v>
      </c>
      <c r="C370" s="6" t="s">
        <v>1040</v>
      </c>
      <c r="D370" s="11">
        <v>2016.0</v>
      </c>
      <c r="E370" s="11" t="s">
        <v>1041</v>
      </c>
      <c r="F370" s="11" t="s">
        <v>20</v>
      </c>
      <c r="G370" s="11" t="s">
        <v>49</v>
      </c>
      <c r="H370" s="4"/>
      <c r="I370" s="4"/>
      <c r="J370" s="4"/>
      <c r="K370" s="4"/>
      <c r="L370" s="4"/>
      <c r="M370" s="4"/>
      <c r="N370" s="4"/>
      <c r="O370" s="4"/>
      <c r="P370" s="4"/>
      <c r="Q370" s="4"/>
      <c r="R370" s="4"/>
      <c r="S370" s="4"/>
      <c r="T370" s="4"/>
      <c r="U370" s="4"/>
      <c r="V370" s="4"/>
      <c r="W370" s="4"/>
      <c r="X370" s="4"/>
      <c r="Y370" s="4"/>
    </row>
    <row r="371">
      <c r="A371" s="12">
        <v>370.0</v>
      </c>
      <c r="B371" s="11" t="s">
        <v>1042</v>
      </c>
      <c r="C371" s="6" t="s">
        <v>1043</v>
      </c>
      <c r="D371" s="11">
        <v>2016.0</v>
      </c>
      <c r="E371" s="4"/>
      <c r="F371" s="11" t="s">
        <v>20</v>
      </c>
      <c r="G371" s="11" t="s">
        <v>49</v>
      </c>
      <c r="H371" s="4"/>
      <c r="I371" s="4"/>
      <c r="J371" s="4"/>
      <c r="K371" s="4"/>
      <c r="L371" s="4"/>
      <c r="M371" s="4"/>
      <c r="N371" s="4"/>
      <c r="O371" s="4"/>
      <c r="P371" s="4"/>
      <c r="Q371" s="4"/>
      <c r="R371" s="4"/>
      <c r="S371" s="4"/>
      <c r="T371" s="4"/>
      <c r="U371" s="4"/>
      <c r="V371" s="4"/>
      <c r="W371" s="4"/>
      <c r="X371" s="4"/>
      <c r="Y371" s="4"/>
    </row>
    <row r="372">
      <c r="A372" s="12">
        <v>371.0</v>
      </c>
      <c r="B372" s="11" t="s">
        <v>1044</v>
      </c>
      <c r="C372" s="6" t="s">
        <v>1045</v>
      </c>
      <c r="D372" s="11">
        <v>2024.0</v>
      </c>
      <c r="E372" s="11" t="s">
        <v>1046</v>
      </c>
      <c r="F372" s="11" t="s">
        <v>20</v>
      </c>
      <c r="G372" s="11" t="s">
        <v>1033</v>
      </c>
      <c r="H372" s="4"/>
      <c r="I372" s="4"/>
      <c r="J372" s="4"/>
      <c r="K372" s="4"/>
      <c r="L372" s="4"/>
      <c r="M372" s="4"/>
      <c r="N372" s="4"/>
      <c r="O372" s="4"/>
      <c r="P372" s="4"/>
      <c r="Q372" s="4"/>
      <c r="R372" s="4"/>
      <c r="S372" s="4"/>
      <c r="T372" s="4"/>
      <c r="U372" s="4"/>
      <c r="V372" s="4"/>
      <c r="W372" s="4"/>
      <c r="X372" s="4"/>
      <c r="Y372" s="4"/>
    </row>
    <row r="373">
      <c r="A373" s="11">
        <v>372.0</v>
      </c>
      <c r="B373" s="11" t="s">
        <v>1047</v>
      </c>
      <c r="C373" s="6" t="s">
        <v>1048</v>
      </c>
      <c r="D373" s="11">
        <v>2021.0</v>
      </c>
      <c r="E373" s="11" t="s">
        <v>1049</v>
      </c>
      <c r="F373" s="11" t="s">
        <v>20</v>
      </c>
      <c r="G373" s="11" t="s">
        <v>1033</v>
      </c>
      <c r="H373" s="4"/>
      <c r="I373" s="4"/>
      <c r="J373" s="4"/>
      <c r="K373" s="4"/>
      <c r="L373" s="4"/>
      <c r="M373" s="4"/>
      <c r="N373" s="4"/>
      <c r="O373" s="4"/>
      <c r="P373" s="4"/>
      <c r="Q373" s="4"/>
      <c r="R373" s="4"/>
      <c r="S373" s="4"/>
      <c r="T373" s="4"/>
      <c r="U373" s="4"/>
      <c r="V373" s="4"/>
      <c r="W373" s="4"/>
      <c r="X373" s="4"/>
      <c r="Y373" s="4"/>
    </row>
    <row r="374">
      <c r="A374" s="11">
        <v>373.0</v>
      </c>
      <c r="B374" s="11" t="s">
        <v>1050</v>
      </c>
      <c r="C374" s="6" t="s">
        <v>1051</v>
      </c>
      <c r="D374" s="11">
        <v>2015.0</v>
      </c>
      <c r="E374" s="11" t="s">
        <v>1052</v>
      </c>
      <c r="F374" s="11" t="s">
        <v>20</v>
      </c>
      <c r="G374" s="11" t="s">
        <v>49</v>
      </c>
      <c r="H374" s="4"/>
      <c r="I374" s="4"/>
      <c r="J374" s="4"/>
      <c r="K374" s="4"/>
      <c r="L374" s="4"/>
      <c r="M374" s="4"/>
      <c r="N374" s="4"/>
      <c r="O374" s="4"/>
      <c r="P374" s="4"/>
      <c r="Q374" s="4"/>
      <c r="R374" s="4"/>
      <c r="S374" s="4"/>
      <c r="T374" s="4"/>
      <c r="U374" s="4"/>
      <c r="V374" s="4"/>
      <c r="W374" s="4"/>
      <c r="X374" s="4"/>
      <c r="Y374" s="4"/>
    </row>
    <row r="375">
      <c r="A375" s="12">
        <v>374.0</v>
      </c>
      <c r="B375" s="11" t="s">
        <v>1053</v>
      </c>
      <c r="C375" s="6" t="s">
        <v>1054</v>
      </c>
      <c r="D375" s="11">
        <v>2019.0</v>
      </c>
      <c r="E375" s="4"/>
      <c r="F375" s="11" t="s">
        <v>20</v>
      </c>
      <c r="G375" s="11" t="s">
        <v>49</v>
      </c>
      <c r="H375" s="4"/>
      <c r="I375" s="4"/>
      <c r="J375" s="4"/>
      <c r="K375" s="4"/>
      <c r="L375" s="4"/>
      <c r="M375" s="4"/>
      <c r="N375" s="4"/>
      <c r="O375" s="4"/>
      <c r="P375" s="4"/>
      <c r="Q375" s="4"/>
      <c r="R375" s="4"/>
      <c r="S375" s="4"/>
      <c r="T375" s="4"/>
      <c r="U375" s="4"/>
      <c r="V375" s="4"/>
      <c r="W375" s="4"/>
      <c r="X375" s="4"/>
      <c r="Y375" s="4"/>
    </row>
    <row r="376">
      <c r="A376" s="11">
        <v>375.0</v>
      </c>
      <c r="B376" s="11" t="s">
        <v>1055</v>
      </c>
      <c r="C376" s="6" t="s">
        <v>1056</v>
      </c>
      <c r="D376" s="4"/>
      <c r="E376" s="4"/>
      <c r="F376" s="11" t="s">
        <v>20</v>
      </c>
      <c r="G376" s="11" t="s">
        <v>49</v>
      </c>
      <c r="H376" s="4"/>
      <c r="I376" s="4"/>
      <c r="J376" s="4"/>
      <c r="K376" s="4"/>
      <c r="L376" s="4"/>
      <c r="M376" s="4"/>
      <c r="N376" s="4"/>
      <c r="O376" s="4"/>
      <c r="P376" s="4"/>
      <c r="Q376" s="4"/>
      <c r="R376" s="4"/>
      <c r="S376" s="4"/>
      <c r="T376" s="4"/>
      <c r="U376" s="4"/>
      <c r="V376" s="4"/>
      <c r="W376" s="4"/>
      <c r="X376" s="4"/>
      <c r="Y376" s="4"/>
    </row>
    <row r="377">
      <c r="A377" s="11">
        <v>376.0</v>
      </c>
      <c r="B377" s="11" t="s">
        <v>1057</v>
      </c>
      <c r="C377" s="6" t="s">
        <v>1058</v>
      </c>
      <c r="D377" s="11">
        <v>2022.0</v>
      </c>
      <c r="E377" s="4"/>
      <c r="F377" s="11" t="s">
        <v>20</v>
      </c>
      <c r="G377" s="11" t="s">
        <v>1033</v>
      </c>
      <c r="H377" s="4"/>
      <c r="I377" s="4"/>
      <c r="J377" s="4"/>
      <c r="K377" s="4"/>
      <c r="L377" s="4"/>
      <c r="M377" s="4"/>
      <c r="N377" s="4"/>
      <c r="O377" s="4"/>
      <c r="P377" s="4"/>
      <c r="Q377" s="4"/>
      <c r="R377" s="4"/>
      <c r="S377" s="4"/>
      <c r="T377" s="4"/>
      <c r="U377" s="4"/>
      <c r="V377" s="4"/>
      <c r="W377" s="4"/>
      <c r="X377" s="4"/>
      <c r="Y377" s="4"/>
    </row>
    <row r="378">
      <c r="A378" s="12">
        <v>377.0</v>
      </c>
      <c r="B378" s="11" t="s">
        <v>1059</v>
      </c>
      <c r="C378" s="6" t="s">
        <v>1060</v>
      </c>
      <c r="D378" s="4"/>
      <c r="E378" s="4"/>
      <c r="F378" s="11" t="s">
        <v>20</v>
      </c>
      <c r="G378" s="11" t="s">
        <v>49</v>
      </c>
      <c r="H378" s="4"/>
      <c r="I378" s="4"/>
      <c r="J378" s="4"/>
      <c r="K378" s="4"/>
      <c r="L378" s="4"/>
      <c r="M378" s="4"/>
      <c r="N378" s="4"/>
      <c r="O378" s="4"/>
      <c r="P378" s="4"/>
      <c r="Q378" s="4"/>
      <c r="R378" s="4"/>
      <c r="S378" s="4"/>
      <c r="T378" s="4"/>
      <c r="U378" s="4"/>
      <c r="V378" s="4"/>
      <c r="W378" s="4"/>
      <c r="X378" s="4"/>
      <c r="Y378" s="4"/>
    </row>
    <row r="379">
      <c r="A379" s="11">
        <v>378.0</v>
      </c>
      <c r="B379" s="11" t="s">
        <v>1061</v>
      </c>
      <c r="C379" s="6" t="s">
        <v>1062</v>
      </c>
      <c r="D379" s="11">
        <v>2018.0</v>
      </c>
      <c r="E379" s="11" t="s">
        <v>1063</v>
      </c>
      <c r="F379" s="11" t="s">
        <v>20</v>
      </c>
      <c r="G379" s="11" t="s">
        <v>49</v>
      </c>
      <c r="H379" s="4"/>
      <c r="I379" s="4"/>
      <c r="J379" s="4"/>
      <c r="K379" s="4"/>
      <c r="L379" s="4"/>
      <c r="M379" s="4"/>
      <c r="N379" s="4"/>
      <c r="O379" s="4"/>
      <c r="P379" s="4"/>
      <c r="Q379" s="4"/>
      <c r="R379" s="4"/>
      <c r="S379" s="4"/>
      <c r="T379" s="4"/>
      <c r="U379" s="4"/>
      <c r="V379" s="4"/>
      <c r="W379" s="4"/>
      <c r="X379" s="4"/>
      <c r="Y379" s="4"/>
    </row>
    <row r="380">
      <c r="A380" s="11">
        <v>379.0</v>
      </c>
      <c r="B380" s="11" t="s">
        <v>1064</v>
      </c>
      <c r="C380" s="6" t="s">
        <v>1065</v>
      </c>
      <c r="D380" s="11">
        <v>2021.0</v>
      </c>
      <c r="E380" s="11" t="s">
        <v>1066</v>
      </c>
      <c r="F380" s="11" t="s">
        <v>20</v>
      </c>
      <c r="G380" s="11" t="s">
        <v>1033</v>
      </c>
      <c r="H380" s="4"/>
      <c r="I380" s="4"/>
      <c r="J380" s="4"/>
      <c r="K380" s="4"/>
      <c r="L380" s="4"/>
      <c r="M380" s="4"/>
      <c r="N380" s="4"/>
      <c r="O380" s="4"/>
      <c r="P380" s="4"/>
      <c r="Q380" s="4"/>
      <c r="R380" s="4"/>
      <c r="S380" s="4"/>
      <c r="T380" s="4"/>
      <c r="U380" s="4"/>
      <c r="V380" s="4"/>
      <c r="W380" s="4"/>
      <c r="X380" s="4"/>
      <c r="Y380" s="4"/>
    </row>
    <row r="381">
      <c r="A381" s="12">
        <v>380.0</v>
      </c>
      <c r="B381" s="11" t="s">
        <v>1067</v>
      </c>
      <c r="C381" s="6" t="s">
        <v>1068</v>
      </c>
      <c r="D381" s="11">
        <v>2021.0</v>
      </c>
      <c r="E381" s="11" t="s">
        <v>1069</v>
      </c>
      <c r="F381" s="11" t="s">
        <v>20</v>
      </c>
      <c r="G381" s="11" t="s">
        <v>49</v>
      </c>
      <c r="H381" s="4"/>
      <c r="I381" s="4"/>
      <c r="J381" s="4"/>
      <c r="K381" s="4"/>
      <c r="L381" s="4"/>
      <c r="M381" s="4"/>
      <c r="N381" s="4"/>
      <c r="O381" s="4"/>
      <c r="P381" s="4"/>
      <c r="Q381" s="4"/>
      <c r="R381" s="4"/>
      <c r="S381" s="4"/>
      <c r="T381" s="4"/>
      <c r="U381" s="4"/>
      <c r="V381" s="4"/>
      <c r="W381" s="4"/>
      <c r="X381" s="4"/>
      <c r="Y381" s="4"/>
    </row>
    <row r="382">
      <c r="A382" s="11">
        <v>381.0</v>
      </c>
      <c r="B382" s="11" t="s">
        <v>1070</v>
      </c>
      <c r="C382" s="6" t="s">
        <v>1071</v>
      </c>
      <c r="D382" s="11">
        <v>2018.0</v>
      </c>
      <c r="E382" s="11" t="s">
        <v>1072</v>
      </c>
      <c r="F382" s="11" t="s">
        <v>20</v>
      </c>
      <c r="G382" s="11" t="s">
        <v>49</v>
      </c>
      <c r="H382" s="4"/>
      <c r="I382" s="4"/>
      <c r="J382" s="4"/>
      <c r="K382" s="4"/>
      <c r="L382" s="4"/>
      <c r="M382" s="4"/>
      <c r="N382" s="4"/>
      <c r="O382" s="4"/>
      <c r="P382" s="4"/>
      <c r="Q382" s="4"/>
      <c r="R382" s="4"/>
      <c r="S382" s="4"/>
      <c r="T382" s="4"/>
      <c r="U382" s="4"/>
      <c r="V382" s="4"/>
      <c r="W382" s="4"/>
      <c r="X382" s="4"/>
      <c r="Y382" s="4"/>
    </row>
    <row r="383">
      <c r="A383" s="11">
        <v>382.0</v>
      </c>
      <c r="B383" s="11" t="s">
        <v>1073</v>
      </c>
      <c r="C383" s="6" t="s">
        <v>1074</v>
      </c>
      <c r="D383" s="11">
        <v>2020.0</v>
      </c>
      <c r="E383" s="11" t="s">
        <v>1075</v>
      </c>
      <c r="F383" s="11" t="s">
        <v>20</v>
      </c>
      <c r="G383" s="11" t="s">
        <v>1033</v>
      </c>
      <c r="H383" s="4"/>
      <c r="I383" s="4"/>
      <c r="J383" s="4"/>
      <c r="K383" s="4"/>
      <c r="L383" s="4"/>
      <c r="M383" s="4"/>
      <c r="N383" s="4"/>
      <c r="O383" s="4"/>
      <c r="P383" s="4"/>
      <c r="Q383" s="4"/>
      <c r="R383" s="4"/>
      <c r="S383" s="4"/>
      <c r="T383" s="4"/>
      <c r="U383" s="4"/>
      <c r="V383" s="4"/>
      <c r="W383" s="4"/>
      <c r="X383" s="4"/>
      <c r="Y383" s="4"/>
    </row>
    <row r="384">
      <c r="A384" s="12">
        <v>383.0</v>
      </c>
      <c r="B384" s="11" t="s">
        <v>1076</v>
      </c>
      <c r="C384" s="6" t="s">
        <v>1077</v>
      </c>
      <c r="D384" s="11">
        <v>2023.0</v>
      </c>
      <c r="E384" s="11" t="s">
        <v>1078</v>
      </c>
      <c r="F384" s="11" t="s">
        <v>20</v>
      </c>
      <c r="G384" s="11" t="s">
        <v>1033</v>
      </c>
      <c r="H384" s="4"/>
      <c r="I384" s="4"/>
      <c r="J384" s="4"/>
      <c r="K384" s="4"/>
      <c r="L384" s="4"/>
      <c r="M384" s="4"/>
      <c r="N384" s="4"/>
      <c r="O384" s="4"/>
      <c r="P384" s="4"/>
      <c r="Q384" s="4"/>
      <c r="R384" s="4"/>
      <c r="S384" s="4"/>
      <c r="T384" s="4"/>
      <c r="U384" s="4"/>
      <c r="V384" s="4"/>
      <c r="W384" s="4"/>
      <c r="X384" s="4"/>
      <c r="Y384" s="4"/>
    </row>
    <row r="385">
      <c r="A385" s="11">
        <v>384.0</v>
      </c>
      <c r="B385" s="11" t="s">
        <v>1079</v>
      </c>
      <c r="C385" s="6" t="s">
        <v>1080</v>
      </c>
      <c r="D385" s="11">
        <v>2025.0</v>
      </c>
      <c r="E385" s="11" t="s">
        <v>1081</v>
      </c>
      <c r="F385" s="11" t="s">
        <v>20</v>
      </c>
      <c r="G385" s="11" t="s">
        <v>1033</v>
      </c>
      <c r="H385" s="4"/>
      <c r="I385" s="4"/>
      <c r="J385" s="4"/>
      <c r="K385" s="4"/>
      <c r="L385" s="4"/>
      <c r="M385" s="4"/>
      <c r="N385" s="4"/>
      <c r="O385" s="4"/>
      <c r="P385" s="4"/>
      <c r="Q385" s="4"/>
      <c r="R385" s="4"/>
      <c r="S385" s="4"/>
      <c r="T385" s="4"/>
      <c r="U385" s="4"/>
      <c r="V385" s="4"/>
      <c r="W385" s="4"/>
      <c r="X385" s="4"/>
      <c r="Y385" s="4"/>
    </row>
    <row r="386">
      <c r="A386" s="11">
        <v>385.0</v>
      </c>
      <c r="B386" s="11" t="s">
        <v>1082</v>
      </c>
      <c r="C386" s="6" t="s">
        <v>1083</v>
      </c>
      <c r="D386" s="11">
        <v>2016.0</v>
      </c>
      <c r="E386" s="11" t="s">
        <v>1084</v>
      </c>
      <c r="F386" s="11" t="s">
        <v>20</v>
      </c>
      <c r="G386" s="11" t="s">
        <v>1033</v>
      </c>
      <c r="H386" s="4"/>
      <c r="I386" s="4"/>
      <c r="J386" s="4"/>
      <c r="K386" s="4"/>
      <c r="L386" s="4"/>
      <c r="M386" s="4"/>
      <c r="N386" s="4"/>
      <c r="O386" s="4"/>
      <c r="P386" s="4"/>
      <c r="Q386" s="4"/>
      <c r="R386" s="4"/>
      <c r="S386" s="4"/>
      <c r="T386" s="4"/>
      <c r="U386" s="4"/>
      <c r="V386" s="4"/>
      <c r="W386" s="4"/>
      <c r="X386" s="4"/>
      <c r="Y386" s="4"/>
    </row>
    <row r="387">
      <c r="A387" s="12">
        <v>386.0</v>
      </c>
      <c r="B387" s="11" t="s">
        <v>1085</v>
      </c>
      <c r="C387" s="6" t="s">
        <v>1086</v>
      </c>
      <c r="D387" s="11">
        <v>2021.0</v>
      </c>
      <c r="E387" s="11" t="s">
        <v>1087</v>
      </c>
      <c r="F387" s="11" t="s">
        <v>20</v>
      </c>
      <c r="G387" s="11" t="s">
        <v>1033</v>
      </c>
      <c r="H387" s="4"/>
      <c r="I387" s="4"/>
      <c r="J387" s="4"/>
      <c r="K387" s="4"/>
      <c r="L387" s="4"/>
      <c r="M387" s="4"/>
      <c r="N387" s="4"/>
      <c r="O387" s="4"/>
      <c r="P387" s="4"/>
      <c r="Q387" s="4"/>
      <c r="R387" s="4"/>
      <c r="S387" s="4"/>
      <c r="T387" s="4"/>
      <c r="U387" s="4"/>
      <c r="V387" s="4"/>
      <c r="W387" s="4"/>
      <c r="X387" s="4"/>
      <c r="Y387" s="4"/>
    </row>
    <row r="388">
      <c r="A388" s="11">
        <v>387.0</v>
      </c>
      <c r="B388" s="11" t="s">
        <v>1088</v>
      </c>
      <c r="C388" s="6" t="s">
        <v>1089</v>
      </c>
      <c r="D388" s="11">
        <v>2024.0</v>
      </c>
      <c r="E388" s="11" t="s">
        <v>1090</v>
      </c>
      <c r="F388" s="11" t="s">
        <v>20</v>
      </c>
      <c r="G388" s="11" t="s">
        <v>1033</v>
      </c>
      <c r="H388" s="4"/>
      <c r="I388" s="4"/>
      <c r="J388" s="4"/>
      <c r="K388" s="4"/>
      <c r="L388" s="4"/>
      <c r="M388" s="4"/>
      <c r="N388" s="4"/>
      <c r="O388" s="4"/>
      <c r="P388" s="4"/>
      <c r="Q388" s="4"/>
      <c r="R388" s="4"/>
      <c r="S388" s="4"/>
      <c r="T388" s="4"/>
      <c r="U388" s="4"/>
      <c r="V388" s="4"/>
      <c r="W388" s="4"/>
      <c r="X388" s="4"/>
      <c r="Y388" s="4"/>
    </row>
    <row r="389">
      <c r="A389" s="11">
        <v>388.0</v>
      </c>
      <c r="B389" s="11" t="s">
        <v>1091</v>
      </c>
      <c r="C389" s="6" t="s">
        <v>1092</v>
      </c>
      <c r="D389" s="11">
        <v>2016.0</v>
      </c>
      <c r="E389" s="11" t="s">
        <v>1093</v>
      </c>
      <c r="F389" s="11" t="s">
        <v>20</v>
      </c>
      <c r="G389" s="11" t="s">
        <v>1033</v>
      </c>
      <c r="H389" s="4"/>
      <c r="I389" s="4"/>
      <c r="J389" s="4"/>
      <c r="K389" s="4"/>
      <c r="L389" s="4"/>
      <c r="M389" s="4"/>
      <c r="N389" s="4"/>
      <c r="O389" s="4"/>
      <c r="P389" s="4"/>
      <c r="Q389" s="4"/>
      <c r="R389" s="4"/>
      <c r="S389" s="4"/>
      <c r="T389" s="4"/>
      <c r="U389" s="4"/>
      <c r="V389" s="4"/>
      <c r="W389" s="4"/>
      <c r="X389" s="4"/>
      <c r="Y389" s="4"/>
    </row>
    <row r="390">
      <c r="A390" s="12">
        <v>389.0</v>
      </c>
      <c r="B390" s="11" t="s">
        <v>1094</v>
      </c>
      <c r="C390" s="6" t="s">
        <v>1095</v>
      </c>
      <c r="D390" s="11">
        <v>2021.0</v>
      </c>
      <c r="E390" s="4"/>
      <c r="F390" s="11" t="s">
        <v>20</v>
      </c>
      <c r="G390" s="11" t="s">
        <v>49</v>
      </c>
      <c r="H390" s="4"/>
      <c r="I390" s="4"/>
      <c r="J390" s="4"/>
      <c r="K390" s="4"/>
      <c r="L390" s="4"/>
      <c r="M390" s="4"/>
      <c r="N390" s="4"/>
      <c r="O390" s="4"/>
      <c r="P390" s="4"/>
      <c r="Q390" s="4"/>
      <c r="R390" s="4"/>
      <c r="S390" s="4"/>
      <c r="T390" s="4"/>
      <c r="U390" s="4"/>
      <c r="V390" s="4"/>
      <c r="W390" s="4"/>
      <c r="X390" s="4"/>
      <c r="Y390" s="4"/>
    </row>
    <row r="391">
      <c r="A391" s="11">
        <v>390.0</v>
      </c>
      <c r="B391" s="11" t="s">
        <v>1096</v>
      </c>
      <c r="C391" s="6" t="s">
        <v>1097</v>
      </c>
      <c r="D391" s="11">
        <v>2025.0</v>
      </c>
      <c r="E391" s="4"/>
      <c r="F391" s="11" t="s">
        <v>20</v>
      </c>
      <c r="G391" s="11" t="s">
        <v>1033</v>
      </c>
      <c r="H391" s="4"/>
      <c r="I391" s="4"/>
      <c r="J391" s="4"/>
      <c r="K391" s="4"/>
      <c r="L391" s="4"/>
      <c r="M391" s="4"/>
      <c r="N391" s="4"/>
      <c r="O391" s="4"/>
      <c r="P391" s="4"/>
      <c r="Q391" s="4"/>
      <c r="R391" s="4"/>
      <c r="S391" s="4"/>
      <c r="T391" s="4"/>
      <c r="U391" s="4"/>
      <c r="V391" s="4"/>
      <c r="W391" s="4"/>
      <c r="X391" s="4"/>
      <c r="Y391" s="4"/>
    </row>
    <row r="392">
      <c r="A392" s="11">
        <v>391.0</v>
      </c>
      <c r="B392" s="11" t="s">
        <v>1098</v>
      </c>
      <c r="C392" s="6" t="s">
        <v>1099</v>
      </c>
      <c r="D392" s="11">
        <v>2023.0</v>
      </c>
      <c r="E392" s="4"/>
      <c r="F392" s="11" t="s">
        <v>20</v>
      </c>
      <c r="G392" s="11" t="s">
        <v>49</v>
      </c>
      <c r="H392" s="4"/>
      <c r="I392" s="4"/>
      <c r="J392" s="4"/>
      <c r="K392" s="4"/>
      <c r="L392" s="4"/>
      <c r="M392" s="4"/>
      <c r="N392" s="4"/>
      <c r="O392" s="4"/>
      <c r="P392" s="4"/>
      <c r="Q392" s="4"/>
      <c r="R392" s="4"/>
      <c r="S392" s="4"/>
      <c r="T392" s="4"/>
      <c r="U392" s="4"/>
      <c r="V392" s="4"/>
      <c r="W392" s="4"/>
      <c r="X392" s="4"/>
      <c r="Y392" s="4"/>
    </row>
    <row r="393">
      <c r="A393" s="12">
        <v>392.0</v>
      </c>
      <c r="B393" s="11" t="s">
        <v>1100</v>
      </c>
      <c r="C393" s="6" t="s">
        <v>1101</v>
      </c>
      <c r="D393" s="11">
        <v>2017.0</v>
      </c>
      <c r="E393" s="11" t="s">
        <v>1102</v>
      </c>
      <c r="F393" s="11" t="s">
        <v>20</v>
      </c>
      <c r="G393" s="11" t="s">
        <v>1033</v>
      </c>
      <c r="H393" s="4"/>
      <c r="I393" s="4"/>
      <c r="J393" s="4"/>
      <c r="K393" s="4"/>
      <c r="L393" s="4"/>
      <c r="M393" s="4"/>
      <c r="N393" s="4"/>
      <c r="O393" s="4"/>
      <c r="P393" s="4"/>
      <c r="Q393" s="4"/>
      <c r="R393" s="4"/>
      <c r="S393" s="4"/>
      <c r="T393" s="4"/>
      <c r="U393" s="4"/>
      <c r="V393" s="4"/>
      <c r="W393" s="4"/>
      <c r="X393" s="4"/>
      <c r="Y393" s="4"/>
    </row>
    <row r="394">
      <c r="A394" s="11">
        <v>393.0</v>
      </c>
      <c r="B394" s="11" t="s">
        <v>1103</v>
      </c>
      <c r="C394" s="6" t="s">
        <v>1104</v>
      </c>
      <c r="D394" s="11">
        <v>2025.0</v>
      </c>
      <c r="E394" s="11" t="s">
        <v>1105</v>
      </c>
      <c r="F394" s="11" t="s">
        <v>20</v>
      </c>
      <c r="G394" s="11" t="s">
        <v>1033</v>
      </c>
      <c r="H394" s="4"/>
      <c r="I394" s="4"/>
      <c r="J394" s="4"/>
      <c r="K394" s="4"/>
      <c r="L394" s="4"/>
      <c r="M394" s="4"/>
      <c r="N394" s="4"/>
      <c r="O394" s="4"/>
      <c r="P394" s="4"/>
      <c r="Q394" s="4"/>
      <c r="R394" s="4"/>
      <c r="S394" s="4"/>
      <c r="T394" s="4"/>
      <c r="U394" s="4"/>
      <c r="V394" s="4"/>
      <c r="W394" s="4"/>
      <c r="X394" s="4"/>
      <c r="Y394" s="4"/>
    </row>
    <row r="395">
      <c r="A395" s="11">
        <v>394.0</v>
      </c>
      <c r="B395" s="11" t="s">
        <v>1106</v>
      </c>
      <c r="C395" s="6" t="s">
        <v>1107</v>
      </c>
      <c r="D395" s="11">
        <v>2016.0</v>
      </c>
      <c r="E395" s="11" t="s">
        <v>1090</v>
      </c>
      <c r="F395" s="11" t="s">
        <v>20</v>
      </c>
      <c r="G395" s="11" t="s">
        <v>1033</v>
      </c>
      <c r="H395" s="4"/>
      <c r="I395" s="4"/>
      <c r="J395" s="4"/>
      <c r="K395" s="4"/>
      <c r="L395" s="4"/>
      <c r="M395" s="4"/>
      <c r="N395" s="4"/>
      <c r="O395" s="4"/>
      <c r="P395" s="4"/>
      <c r="Q395" s="4"/>
      <c r="R395" s="4"/>
      <c r="S395" s="4"/>
      <c r="T395" s="4"/>
      <c r="U395" s="4"/>
      <c r="V395" s="4"/>
      <c r="W395" s="4"/>
      <c r="X395" s="4"/>
      <c r="Y395" s="4"/>
    </row>
    <row r="396">
      <c r="A396" s="12">
        <v>395.0</v>
      </c>
      <c r="B396" s="11" t="s">
        <v>1108</v>
      </c>
      <c r="C396" s="6" t="s">
        <v>1109</v>
      </c>
      <c r="D396" s="11">
        <v>2021.0</v>
      </c>
      <c r="E396" s="11" t="s">
        <v>1110</v>
      </c>
      <c r="F396" s="11" t="s">
        <v>20</v>
      </c>
      <c r="G396" s="11" t="s">
        <v>1033</v>
      </c>
      <c r="H396" s="4"/>
      <c r="I396" s="4"/>
      <c r="J396" s="4"/>
      <c r="K396" s="4"/>
      <c r="L396" s="4"/>
      <c r="M396" s="4"/>
      <c r="N396" s="4"/>
      <c r="O396" s="4"/>
      <c r="P396" s="4"/>
      <c r="Q396" s="4"/>
      <c r="R396" s="4"/>
      <c r="S396" s="4"/>
      <c r="T396" s="4"/>
      <c r="U396" s="4"/>
      <c r="V396" s="4"/>
      <c r="W396" s="4"/>
      <c r="X396" s="4"/>
      <c r="Y396" s="4"/>
    </row>
    <row r="397">
      <c r="A397" s="11">
        <v>396.0</v>
      </c>
      <c r="B397" s="11" t="s">
        <v>1111</v>
      </c>
      <c r="C397" s="6" t="s">
        <v>1112</v>
      </c>
      <c r="D397" s="11">
        <v>2023.0</v>
      </c>
      <c r="E397" s="11" t="s">
        <v>1113</v>
      </c>
      <c r="F397" s="11" t="s">
        <v>20</v>
      </c>
      <c r="G397" s="11" t="s">
        <v>1033</v>
      </c>
      <c r="H397" s="4"/>
      <c r="I397" s="4"/>
      <c r="J397" s="4"/>
      <c r="K397" s="4"/>
      <c r="L397" s="4"/>
      <c r="M397" s="4"/>
      <c r="N397" s="4"/>
      <c r="O397" s="4"/>
      <c r="P397" s="4"/>
      <c r="Q397" s="4"/>
      <c r="R397" s="4"/>
      <c r="S397" s="4"/>
      <c r="T397" s="4"/>
      <c r="U397" s="4"/>
      <c r="V397" s="4"/>
      <c r="W397" s="4"/>
      <c r="X397" s="4"/>
      <c r="Y397" s="4"/>
    </row>
    <row r="398">
      <c r="A398" s="11">
        <v>397.0</v>
      </c>
      <c r="B398" s="11" t="s">
        <v>1114</v>
      </c>
      <c r="C398" s="6" t="s">
        <v>1115</v>
      </c>
      <c r="D398" s="11">
        <v>2022.0</v>
      </c>
      <c r="E398" s="11" t="s">
        <v>1116</v>
      </c>
      <c r="F398" s="11" t="s">
        <v>20</v>
      </c>
      <c r="G398" s="11" t="s">
        <v>49</v>
      </c>
      <c r="H398" s="4"/>
      <c r="I398" s="4"/>
      <c r="J398" s="4"/>
      <c r="K398" s="4"/>
      <c r="L398" s="4"/>
      <c r="M398" s="4"/>
      <c r="N398" s="4"/>
      <c r="O398" s="4"/>
      <c r="P398" s="4"/>
      <c r="Q398" s="4"/>
      <c r="R398" s="4"/>
      <c r="S398" s="4"/>
      <c r="T398" s="4"/>
      <c r="U398" s="4"/>
      <c r="V398" s="4"/>
      <c r="W398" s="4"/>
      <c r="X398" s="4"/>
      <c r="Y398" s="4"/>
    </row>
    <row r="399">
      <c r="A399" s="12">
        <v>398.0</v>
      </c>
      <c r="B399" s="11" t="s">
        <v>1117</v>
      </c>
      <c r="C399" s="6" t="s">
        <v>1118</v>
      </c>
      <c r="D399" s="11">
        <v>2025.0</v>
      </c>
      <c r="E399" s="4"/>
      <c r="F399" s="11" t="s">
        <v>20</v>
      </c>
      <c r="G399" s="11" t="s">
        <v>49</v>
      </c>
      <c r="H399" s="4"/>
      <c r="I399" s="4"/>
      <c r="J399" s="4"/>
      <c r="K399" s="4"/>
      <c r="L399" s="4"/>
      <c r="M399" s="4"/>
      <c r="N399" s="4"/>
      <c r="O399" s="4"/>
      <c r="P399" s="4"/>
      <c r="Q399" s="4"/>
      <c r="R399" s="4"/>
      <c r="S399" s="4"/>
      <c r="T399" s="4"/>
      <c r="U399" s="4"/>
      <c r="V399" s="4"/>
      <c r="W399" s="4"/>
      <c r="X399" s="4"/>
      <c r="Y399" s="4"/>
    </row>
    <row r="400">
      <c r="A400" s="11">
        <v>399.0</v>
      </c>
      <c r="B400" s="11" t="s">
        <v>1119</v>
      </c>
      <c r="C400" s="6" t="s">
        <v>1120</v>
      </c>
      <c r="D400" s="11">
        <v>2021.0</v>
      </c>
      <c r="E400" s="11" t="s">
        <v>1121</v>
      </c>
      <c r="F400" s="11" t="s">
        <v>20</v>
      </c>
      <c r="G400" s="11" t="s">
        <v>1033</v>
      </c>
      <c r="H400" s="4"/>
      <c r="I400" s="4"/>
      <c r="J400" s="4"/>
      <c r="K400" s="4"/>
      <c r="L400" s="4"/>
      <c r="M400" s="4"/>
      <c r="N400" s="4"/>
      <c r="O400" s="4"/>
      <c r="P400" s="4"/>
      <c r="Q400" s="4"/>
      <c r="R400" s="4"/>
      <c r="S400" s="4"/>
      <c r="T400" s="4"/>
      <c r="U400" s="4"/>
      <c r="V400" s="4"/>
      <c r="W400" s="4"/>
      <c r="X400" s="4"/>
      <c r="Y400" s="4"/>
    </row>
    <row r="401">
      <c r="A401" s="11">
        <v>400.0</v>
      </c>
      <c r="B401" s="11" t="s">
        <v>1122</v>
      </c>
      <c r="C401" s="6" t="s">
        <v>1123</v>
      </c>
      <c r="D401" s="11">
        <v>2021.0</v>
      </c>
      <c r="E401" s="11" t="s">
        <v>1124</v>
      </c>
      <c r="F401" s="11" t="s">
        <v>20</v>
      </c>
      <c r="G401" s="11" t="s">
        <v>1033</v>
      </c>
      <c r="H401" s="4"/>
      <c r="I401" s="4"/>
      <c r="J401" s="4"/>
      <c r="K401" s="4"/>
      <c r="L401" s="4"/>
      <c r="M401" s="4"/>
      <c r="N401" s="4"/>
      <c r="O401" s="4"/>
      <c r="P401" s="4"/>
      <c r="Q401" s="4"/>
      <c r="R401" s="4"/>
      <c r="S401" s="4"/>
      <c r="T401" s="4"/>
      <c r="U401" s="4"/>
      <c r="V401" s="4"/>
      <c r="W401" s="4"/>
      <c r="X401" s="4"/>
      <c r="Y401" s="4"/>
    </row>
    <row r="402">
      <c r="A402" s="12">
        <v>401.0</v>
      </c>
      <c r="B402" s="11" t="s">
        <v>1125</v>
      </c>
      <c r="C402" s="6" t="s">
        <v>1126</v>
      </c>
      <c r="D402" s="11">
        <v>2025.0</v>
      </c>
      <c r="E402" s="11" t="s">
        <v>1127</v>
      </c>
      <c r="F402" s="11" t="s">
        <v>20</v>
      </c>
      <c r="G402" s="11" t="s">
        <v>1033</v>
      </c>
      <c r="H402" s="4"/>
      <c r="I402" s="4"/>
      <c r="J402" s="4"/>
      <c r="K402" s="4"/>
      <c r="L402" s="4"/>
      <c r="M402" s="4"/>
      <c r="N402" s="4"/>
      <c r="O402" s="4"/>
      <c r="P402" s="4"/>
      <c r="Q402" s="4"/>
      <c r="R402" s="4"/>
      <c r="S402" s="4"/>
      <c r="T402" s="4"/>
      <c r="U402" s="4"/>
      <c r="V402" s="4"/>
      <c r="W402" s="4"/>
      <c r="X402" s="4"/>
      <c r="Y402" s="4"/>
    </row>
    <row r="403">
      <c r="A403" s="11">
        <v>402.0</v>
      </c>
      <c r="B403" s="11" t="s">
        <v>1128</v>
      </c>
      <c r="C403" s="6" t="s">
        <v>1129</v>
      </c>
      <c r="D403" s="11">
        <v>2025.0</v>
      </c>
      <c r="E403" s="11" t="s">
        <v>1130</v>
      </c>
      <c r="F403" s="11" t="s">
        <v>20</v>
      </c>
      <c r="G403" s="11" t="s">
        <v>1033</v>
      </c>
      <c r="H403" s="4"/>
      <c r="I403" s="4"/>
      <c r="J403" s="4"/>
      <c r="K403" s="4"/>
      <c r="L403" s="4"/>
      <c r="M403" s="4"/>
      <c r="N403" s="4"/>
      <c r="O403" s="4"/>
      <c r="P403" s="4"/>
      <c r="Q403" s="4"/>
      <c r="R403" s="4"/>
      <c r="S403" s="4"/>
      <c r="T403" s="4"/>
      <c r="U403" s="4"/>
      <c r="V403" s="4"/>
      <c r="W403" s="4"/>
      <c r="X403" s="4"/>
      <c r="Y403" s="4"/>
    </row>
    <row r="404">
      <c r="A404" s="11">
        <v>403.0</v>
      </c>
      <c r="B404" s="11" t="s">
        <v>1131</v>
      </c>
      <c r="C404" s="6" t="s">
        <v>1132</v>
      </c>
      <c r="D404" s="11">
        <v>2020.0</v>
      </c>
      <c r="E404" s="11" t="s">
        <v>1133</v>
      </c>
      <c r="F404" s="11" t="s">
        <v>20</v>
      </c>
      <c r="G404" s="11" t="s">
        <v>1033</v>
      </c>
      <c r="H404" s="4"/>
      <c r="I404" s="4"/>
      <c r="J404" s="4"/>
      <c r="K404" s="4"/>
      <c r="L404" s="4"/>
      <c r="M404" s="4"/>
      <c r="N404" s="4"/>
      <c r="O404" s="4"/>
      <c r="P404" s="4"/>
      <c r="Q404" s="4"/>
      <c r="R404" s="4"/>
      <c r="S404" s="4"/>
      <c r="T404" s="4"/>
      <c r="U404" s="4"/>
      <c r="V404" s="4"/>
      <c r="W404" s="4"/>
      <c r="X404" s="4"/>
      <c r="Y404" s="4"/>
    </row>
    <row r="405">
      <c r="A405" s="12">
        <v>404.0</v>
      </c>
      <c r="B405" s="11" t="s">
        <v>1134</v>
      </c>
      <c r="C405" s="6" t="s">
        <v>1135</v>
      </c>
      <c r="D405" s="11">
        <v>2016.0</v>
      </c>
      <c r="E405" s="11" t="s">
        <v>1136</v>
      </c>
      <c r="F405" s="11" t="s">
        <v>20</v>
      </c>
      <c r="G405" s="11" t="s">
        <v>49</v>
      </c>
      <c r="H405" s="4"/>
      <c r="I405" s="4"/>
      <c r="J405" s="4"/>
      <c r="K405" s="4"/>
      <c r="L405" s="4"/>
      <c r="M405" s="4"/>
      <c r="N405" s="4"/>
      <c r="O405" s="4"/>
      <c r="P405" s="4"/>
      <c r="Q405" s="4"/>
      <c r="R405" s="4"/>
      <c r="S405" s="4"/>
      <c r="T405" s="4"/>
      <c r="U405" s="4"/>
      <c r="V405" s="4"/>
      <c r="W405" s="4"/>
      <c r="X405" s="4"/>
      <c r="Y405" s="4"/>
    </row>
    <row r="406">
      <c r="A406" s="11">
        <v>405.0</v>
      </c>
      <c r="B406" s="11" t="s">
        <v>1137</v>
      </c>
      <c r="C406" s="6" t="s">
        <v>1138</v>
      </c>
      <c r="D406" s="11">
        <v>2018.0</v>
      </c>
      <c r="E406" s="11" t="s">
        <v>1139</v>
      </c>
      <c r="F406" s="11" t="s">
        <v>20</v>
      </c>
      <c r="G406" s="11" t="s">
        <v>1033</v>
      </c>
      <c r="H406" s="4"/>
      <c r="I406" s="4"/>
      <c r="J406" s="4"/>
      <c r="K406" s="4"/>
      <c r="L406" s="4"/>
      <c r="M406" s="4"/>
      <c r="N406" s="4"/>
      <c r="O406" s="4"/>
      <c r="P406" s="4"/>
      <c r="Q406" s="4"/>
      <c r="R406" s="4"/>
      <c r="S406" s="4"/>
      <c r="T406" s="4"/>
      <c r="U406" s="4"/>
      <c r="V406" s="4"/>
      <c r="W406" s="4"/>
      <c r="X406" s="4"/>
      <c r="Y406" s="4"/>
    </row>
    <row r="407">
      <c r="A407" s="11">
        <v>406.0</v>
      </c>
      <c r="B407" s="11" t="s">
        <v>1140</v>
      </c>
      <c r="C407" s="6" t="s">
        <v>1141</v>
      </c>
      <c r="D407" s="11">
        <v>2024.0</v>
      </c>
      <c r="E407" s="11" t="s">
        <v>1142</v>
      </c>
      <c r="F407" s="11" t="s">
        <v>20</v>
      </c>
      <c r="G407" s="11" t="s">
        <v>1033</v>
      </c>
      <c r="H407" s="4"/>
      <c r="I407" s="4"/>
      <c r="J407" s="4"/>
      <c r="K407" s="4"/>
      <c r="L407" s="4"/>
      <c r="M407" s="4"/>
      <c r="N407" s="4"/>
      <c r="O407" s="4"/>
      <c r="P407" s="4"/>
      <c r="Q407" s="4"/>
      <c r="R407" s="4"/>
      <c r="S407" s="4"/>
      <c r="T407" s="4"/>
      <c r="U407" s="4"/>
      <c r="V407" s="4"/>
      <c r="W407" s="4"/>
      <c r="X407" s="4"/>
      <c r="Y407" s="4"/>
    </row>
    <row r="408">
      <c r="A408" s="12">
        <v>407.0</v>
      </c>
      <c r="B408" s="11" t="s">
        <v>1143</v>
      </c>
      <c r="C408" s="6" t="s">
        <v>1144</v>
      </c>
      <c r="D408" s="11">
        <v>2019.0</v>
      </c>
      <c r="E408" s="11" t="s">
        <v>1145</v>
      </c>
      <c r="F408" s="11" t="s">
        <v>20</v>
      </c>
      <c r="G408" s="11" t="s">
        <v>1033</v>
      </c>
      <c r="H408" s="4"/>
      <c r="I408" s="4"/>
      <c r="J408" s="4"/>
      <c r="K408" s="4"/>
      <c r="L408" s="4"/>
      <c r="M408" s="4"/>
      <c r="N408" s="4"/>
      <c r="O408" s="4"/>
      <c r="P408" s="4"/>
      <c r="Q408" s="4"/>
      <c r="R408" s="4"/>
      <c r="S408" s="4"/>
      <c r="T408" s="4"/>
      <c r="U408" s="4"/>
      <c r="V408" s="4"/>
      <c r="W408" s="4"/>
      <c r="X408" s="4"/>
      <c r="Y408" s="4"/>
    </row>
    <row r="409">
      <c r="A409" s="11">
        <v>408.0</v>
      </c>
      <c r="B409" s="11" t="s">
        <v>1146</v>
      </c>
      <c r="C409" s="6" t="s">
        <v>1147</v>
      </c>
      <c r="D409" s="11">
        <v>2022.0</v>
      </c>
      <c r="E409" s="4"/>
      <c r="F409" s="11" t="s">
        <v>20</v>
      </c>
      <c r="G409" s="11" t="s">
        <v>49</v>
      </c>
      <c r="H409" s="4"/>
      <c r="I409" s="4"/>
      <c r="J409" s="4"/>
      <c r="K409" s="4"/>
      <c r="L409" s="4"/>
      <c r="M409" s="4"/>
      <c r="N409" s="4"/>
      <c r="O409" s="4"/>
      <c r="P409" s="4"/>
      <c r="Q409" s="4"/>
      <c r="R409" s="4"/>
      <c r="S409" s="4"/>
      <c r="T409" s="4"/>
      <c r="U409" s="4"/>
      <c r="V409" s="4"/>
      <c r="W409" s="4"/>
      <c r="X409" s="4"/>
      <c r="Y409" s="4"/>
    </row>
    <row r="410">
      <c r="A410" s="11">
        <v>409.0</v>
      </c>
      <c r="B410" s="11" t="s">
        <v>1148</v>
      </c>
      <c r="C410" s="6" t="s">
        <v>1149</v>
      </c>
      <c r="D410" s="11">
        <v>2021.0</v>
      </c>
      <c r="E410" s="11" t="s">
        <v>1150</v>
      </c>
      <c r="F410" s="11" t="s">
        <v>20</v>
      </c>
      <c r="G410" s="11" t="s">
        <v>1033</v>
      </c>
      <c r="H410" s="4"/>
      <c r="I410" s="4"/>
      <c r="J410" s="4"/>
      <c r="K410" s="4"/>
      <c r="L410" s="4"/>
      <c r="M410" s="4"/>
      <c r="N410" s="4"/>
      <c r="O410" s="4"/>
      <c r="P410" s="4"/>
      <c r="Q410" s="4"/>
      <c r="R410" s="4"/>
      <c r="S410" s="4"/>
      <c r="T410" s="4"/>
      <c r="U410" s="4"/>
      <c r="V410" s="4"/>
      <c r="W410" s="4"/>
      <c r="X410" s="4"/>
      <c r="Y410" s="4"/>
    </row>
    <row r="411">
      <c r="A411" s="12">
        <v>410.0</v>
      </c>
      <c r="B411" s="11" t="s">
        <v>1151</v>
      </c>
      <c r="C411" s="6" t="s">
        <v>1152</v>
      </c>
      <c r="D411" s="4"/>
      <c r="E411" s="4"/>
      <c r="F411" s="11" t="s">
        <v>20</v>
      </c>
      <c r="G411" s="11" t="s">
        <v>49</v>
      </c>
      <c r="H411" s="4"/>
      <c r="I411" s="4"/>
      <c r="J411" s="4"/>
      <c r="K411" s="4"/>
      <c r="L411" s="4"/>
      <c r="M411" s="4"/>
      <c r="N411" s="4"/>
      <c r="O411" s="4"/>
      <c r="P411" s="4"/>
      <c r="Q411" s="4"/>
      <c r="R411" s="4"/>
      <c r="S411" s="4"/>
      <c r="T411" s="4"/>
      <c r="U411" s="4"/>
      <c r="V411" s="4"/>
      <c r="W411" s="4"/>
      <c r="X411" s="4"/>
      <c r="Y411" s="4"/>
    </row>
    <row r="412">
      <c r="A412" s="11">
        <v>411.0</v>
      </c>
      <c r="B412" s="11" t="s">
        <v>1153</v>
      </c>
      <c r="C412" s="6" t="s">
        <v>1154</v>
      </c>
      <c r="D412" s="11">
        <v>2017.0</v>
      </c>
      <c r="E412" s="11" t="s">
        <v>1127</v>
      </c>
      <c r="F412" s="11" t="s">
        <v>20</v>
      </c>
      <c r="G412" s="11" t="s">
        <v>1033</v>
      </c>
      <c r="H412" s="4"/>
      <c r="I412" s="4"/>
      <c r="J412" s="4"/>
      <c r="K412" s="4"/>
      <c r="L412" s="4"/>
      <c r="M412" s="4"/>
      <c r="N412" s="4"/>
      <c r="O412" s="4"/>
      <c r="P412" s="4"/>
      <c r="Q412" s="4"/>
      <c r="R412" s="4"/>
      <c r="S412" s="4"/>
      <c r="T412" s="4"/>
      <c r="U412" s="4"/>
      <c r="V412" s="4"/>
      <c r="W412" s="4"/>
      <c r="X412" s="4"/>
      <c r="Y412" s="4"/>
    </row>
    <row r="413">
      <c r="A413" s="11">
        <v>412.0</v>
      </c>
      <c r="B413" s="11" t="s">
        <v>1155</v>
      </c>
      <c r="C413" s="6" t="s">
        <v>1156</v>
      </c>
      <c r="D413" s="11">
        <v>2015.0</v>
      </c>
      <c r="E413" s="11" t="s">
        <v>1157</v>
      </c>
      <c r="F413" s="11" t="s">
        <v>20</v>
      </c>
      <c r="G413" s="11" t="s">
        <v>1033</v>
      </c>
      <c r="H413" s="4"/>
      <c r="I413" s="4"/>
      <c r="J413" s="4"/>
      <c r="K413" s="4"/>
      <c r="L413" s="4"/>
      <c r="M413" s="4"/>
      <c r="N413" s="4"/>
      <c r="O413" s="4"/>
      <c r="P413" s="4"/>
      <c r="Q413" s="4"/>
      <c r="R413" s="4"/>
      <c r="S413" s="4"/>
      <c r="T413" s="4"/>
      <c r="U413" s="4"/>
      <c r="V413" s="4"/>
      <c r="W413" s="4"/>
      <c r="X413" s="4"/>
      <c r="Y413" s="4"/>
    </row>
    <row r="414">
      <c r="A414" s="12">
        <v>413.0</v>
      </c>
      <c r="B414" s="11" t="s">
        <v>1158</v>
      </c>
      <c r="C414" s="6" t="s">
        <v>1159</v>
      </c>
      <c r="D414" s="11">
        <v>2022.0</v>
      </c>
      <c r="E414" s="11" t="s">
        <v>1160</v>
      </c>
      <c r="F414" s="11" t="s">
        <v>20</v>
      </c>
      <c r="G414" s="11" t="s">
        <v>1033</v>
      </c>
      <c r="H414" s="4"/>
      <c r="I414" s="4"/>
      <c r="J414" s="4"/>
      <c r="K414" s="4"/>
      <c r="L414" s="4"/>
      <c r="M414" s="4"/>
      <c r="N414" s="4"/>
      <c r="O414" s="4"/>
      <c r="P414" s="4"/>
      <c r="Q414" s="4"/>
      <c r="R414" s="4"/>
      <c r="S414" s="4"/>
      <c r="T414" s="4"/>
      <c r="U414" s="4"/>
      <c r="V414" s="4"/>
      <c r="W414" s="4"/>
      <c r="X414" s="4"/>
      <c r="Y414" s="4"/>
    </row>
    <row r="415">
      <c r="A415" s="11">
        <v>414.0</v>
      </c>
      <c r="B415" s="11" t="s">
        <v>1161</v>
      </c>
      <c r="C415" s="6" t="s">
        <v>1162</v>
      </c>
      <c r="D415" s="11">
        <v>2020.0</v>
      </c>
      <c r="E415" s="11" t="s">
        <v>1163</v>
      </c>
      <c r="F415" s="11" t="s">
        <v>20</v>
      </c>
      <c r="G415" s="11" t="s">
        <v>1033</v>
      </c>
      <c r="H415" s="4"/>
      <c r="I415" s="4"/>
      <c r="J415" s="4"/>
      <c r="K415" s="4"/>
      <c r="L415" s="4"/>
      <c r="M415" s="4"/>
      <c r="N415" s="4"/>
      <c r="O415" s="4"/>
      <c r="P415" s="4"/>
      <c r="Q415" s="4"/>
      <c r="R415" s="4"/>
      <c r="S415" s="4"/>
      <c r="T415" s="4"/>
      <c r="U415" s="4"/>
      <c r="V415" s="4"/>
      <c r="W415" s="4"/>
      <c r="X415" s="4"/>
      <c r="Y415" s="4"/>
    </row>
    <row r="416">
      <c r="A416" s="11">
        <v>415.0</v>
      </c>
      <c r="B416" s="11" t="s">
        <v>1164</v>
      </c>
      <c r="C416" s="6" t="s">
        <v>1165</v>
      </c>
      <c r="D416" s="11">
        <v>2025.0</v>
      </c>
      <c r="E416" s="11" t="s">
        <v>1166</v>
      </c>
      <c r="F416" s="11" t="s">
        <v>20</v>
      </c>
      <c r="G416" s="11" t="s">
        <v>49</v>
      </c>
      <c r="H416" s="4"/>
      <c r="I416" s="4"/>
      <c r="J416" s="4"/>
      <c r="K416" s="4"/>
      <c r="L416" s="4"/>
      <c r="M416" s="4"/>
      <c r="N416" s="4"/>
      <c r="O416" s="4"/>
      <c r="P416" s="4"/>
      <c r="Q416" s="4"/>
      <c r="R416" s="4"/>
      <c r="S416" s="4"/>
      <c r="T416" s="4"/>
      <c r="U416" s="4"/>
      <c r="V416" s="4"/>
      <c r="W416" s="4"/>
      <c r="X416" s="4"/>
      <c r="Y416" s="4"/>
    </row>
    <row r="417">
      <c r="A417" s="12">
        <v>416.0</v>
      </c>
      <c r="B417" s="11" t="s">
        <v>1167</v>
      </c>
      <c r="C417" s="6" t="s">
        <v>1168</v>
      </c>
      <c r="D417" s="11">
        <v>2017.0</v>
      </c>
      <c r="E417" s="11" t="s">
        <v>1169</v>
      </c>
      <c r="F417" s="11" t="s">
        <v>22</v>
      </c>
      <c r="G417" s="11" t="s">
        <v>49</v>
      </c>
      <c r="H417" s="4"/>
      <c r="I417" s="4"/>
      <c r="J417" s="4"/>
      <c r="K417" s="4"/>
      <c r="L417" s="4"/>
      <c r="M417" s="4"/>
      <c r="N417" s="4"/>
      <c r="O417" s="4"/>
      <c r="P417" s="4"/>
      <c r="Q417" s="4"/>
      <c r="R417" s="4"/>
      <c r="S417" s="4"/>
      <c r="T417" s="4"/>
      <c r="U417" s="4"/>
      <c r="V417" s="4"/>
      <c r="W417" s="4"/>
      <c r="X417" s="4"/>
      <c r="Y417" s="4"/>
    </row>
    <row r="418">
      <c r="A418" s="11">
        <v>417.0</v>
      </c>
      <c r="B418" s="11" t="s">
        <v>1170</v>
      </c>
      <c r="C418" s="6" t="s">
        <v>1171</v>
      </c>
      <c r="D418" s="11">
        <v>2020.0</v>
      </c>
      <c r="E418" s="11" t="s">
        <v>1172</v>
      </c>
      <c r="F418" s="11" t="s">
        <v>22</v>
      </c>
      <c r="G418" s="11" t="s">
        <v>49</v>
      </c>
      <c r="H418" s="4"/>
      <c r="I418" s="4"/>
      <c r="J418" s="4"/>
      <c r="K418" s="4"/>
      <c r="L418" s="4"/>
      <c r="M418" s="4"/>
      <c r="N418" s="4"/>
      <c r="O418" s="4"/>
      <c r="P418" s="4"/>
      <c r="Q418" s="4"/>
      <c r="R418" s="4"/>
      <c r="S418" s="4"/>
      <c r="T418" s="4"/>
      <c r="U418" s="4"/>
      <c r="V418" s="4"/>
      <c r="W418" s="4"/>
      <c r="X418" s="4"/>
      <c r="Y418" s="4"/>
    </row>
    <row r="419">
      <c r="A419" s="11">
        <v>418.0</v>
      </c>
      <c r="B419" s="11" t="s">
        <v>43</v>
      </c>
      <c r="C419" s="6" t="s">
        <v>1173</v>
      </c>
      <c r="D419" s="11">
        <v>2020.0</v>
      </c>
      <c r="E419" s="11" t="s">
        <v>45</v>
      </c>
      <c r="F419" s="11" t="s">
        <v>22</v>
      </c>
      <c r="G419" s="11" t="s">
        <v>49</v>
      </c>
      <c r="H419" s="4"/>
      <c r="I419" s="4"/>
      <c r="J419" s="4"/>
      <c r="K419" s="4"/>
      <c r="L419" s="4"/>
      <c r="M419" s="4"/>
      <c r="N419" s="4"/>
      <c r="O419" s="4"/>
      <c r="P419" s="4"/>
      <c r="Q419" s="4"/>
      <c r="R419" s="4"/>
      <c r="S419" s="4"/>
      <c r="T419" s="4"/>
      <c r="U419" s="4"/>
      <c r="V419" s="4"/>
      <c r="W419" s="4"/>
      <c r="X419" s="4"/>
      <c r="Y419" s="4"/>
    </row>
    <row r="420">
      <c r="A420" s="12">
        <v>419.0</v>
      </c>
      <c r="B420" s="11" t="s">
        <v>153</v>
      </c>
      <c r="C420" s="6" t="s">
        <v>1174</v>
      </c>
      <c r="D420" s="11">
        <v>2020.0</v>
      </c>
      <c r="E420" s="11" t="s">
        <v>1175</v>
      </c>
      <c r="F420" s="11" t="s">
        <v>22</v>
      </c>
      <c r="G420" s="11" t="s">
        <v>49</v>
      </c>
      <c r="H420" s="4"/>
      <c r="I420" s="4"/>
      <c r="J420" s="4"/>
      <c r="K420" s="4"/>
      <c r="L420" s="4"/>
      <c r="M420" s="4"/>
      <c r="N420" s="4"/>
      <c r="O420" s="4"/>
      <c r="P420" s="4"/>
      <c r="Q420" s="4"/>
      <c r="R420" s="4"/>
      <c r="S420" s="4"/>
      <c r="T420" s="4"/>
      <c r="U420" s="4"/>
      <c r="V420" s="4"/>
      <c r="W420" s="4"/>
      <c r="X420" s="4"/>
      <c r="Y420" s="4"/>
    </row>
    <row r="421">
      <c r="A421" s="11">
        <v>420.0</v>
      </c>
      <c r="B421" s="11" t="s">
        <v>1176</v>
      </c>
      <c r="C421" s="6" t="s">
        <v>1177</v>
      </c>
      <c r="D421" s="11">
        <v>2020.0</v>
      </c>
      <c r="E421" s="4"/>
      <c r="F421" s="11" t="s">
        <v>22</v>
      </c>
      <c r="G421" s="4"/>
      <c r="H421" s="4"/>
      <c r="I421" s="4"/>
      <c r="J421" s="4"/>
      <c r="K421" s="4"/>
      <c r="L421" s="4"/>
      <c r="M421" s="4"/>
      <c r="N421" s="4"/>
      <c r="O421" s="4"/>
      <c r="P421" s="4"/>
      <c r="Q421" s="4"/>
      <c r="R421" s="4"/>
      <c r="S421" s="4"/>
      <c r="T421" s="4"/>
      <c r="U421" s="4"/>
      <c r="V421" s="4"/>
      <c r="W421" s="4"/>
      <c r="X421" s="4"/>
      <c r="Y421" s="4"/>
    </row>
    <row r="422">
      <c r="A422" s="11">
        <v>421.0</v>
      </c>
      <c r="B422" s="11" t="s">
        <v>56</v>
      </c>
      <c r="C422" s="6" t="s">
        <v>1178</v>
      </c>
      <c r="D422" s="11">
        <v>2015.0</v>
      </c>
      <c r="E422" s="11" t="s">
        <v>58</v>
      </c>
      <c r="F422" s="11" t="s">
        <v>22</v>
      </c>
      <c r="G422" s="11" t="s">
        <v>49</v>
      </c>
      <c r="H422" s="4"/>
      <c r="I422" s="4"/>
      <c r="J422" s="4"/>
      <c r="K422" s="4"/>
      <c r="L422" s="4"/>
      <c r="M422" s="4"/>
      <c r="N422" s="4"/>
      <c r="O422" s="4"/>
      <c r="P422" s="4"/>
      <c r="Q422" s="4"/>
      <c r="R422" s="4"/>
      <c r="S422" s="4"/>
      <c r="T422" s="4"/>
      <c r="U422" s="4"/>
      <c r="V422" s="4"/>
      <c r="W422" s="4"/>
      <c r="X422" s="4"/>
      <c r="Y422" s="4"/>
    </row>
    <row r="423">
      <c r="A423" s="12">
        <v>422.0</v>
      </c>
      <c r="B423" s="11" t="s">
        <v>1179</v>
      </c>
      <c r="C423" s="6" t="s">
        <v>1180</v>
      </c>
      <c r="D423" s="11">
        <v>2024.0</v>
      </c>
      <c r="E423" s="11" t="s">
        <v>1181</v>
      </c>
      <c r="F423" s="11" t="s">
        <v>22</v>
      </c>
      <c r="G423" s="11" t="s">
        <v>49</v>
      </c>
      <c r="H423" s="4"/>
      <c r="I423" s="4"/>
      <c r="J423" s="4"/>
      <c r="K423" s="4"/>
      <c r="L423" s="4"/>
      <c r="M423" s="4"/>
      <c r="N423" s="4"/>
      <c r="O423" s="4"/>
      <c r="P423" s="4"/>
      <c r="Q423" s="4"/>
      <c r="R423" s="4"/>
      <c r="S423" s="4"/>
      <c r="T423" s="4"/>
      <c r="U423" s="4"/>
      <c r="V423" s="4"/>
      <c r="W423" s="4"/>
      <c r="X423" s="4"/>
      <c r="Y423" s="4"/>
    </row>
    <row r="424">
      <c r="A424" s="11">
        <v>423.0</v>
      </c>
      <c r="B424" s="11" t="s">
        <v>1182</v>
      </c>
      <c r="C424" s="6" t="s">
        <v>1183</v>
      </c>
      <c r="D424" s="11">
        <v>2024.0</v>
      </c>
      <c r="E424" s="11" t="s">
        <v>1184</v>
      </c>
      <c r="F424" s="11" t="s">
        <v>22</v>
      </c>
      <c r="G424" s="4"/>
      <c r="H424" s="4"/>
      <c r="I424" s="4"/>
      <c r="J424" s="4"/>
      <c r="K424" s="4"/>
      <c r="L424" s="4"/>
      <c r="M424" s="4"/>
      <c r="N424" s="4"/>
      <c r="O424" s="4"/>
      <c r="P424" s="4"/>
      <c r="Q424" s="4"/>
      <c r="R424" s="4"/>
      <c r="S424" s="4"/>
      <c r="T424" s="4"/>
      <c r="U424" s="4"/>
      <c r="V424" s="4"/>
      <c r="W424" s="4"/>
      <c r="X424" s="4"/>
      <c r="Y424" s="4"/>
    </row>
    <row r="425">
      <c r="A425" s="11">
        <v>424.0</v>
      </c>
      <c r="B425" s="11" t="s">
        <v>1185</v>
      </c>
      <c r="C425" s="6" t="s">
        <v>1186</v>
      </c>
      <c r="D425" s="11">
        <v>2017.0</v>
      </c>
      <c r="E425" s="11" t="s">
        <v>1184</v>
      </c>
      <c r="F425" s="11" t="s">
        <v>22</v>
      </c>
      <c r="G425" s="4"/>
      <c r="H425" s="4"/>
      <c r="I425" s="4"/>
      <c r="J425" s="4"/>
      <c r="K425" s="4"/>
      <c r="L425" s="4"/>
      <c r="M425" s="4"/>
      <c r="N425" s="4"/>
      <c r="O425" s="4"/>
      <c r="P425" s="4"/>
      <c r="Q425" s="4"/>
      <c r="R425" s="4"/>
      <c r="S425" s="4"/>
      <c r="T425" s="4"/>
      <c r="U425" s="4"/>
      <c r="V425" s="4"/>
      <c r="W425" s="4"/>
      <c r="X425" s="4"/>
      <c r="Y425" s="4"/>
    </row>
    <row r="426">
      <c r="A426" s="12">
        <v>425.0</v>
      </c>
      <c r="B426" s="11" t="s">
        <v>1187</v>
      </c>
      <c r="C426" s="6" t="s">
        <v>1188</v>
      </c>
      <c r="D426" s="11">
        <v>2019.0</v>
      </c>
      <c r="E426" s="11" t="s">
        <v>1184</v>
      </c>
      <c r="F426" s="11" t="s">
        <v>22</v>
      </c>
      <c r="G426" s="4"/>
      <c r="H426" s="4"/>
      <c r="I426" s="4"/>
      <c r="J426" s="4"/>
      <c r="K426" s="4"/>
      <c r="L426" s="4"/>
      <c r="M426" s="4"/>
      <c r="N426" s="4"/>
      <c r="O426" s="4"/>
      <c r="P426" s="4"/>
      <c r="Q426" s="4"/>
      <c r="R426" s="4"/>
      <c r="S426" s="4"/>
      <c r="T426" s="4"/>
      <c r="U426" s="4"/>
      <c r="V426" s="4"/>
      <c r="W426" s="4"/>
      <c r="X426" s="4"/>
      <c r="Y426" s="4"/>
    </row>
    <row r="427">
      <c r="A427" s="11">
        <v>426.0</v>
      </c>
      <c r="B427" s="11" t="s">
        <v>1189</v>
      </c>
      <c r="C427" s="6" t="s">
        <v>1184</v>
      </c>
      <c r="D427" s="11">
        <v>2016.0</v>
      </c>
      <c r="E427" s="11" t="s">
        <v>1184</v>
      </c>
      <c r="F427" s="11" t="s">
        <v>22</v>
      </c>
      <c r="G427" s="4"/>
      <c r="H427" s="4"/>
      <c r="I427" s="4"/>
      <c r="J427" s="4"/>
      <c r="K427" s="4"/>
      <c r="L427" s="4"/>
      <c r="M427" s="4"/>
      <c r="N427" s="4"/>
      <c r="O427" s="4"/>
      <c r="P427" s="4"/>
      <c r="Q427" s="4"/>
      <c r="R427" s="4"/>
      <c r="S427" s="4"/>
      <c r="T427" s="4"/>
      <c r="U427" s="4"/>
      <c r="V427" s="4"/>
      <c r="W427" s="4"/>
      <c r="X427" s="4"/>
      <c r="Y427" s="4"/>
    </row>
    <row r="428">
      <c r="A428" s="11">
        <v>427.0</v>
      </c>
      <c r="B428" s="11" t="s">
        <v>1190</v>
      </c>
      <c r="C428" s="6" t="s">
        <v>1191</v>
      </c>
      <c r="D428" s="11">
        <v>2019.0</v>
      </c>
      <c r="E428" s="11" t="s">
        <v>1192</v>
      </c>
      <c r="F428" s="11" t="s">
        <v>22</v>
      </c>
      <c r="G428" s="11" t="s">
        <v>49</v>
      </c>
      <c r="H428" s="4"/>
      <c r="I428" s="4"/>
      <c r="J428" s="4"/>
      <c r="K428" s="4"/>
      <c r="L428" s="4"/>
      <c r="M428" s="4"/>
      <c r="N428" s="4"/>
      <c r="O428" s="4"/>
      <c r="P428" s="4"/>
      <c r="Q428" s="4"/>
      <c r="R428" s="4"/>
      <c r="S428" s="4"/>
      <c r="T428" s="4"/>
      <c r="U428" s="4"/>
      <c r="V428" s="4"/>
      <c r="W428" s="4"/>
      <c r="X428" s="4"/>
      <c r="Y428" s="4"/>
    </row>
    <row r="429">
      <c r="A429" s="12">
        <v>428.0</v>
      </c>
      <c r="B429" s="11" t="s">
        <v>1193</v>
      </c>
      <c r="C429" s="6" t="s">
        <v>1194</v>
      </c>
      <c r="D429" s="11">
        <v>2019.0</v>
      </c>
      <c r="E429" s="11" t="s">
        <v>1184</v>
      </c>
      <c r="F429" s="11" t="s">
        <v>22</v>
      </c>
      <c r="G429" s="4"/>
      <c r="H429" s="4"/>
      <c r="I429" s="4"/>
      <c r="J429" s="4"/>
      <c r="K429" s="4"/>
      <c r="L429" s="4"/>
      <c r="M429" s="4"/>
      <c r="N429" s="4"/>
      <c r="O429" s="4"/>
      <c r="P429" s="4"/>
      <c r="Q429" s="4"/>
      <c r="R429" s="4"/>
      <c r="S429" s="4"/>
      <c r="T429" s="4"/>
      <c r="U429" s="4"/>
      <c r="V429" s="4"/>
      <c r="W429" s="4"/>
      <c r="X429" s="4"/>
      <c r="Y429" s="4"/>
    </row>
    <row r="430">
      <c r="A430" s="11">
        <v>429.0</v>
      </c>
      <c r="B430" s="11" t="s">
        <v>1195</v>
      </c>
      <c r="C430" s="6" t="s">
        <v>1196</v>
      </c>
      <c r="D430" s="17">
        <v>2021.0</v>
      </c>
      <c r="E430" s="11" t="s">
        <v>1197</v>
      </c>
      <c r="F430" s="11" t="s">
        <v>24</v>
      </c>
      <c r="G430" s="4"/>
      <c r="H430" s="4"/>
      <c r="I430" s="4"/>
      <c r="J430" s="4"/>
      <c r="K430" s="4"/>
      <c r="L430" s="4"/>
      <c r="M430" s="4"/>
      <c r="N430" s="4"/>
      <c r="O430" s="4"/>
      <c r="P430" s="4"/>
      <c r="Q430" s="4"/>
      <c r="R430" s="4"/>
      <c r="S430" s="4"/>
      <c r="T430" s="4"/>
      <c r="U430" s="4"/>
      <c r="V430" s="4"/>
      <c r="W430" s="4"/>
      <c r="X430" s="4"/>
      <c r="Y430" s="4"/>
    </row>
    <row r="431">
      <c r="A431" s="11">
        <v>430.0</v>
      </c>
      <c r="B431" s="11" t="s">
        <v>1198</v>
      </c>
      <c r="C431" s="6" t="s">
        <v>1199</v>
      </c>
      <c r="D431" s="17">
        <v>2017.0</v>
      </c>
      <c r="E431" s="11" t="s">
        <v>1200</v>
      </c>
      <c r="F431" s="11" t="s">
        <v>24</v>
      </c>
      <c r="G431" s="4"/>
      <c r="H431" s="4"/>
      <c r="I431" s="4"/>
      <c r="J431" s="4"/>
      <c r="K431" s="4"/>
      <c r="L431" s="4"/>
      <c r="M431" s="4"/>
      <c r="N431" s="4"/>
      <c r="O431" s="4"/>
      <c r="P431" s="4"/>
      <c r="Q431" s="4"/>
      <c r="R431" s="4"/>
      <c r="S431" s="4"/>
      <c r="T431" s="4"/>
      <c r="U431" s="4"/>
      <c r="V431" s="4"/>
      <c r="W431" s="4"/>
      <c r="X431" s="4"/>
      <c r="Y431" s="4"/>
    </row>
    <row r="432">
      <c r="A432" s="12">
        <v>431.0</v>
      </c>
      <c r="B432" s="11" t="s">
        <v>43</v>
      </c>
      <c r="C432" s="6" t="s">
        <v>1201</v>
      </c>
      <c r="D432" s="17">
        <v>2020.0</v>
      </c>
      <c r="E432" s="11" t="s">
        <v>1202</v>
      </c>
      <c r="F432" s="11" t="s">
        <v>24</v>
      </c>
      <c r="G432" s="4"/>
      <c r="H432" s="4"/>
      <c r="I432" s="4"/>
      <c r="J432" s="4"/>
      <c r="K432" s="4"/>
      <c r="L432" s="4"/>
      <c r="M432" s="4"/>
      <c r="N432" s="4"/>
      <c r="O432" s="4"/>
      <c r="P432" s="4"/>
      <c r="Q432" s="4"/>
      <c r="R432" s="4"/>
      <c r="S432" s="4"/>
      <c r="T432" s="4"/>
      <c r="U432" s="4"/>
      <c r="V432" s="4"/>
      <c r="W432" s="4"/>
      <c r="X432" s="4"/>
      <c r="Y432" s="4"/>
    </row>
    <row r="433">
      <c r="A433" s="11">
        <v>432.0</v>
      </c>
      <c r="B433" s="11" t="s">
        <v>1170</v>
      </c>
      <c r="C433" s="6" t="s">
        <v>1203</v>
      </c>
      <c r="D433" s="17">
        <v>2020.0</v>
      </c>
      <c r="E433" s="11" t="s">
        <v>1204</v>
      </c>
      <c r="F433" s="11" t="s">
        <v>24</v>
      </c>
      <c r="G433" s="4"/>
      <c r="H433" s="4"/>
      <c r="I433" s="4"/>
      <c r="J433" s="4"/>
      <c r="K433" s="4"/>
      <c r="L433" s="4"/>
      <c r="M433" s="4"/>
      <c r="N433" s="4"/>
      <c r="O433" s="4"/>
      <c r="P433" s="4"/>
      <c r="Q433" s="4"/>
      <c r="R433" s="4"/>
      <c r="S433" s="4"/>
      <c r="T433" s="4"/>
      <c r="U433" s="4"/>
      <c r="V433" s="4"/>
      <c r="W433" s="4"/>
      <c r="X433" s="4"/>
      <c r="Y433" s="4"/>
    </row>
    <row r="434">
      <c r="A434" s="11">
        <v>433.0</v>
      </c>
      <c r="B434" s="11" t="s">
        <v>153</v>
      </c>
      <c r="C434" s="6" t="s">
        <v>1205</v>
      </c>
      <c r="D434" s="17">
        <v>2020.0</v>
      </c>
      <c r="E434" s="11" t="s">
        <v>1206</v>
      </c>
      <c r="F434" s="11" t="s">
        <v>24</v>
      </c>
      <c r="G434" s="4"/>
      <c r="H434" s="4"/>
      <c r="I434" s="4"/>
      <c r="J434" s="4"/>
      <c r="K434" s="4"/>
      <c r="L434" s="4"/>
      <c r="M434" s="4"/>
      <c r="N434" s="4"/>
      <c r="O434" s="4"/>
      <c r="P434" s="4"/>
      <c r="Q434" s="4"/>
      <c r="R434" s="4"/>
      <c r="S434" s="4"/>
      <c r="T434" s="4"/>
      <c r="U434" s="4"/>
      <c r="V434" s="4"/>
      <c r="W434" s="4"/>
      <c r="X434" s="4"/>
      <c r="Y434" s="4"/>
    </row>
    <row r="435">
      <c r="A435" s="12">
        <v>434.0</v>
      </c>
      <c r="B435" s="11" t="s">
        <v>1207</v>
      </c>
      <c r="C435" s="6" t="s">
        <v>1208</v>
      </c>
      <c r="D435" s="17">
        <v>2015.0</v>
      </c>
      <c r="E435" s="11" t="s">
        <v>1209</v>
      </c>
      <c r="F435" s="11" t="s">
        <v>24</v>
      </c>
      <c r="G435" s="4"/>
      <c r="H435" s="4"/>
      <c r="I435" s="4"/>
      <c r="J435" s="4"/>
      <c r="K435" s="4"/>
      <c r="L435" s="4"/>
      <c r="M435" s="4"/>
      <c r="N435" s="4"/>
      <c r="O435" s="4"/>
      <c r="P435" s="4"/>
      <c r="Q435" s="4"/>
      <c r="R435" s="4"/>
      <c r="S435" s="4"/>
      <c r="T435" s="4"/>
      <c r="U435" s="4"/>
      <c r="V435" s="4"/>
      <c r="W435" s="4"/>
      <c r="X435" s="4"/>
      <c r="Y435" s="4"/>
    </row>
    <row r="436">
      <c r="A436" s="11">
        <v>435.0</v>
      </c>
      <c r="B436" s="11" t="s">
        <v>1210</v>
      </c>
      <c r="C436" s="6" t="s">
        <v>1211</v>
      </c>
      <c r="D436" s="17">
        <v>2024.0</v>
      </c>
      <c r="E436" s="11" t="s">
        <v>48</v>
      </c>
      <c r="F436" s="11" t="s">
        <v>24</v>
      </c>
      <c r="G436" s="4"/>
      <c r="H436" s="4"/>
      <c r="I436" s="4"/>
      <c r="J436" s="4"/>
      <c r="K436" s="4"/>
      <c r="L436" s="4"/>
      <c r="M436" s="4"/>
      <c r="N436" s="4"/>
      <c r="O436" s="4"/>
      <c r="P436" s="4"/>
      <c r="Q436" s="4"/>
      <c r="R436" s="4"/>
      <c r="S436" s="4"/>
      <c r="T436" s="4"/>
      <c r="U436" s="4"/>
      <c r="V436" s="4"/>
      <c r="W436" s="4"/>
      <c r="X436" s="4"/>
      <c r="Y436" s="4"/>
    </row>
    <row r="437">
      <c r="A437" s="11">
        <v>436.0</v>
      </c>
      <c r="B437" s="11" t="s">
        <v>1212</v>
      </c>
      <c r="C437" s="6" t="s">
        <v>1213</v>
      </c>
      <c r="D437" s="17">
        <v>2024.0</v>
      </c>
      <c r="E437" s="11" t="s">
        <v>1214</v>
      </c>
      <c r="F437" s="11" t="s">
        <v>24</v>
      </c>
      <c r="G437" s="4"/>
      <c r="H437" s="4"/>
      <c r="I437" s="4"/>
      <c r="J437" s="4"/>
      <c r="K437" s="4"/>
      <c r="L437" s="4"/>
      <c r="M437" s="4"/>
      <c r="N437" s="4"/>
      <c r="O437" s="4"/>
      <c r="P437" s="4"/>
      <c r="Q437" s="4"/>
      <c r="R437" s="4"/>
      <c r="S437" s="4"/>
      <c r="T437" s="4"/>
      <c r="U437" s="4"/>
      <c r="V437" s="4"/>
      <c r="W437" s="4"/>
      <c r="X437" s="4"/>
      <c r="Y437" s="4"/>
    </row>
    <row r="438">
      <c r="A438" s="12">
        <v>437.0</v>
      </c>
      <c r="B438" s="11" t="s">
        <v>1215</v>
      </c>
      <c r="C438" s="6" t="s">
        <v>1216</v>
      </c>
      <c r="D438" s="17">
        <v>2017.0</v>
      </c>
      <c r="E438" s="11" t="s">
        <v>1217</v>
      </c>
      <c r="F438" s="11" t="s">
        <v>24</v>
      </c>
      <c r="G438" s="4"/>
      <c r="H438" s="4"/>
      <c r="I438" s="4"/>
      <c r="J438" s="4"/>
      <c r="K438" s="4"/>
      <c r="L438" s="4"/>
      <c r="M438" s="4"/>
      <c r="N438" s="4"/>
      <c r="O438" s="4"/>
      <c r="P438" s="4"/>
      <c r="Q438" s="4"/>
      <c r="R438" s="4"/>
      <c r="S438" s="4"/>
      <c r="T438" s="4"/>
      <c r="U438" s="4"/>
      <c r="V438" s="4"/>
      <c r="W438" s="4"/>
      <c r="X438" s="4"/>
      <c r="Y438" s="4"/>
    </row>
    <row r="439">
      <c r="A439" s="11">
        <v>438.0</v>
      </c>
      <c r="B439" s="11" t="s">
        <v>1218</v>
      </c>
      <c r="C439" s="3"/>
      <c r="D439" s="17">
        <v>2022.0</v>
      </c>
      <c r="E439" s="11" t="s">
        <v>1206</v>
      </c>
      <c r="F439" s="11" t="s">
        <v>24</v>
      </c>
      <c r="G439" s="4"/>
      <c r="H439" s="4"/>
      <c r="I439" s="4"/>
      <c r="J439" s="4"/>
      <c r="K439" s="4"/>
      <c r="L439" s="4"/>
      <c r="M439" s="4"/>
      <c r="N439" s="4"/>
      <c r="O439" s="4"/>
      <c r="P439" s="4"/>
      <c r="Q439" s="4"/>
      <c r="R439" s="4"/>
      <c r="S439" s="4"/>
      <c r="T439" s="4"/>
      <c r="U439" s="4"/>
      <c r="V439" s="4"/>
      <c r="W439" s="4"/>
      <c r="X439" s="4"/>
      <c r="Y439" s="4"/>
    </row>
    <row r="440">
      <c r="A440" s="11">
        <v>439.0</v>
      </c>
      <c r="B440" s="11" t="s">
        <v>1219</v>
      </c>
      <c r="C440" s="3"/>
      <c r="D440" s="17">
        <v>2020.0</v>
      </c>
      <c r="E440" s="11" t="s">
        <v>1206</v>
      </c>
      <c r="F440" s="11" t="s">
        <v>24</v>
      </c>
      <c r="G440" s="4"/>
      <c r="H440" s="4"/>
      <c r="I440" s="4"/>
      <c r="J440" s="4"/>
      <c r="K440" s="4"/>
      <c r="L440" s="4"/>
      <c r="M440" s="4"/>
      <c r="N440" s="4"/>
      <c r="O440" s="4"/>
      <c r="P440" s="4"/>
      <c r="Q440" s="4"/>
      <c r="R440" s="4"/>
      <c r="S440" s="4"/>
      <c r="T440" s="4"/>
      <c r="U440" s="4"/>
      <c r="V440" s="4"/>
      <c r="W440" s="4"/>
      <c r="X440" s="4"/>
      <c r="Y440" s="4"/>
    </row>
    <row r="441">
      <c r="A441" s="11">
        <v>440.0</v>
      </c>
      <c r="B441" s="11" t="s">
        <v>1220</v>
      </c>
      <c r="C441" s="6" t="s">
        <v>1221</v>
      </c>
      <c r="D441" s="11">
        <v>2019.0</v>
      </c>
      <c r="E441" s="11" t="s">
        <v>1222</v>
      </c>
      <c r="F441" s="11" t="s">
        <v>24</v>
      </c>
      <c r="G441" s="4"/>
      <c r="H441" s="4"/>
      <c r="I441" s="4"/>
      <c r="J441" s="4"/>
      <c r="K441" s="4"/>
      <c r="L441" s="4"/>
      <c r="M441" s="4"/>
      <c r="N441" s="4"/>
      <c r="O441" s="4"/>
      <c r="P441" s="4"/>
      <c r="Q441" s="4"/>
      <c r="R441" s="4"/>
      <c r="S441" s="4"/>
      <c r="T441" s="4"/>
      <c r="U441" s="4"/>
      <c r="V441" s="4"/>
      <c r="W441" s="4"/>
      <c r="X441" s="4"/>
      <c r="Y441" s="4"/>
    </row>
    <row r="442">
      <c r="A442" s="4"/>
      <c r="B442" s="4"/>
      <c r="C442" s="3"/>
      <c r="D442" s="4"/>
      <c r="E442" s="11"/>
      <c r="F442" s="4"/>
      <c r="G442" s="4"/>
      <c r="H442" s="4"/>
      <c r="I442" s="4"/>
      <c r="J442" s="4"/>
      <c r="K442" s="4"/>
      <c r="L442" s="4"/>
      <c r="M442" s="4"/>
      <c r="N442" s="4"/>
      <c r="O442" s="4"/>
      <c r="P442" s="4"/>
      <c r="Q442" s="4"/>
      <c r="R442" s="4"/>
      <c r="S442" s="4"/>
      <c r="T442" s="4"/>
      <c r="U442" s="4"/>
      <c r="V442" s="4"/>
      <c r="W442" s="4"/>
      <c r="X442" s="4"/>
      <c r="Y442" s="4"/>
    </row>
    <row r="443">
      <c r="A443" s="4"/>
      <c r="B443" s="4"/>
      <c r="C443" s="3"/>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3"/>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3"/>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3"/>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3"/>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3"/>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3"/>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3"/>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3"/>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3"/>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3"/>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3"/>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3"/>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3"/>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3"/>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3"/>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3"/>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3"/>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3"/>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3"/>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3"/>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3"/>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3"/>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3"/>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3"/>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3"/>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3"/>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3"/>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3"/>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3"/>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3"/>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3"/>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3"/>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3"/>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3"/>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3"/>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3"/>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3"/>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3"/>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3"/>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3"/>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3"/>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3"/>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3"/>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3"/>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3"/>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3"/>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3"/>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3"/>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3"/>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3"/>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3"/>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3"/>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3"/>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3"/>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3"/>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3"/>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3"/>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3"/>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3"/>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3"/>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3"/>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3"/>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3"/>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3"/>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3"/>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3"/>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3"/>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3"/>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3"/>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3"/>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3"/>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3"/>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3"/>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3"/>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3"/>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3"/>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3"/>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3"/>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3"/>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3"/>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3"/>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3"/>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3"/>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3"/>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3"/>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3"/>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3"/>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3"/>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3"/>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3"/>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3"/>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3"/>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3"/>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3"/>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3"/>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3"/>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3"/>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3"/>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3"/>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3"/>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3"/>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3"/>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3"/>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3"/>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3"/>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3"/>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3"/>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3"/>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3"/>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3"/>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3"/>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3"/>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3"/>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3"/>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3"/>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3"/>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3"/>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3"/>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3"/>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3"/>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3"/>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3"/>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3"/>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3"/>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3"/>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3"/>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3"/>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3"/>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3"/>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3"/>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3"/>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3"/>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3"/>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3"/>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3"/>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3"/>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3"/>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3"/>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3"/>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3"/>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3"/>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3"/>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3"/>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3"/>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3"/>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3"/>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3"/>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3"/>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3"/>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3"/>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3"/>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3"/>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3"/>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3"/>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3"/>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3"/>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3"/>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3"/>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3"/>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3"/>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3"/>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3"/>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3"/>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3"/>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3"/>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3"/>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3"/>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3"/>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3"/>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3"/>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3"/>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3"/>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3"/>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3"/>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3"/>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3"/>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3"/>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3"/>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3"/>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3"/>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3"/>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3"/>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3"/>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3"/>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3"/>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3"/>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3"/>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3"/>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3"/>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3"/>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3"/>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3"/>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3"/>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3"/>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3"/>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3"/>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3"/>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3"/>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3"/>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3"/>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3"/>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3"/>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3"/>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3"/>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3"/>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3"/>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3"/>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3"/>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3"/>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3"/>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3"/>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3"/>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3"/>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3"/>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3"/>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3"/>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3"/>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3"/>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3"/>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3"/>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3"/>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3"/>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3"/>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3"/>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3"/>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3"/>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3"/>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3"/>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3"/>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3"/>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3"/>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3"/>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3"/>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3"/>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3"/>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3"/>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3"/>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3"/>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3"/>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3"/>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3"/>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3"/>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3"/>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3"/>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3"/>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3"/>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3"/>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3"/>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3"/>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3"/>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3"/>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3"/>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3"/>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3"/>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3"/>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3"/>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3"/>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3"/>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3"/>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3"/>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3"/>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3"/>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3"/>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3"/>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3"/>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3"/>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3"/>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3"/>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3"/>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3"/>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3"/>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3"/>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3"/>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3"/>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3"/>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3"/>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3"/>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3"/>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3"/>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3"/>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3"/>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3"/>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3"/>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3"/>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3"/>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3"/>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3"/>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3"/>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3"/>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3"/>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3"/>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3"/>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3"/>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3"/>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3"/>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3"/>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3"/>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3"/>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3"/>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3"/>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3"/>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3"/>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3"/>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3"/>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3"/>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3"/>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3"/>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3"/>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3"/>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3"/>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3"/>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3"/>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3"/>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3"/>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3"/>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3"/>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3"/>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3"/>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3"/>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3"/>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3"/>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3"/>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3"/>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3"/>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3"/>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3"/>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3"/>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3"/>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3"/>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3"/>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3"/>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3"/>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3"/>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3"/>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3"/>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3"/>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3"/>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3"/>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3"/>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3"/>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3"/>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3"/>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3"/>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3"/>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3"/>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3"/>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3"/>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3"/>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3"/>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3"/>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3"/>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3"/>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3"/>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3"/>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3"/>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3"/>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3"/>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3"/>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3"/>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3"/>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3"/>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3"/>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3"/>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3"/>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3"/>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3"/>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3"/>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3"/>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3"/>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3"/>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3"/>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3"/>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3"/>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3"/>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3"/>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3"/>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3"/>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3"/>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3"/>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3"/>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3"/>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3"/>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3"/>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3"/>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3"/>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3"/>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3"/>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3"/>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3"/>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3"/>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3"/>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3"/>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3"/>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3"/>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3"/>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3"/>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3"/>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3"/>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3"/>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3"/>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3"/>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3"/>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3"/>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3"/>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3"/>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3"/>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3"/>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3"/>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3"/>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3"/>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3"/>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3"/>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3"/>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3"/>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3"/>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3"/>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3"/>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3"/>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3"/>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3"/>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3"/>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3"/>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3"/>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3"/>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3"/>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3"/>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3"/>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3"/>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3"/>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3"/>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3"/>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3"/>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3"/>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3"/>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3"/>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3"/>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3"/>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3"/>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3"/>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3"/>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3"/>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3"/>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3"/>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3"/>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3"/>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3"/>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3"/>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3"/>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3"/>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3"/>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3"/>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3"/>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3"/>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3"/>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3"/>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3"/>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3"/>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3"/>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3"/>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3"/>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3"/>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3"/>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3"/>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3"/>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3"/>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3"/>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3"/>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3"/>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3"/>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3"/>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3"/>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3"/>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3"/>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3"/>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3"/>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3"/>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3"/>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3"/>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3"/>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3"/>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3"/>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3"/>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3"/>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3"/>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3"/>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3"/>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3"/>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3"/>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3"/>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3"/>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3"/>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3"/>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3"/>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3"/>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3"/>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3"/>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3"/>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3"/>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3"/>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3"/>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3"/>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3"/>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3"/>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3"/>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3"/>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3"/>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3"/>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3"/>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3"/>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3"/>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3"/>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3"/>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3"/>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3"/>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3"/>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3"/>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3"/>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3"/>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3"/>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3"/>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3"/>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3"/>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3"/>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3"/>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3"/>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3"/>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3"/>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3"/>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3"/>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3"/>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3"/>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3"/>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3"/>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3"/>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3"/>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3"/>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3"/>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3"/>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3"/>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3"/>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3"/>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3"/>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3"/>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3"/>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3"/>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3"/>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3"/>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3"/>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3"/>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3"/>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3"/>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3"/>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3"/>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3"/>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3"/>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3"/>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3"/>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3"/>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3"/>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3"/>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3"/>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3"/>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3"/>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3"/>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3"/>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3"/>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3"/>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3"/>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3"/>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4"/>
      <c r="C1013" s="3"/>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4"/>
      <c r="C1014" s="3"/>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4"/>
      <c r="C1015" s="3"/>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4"/>
      <c r="C1016" s="3"/>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4"/>
      <c r="C1017" s="3"/>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4"/>
      <c r="C1018" s="3"/>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4"/>
      <c r="C1019" s="3"/>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4"/>
      <c r="C1020" s="3"/>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4"/>
      <c r="C1021" s="3"/>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4"/>
      <c r="C1022" s="3"/>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4"/>
      <c r="C1023" s="3"/>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4"/>
      <c r="C1024" s="3"/>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4"/>
      <c r="C1025" s="3"/>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4"/>
      <c r="C1026" s="3"/>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4"/>
      <c r="C1027" s="3"/>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4"/>
      <c r="C1028" s="3"/>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4"/>
      <c r="C1029" s="3"/>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4"/>
      <c r="C1030" s="3"/>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4"/>
      <c r="C1031" s="3"/>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4"/>
      <c r="C1032" s="3"/>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4"/>
      <c r="C1033" s="3"/>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4"/>
      <c r="C1034" s="3"/>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4"/>
      <c r="C1035" s="3"/>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4"/>
      <c r="C1036" s="3"/>
      <c r="D1036" s="4"/>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4"/>
      <c r="C1037" s="3"/>
      <c r="D1037" s="4"/>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4"/>
      <c r="C1038" s="3"/>
      <c r="D1038" s="4"/>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4"/>
      <c r="C1039" s="3"/>
      <c r="D1039" s="4"/>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4"/>
      <c r="C1040" s="3"/>
      <c r="D1040" s="4"/>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4"/>
      <c r="C1041" s="3"/>
      <c r="D1041" s="4"/>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4"/>
      <c r="C1042" s="3"/>
      <c r="D1042" s="4"/>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4"/>
      <c r="C1043" s="3"/>
      <c r="D1043" s="4"/>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4"/>
      <c r="C1044" s="3"/>
      <c r="D1044" s="4"/>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4"/>
      <c r="C1045" s="3"/>
      <c r="D1045" s="4"/>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4"/>
      <c r="C1046" s="3"/>
      <c r="D1046" s="4"/>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4"/>
      <c r="C1047" s="3"/>
      <c r="D1047" s="4"/>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4"/>
      <c r="C1048" s="3"/>
      <c r="D1048" s="4"/>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4"/>
      <c r="C1049" s="3"/>
      <c r="D1049" s="4"/>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4"/>
      <c r="C1050" s="3"/>
      <c r="D1050" s="4"/>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4"/>
      <c r="C1051" s="3"/>
      <c r="D1051" s="4"/>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4"/>
      <c r="C1052" s="3"/>
      <c r="D1052" s="4"/>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4"/>
      <c r="C1053" s="3"/>
      <c r="D1053" s="4"/>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4"/>
      <c r="C1054" s="3"/>
      <c r="D1054" s="4"/>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4"/>
      <c r="C1055" s="3"/>
      <c r="D1055" s="4"/>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4"/>
      <c r="C1056" s="3"/>
      <c r="D1056" s="4"/>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4"/>
      <c r="C1057" s="3"/>
      <c r="D1057" s="4"/>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4"/>
      <c r="C1058" s="3"/>
      <c r="D1058" s="4"/>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4"/>
      <c r="C1059" s="3"/>
      <c r="D1059" s="4"/>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4"/>
      <c r="C1060" s="3"/>
      <c r="D1060" s="4"/>
      <c r="E1060" s="4"/>
      <c r="F1060" s="4"/>
      <c r="G1060" s="4"/>
      <c r="H1060" s="4"/>
      <c r="I1060" s="4"/>
      <c r="J1060" s="4"/>
      <c r="K1060" s="4"/>
      <c r="L1060" s="4"/>
      <c r="M1060" s="4"/>
      <c r="N1060" s="4"/>
      <c r="O1060" s="4"/>
      <c r="P1060" s="4"/>
      <c r="Q1060" s="4"/>
      <c r="R1060" s="4"/>
      <c r="S1060" s="4"/>
      <c r="T1060" s="4"/>
      <c r="U1060" s="4"/>
      <c r="V1060" s="4"/>
      <c r="W1060" s="4"/>
      <c r="X1060" s="4"/>
      <c r="Y1060" s="4"/>
    </row>
    <row r="1061">
      <c r="A1061" s="4"/>
      <c r="B1061" s="4"/>
      <c r="C1061" s="3"/>
      <c r="D1061" s="4"/>
      <c r="E1061" s="4"/>
      <c r="F1061" s="4"/>
      <c r="G1061" s="4"/>
      <c r="H1061" s="4"/>
      <c r="I1061" s="4"/>
      <c r="J1061" s="4"/>
      <c r="K1061" s="4"/>
      <c r="L1061" s="4"/>
      <c r="M1061" s="4"/>
      <c r="N1061" s="4"/>
      <c r="O1061" s="4"/>
      <c r="P1061" s="4"/>
      <c r="Q1061" s="4"/>
      <c r="R1061" s="4"/>
      <c r="S1061" s="4"/>
      <c r="T1061" s="4"/>
      <c r="U1061" s="4"/>
      <c r="V1061" s="4"/>
      <c r="W1061" s="4"/>
      <c r="X1061" s="4"/>
      <c r="Y1061" s="4"/>
    </row>
    <row r="1062">
      <c r="A1062" s="4"/>
      <c r="B1062" s="4"/>
      <c r="C1062" s="3"/>
      <c r="D1062" s="4"/>
      <c r="E1062" s="4"/>
      <c r="F1062" s="4"/>
      <c r="G1062" s="4"/>
      <c r="H1062" s="4"/>
      <c r="I1062" s="4"/>
      <c r="J1062" s="4"/>
      <c r="K1062" s="4"/>
      <c r="L1062" s="4"/>
      <c r="M1062" s="4"/>
      <c r="N1062" s="4"/>
      <c r="O1062" s="4"/>
      <c r="P1062" s="4"/>
      <c r="Q1062" s="4"/>
      <c r="R1062" s="4"/>
      <c r="S1062" s="4"/>
      <c r="T1062" s="4"/>
      <c r="U1062" s="4"/>
      <c r="V1062" s="4"/>
      <c r="W1062" s="4"/>
      <c r="X1062" s="4"/>
      <c r="Y1062" s="4"/>
    </row>
    <row r="1063">
      <c r="A1063" s="4"/>
      <c r="B1063" s="4"/>
      <c r="C1063" s="3"/>
      <c r="D1063" s="4"/>
      <c r="E1063" s="4"/>
      <c r="F1063" s="4"/>
      <c r="G1063" s="4"/>
      <c r="H1063" s="4"/>
      <c r="I1063" s="4"/>
      <c r="J1063" s="4"/>
      <c r="K1063" s="4"/>
      <c r="L1063" s="4"/>
      <c r="M1063" s="4"/>
      <c r="N1063" s="4"/>
      <c r="O1063" s="4"/>
      <c r="P1063" s="4"/>
      <c r="Q1063" s="4"/>
      <c r="R1063" s="4"/>
      <c r="S1063" s="4"/>
      <c r="T1063" s="4"/>
      <c r="U1063" s="4"/>
      <c r="V1063" s="4"/>
      <c r="W1063" s="4"/>
      <c r="X1063" s="4"/>
      <c r="Y1063" s="4"/>
    </row>
    <row r="1064">
      <c r="A1064" s="4"/>
      <c r="B1064" s="4"/>
      <c r="C1064" s="3"/>
      <c r="D1064" s="4"/>
      <c r="E1064" s="4"/>
      <c r="F1064" s="4"/>
      <c r="G1064" s="4"/>
      <c r="H1064" s="4"/>
      <c r="I1064" s="4"/>
      <c r="J1064" s="4"/>
      <c r="K1064" s="4"/>
      <c r="L1064" s="4"/>
      <c r="M1064" s="4"/>
      <c r="N1064" s="4"/>
      <c r="O1064" s="4"/>
      <c r="P1064" s="4"/>
      <c r="Q1064" s="4"/>
      <c r="R1064" s="4"/>
      <c r="S1064" s="4"/>
      <c r="T1064" s="4"/>
      <c r="U1064" s="4"/>
      <c r="V1064" s="4"/>
      <c r="W1064" s="4"/>
      <c r="X1064" s="4"/>
      <c r="Y1064" s="4"/>
    </row>
    <row r="1065">
      <c r="A1065" s="4"/>
      <c r="B1065" s="4"/>
      <c r="C1065" s="3"/>
      <c r="D1065" s="4"/>
      <c r="E1065" s="4"/>
      <c r="F1065" s="4"/>
      <c r="G1065" s="4"/>
      <c r="H1065" s="4"/>
      <c r="I1065" s="4"/>
      <c r="J1065" s="4"/>
      <c r="K1065" s="4"/>
      <c r="L1065" s="4"/>
      <c r="M1065" s="4"/>
      <c r="N1065" s="4"/>
      <c r="O1065" s="4"/>
      <c r="P1065" s="4"/>
      <c r="Q1065" s="4"/>
      <c r="R1065" s="4"/>
      <c r="S1065" s="4"/>
      <c r="T1065" s="4"/>
      <c r="U1065" s="4"/>
      <c r="V1065" s="4"/>
      <c r="W1065" s="4"/>
      <c r="X1065" s="4"/>
      <c r="Y1065" s="4"/>
    </row>
    <row r="1066">
      <c r="A1066" s="4"/>
      <c r="B1066" s="4"/>
      <c r="C1066" s="3"/>
      <c r="D1066" s="4"/>
      <c r="E1066" s="4"/>
      <c r="F1066" s="4"/>
      <c r="G1066" s="4"/>
      <c r="H1066" s="4"/>
      <c r="I1066" s="4"/>
      <c r="J1066" s="4"/>
      <c r="K1066" s="4"/>
      <c r="L1066" s="4"/>
      <c r="M1066" s="4"/>
      <c r="N1066" s="4"/>
      <c r="O1066" s="4"/>
      <c r="P1066" s="4"/>
      <c r="Q1066" s="4"/>
      <c r="R1066" s="4"/>
      <c r="S1066" s="4"/>
      <c r="T1066" s="4"/>
      <c r="U1066" s="4"/>
      <c r="V1066" s="4"/>
      <c r="W1066" s="4"/>
      <c r="X1066" s="4"/>
      <c r="Y1066" s="4"/>
    </row>
    <row r="1067">
      <c r="A1067" s="4"/>
      <c r="B1067" s="4"/>
      <c r="C1067" s="3"/>
      <c r="D1067" s="4"/>
      <c r="E1067" s="4"/>
      <c r="F1067" s="4"/>
      <c r="G1067" s="4"/>
      <c r="H1067" s="4"/>
      <c r="I1067" s="4"/>
      <c r="J1067" s="4"/>
      <c r="K1067" s="4"/>
      <c r="L1067" s="4"/>
      <c r="M1067" s="4"/>
      <c r="N1067" s="4"/>
      <c r="O1067" s="4"/>
      <c r="P1067" s="4"/>
      <c r="Q1067" s="4"/>
      <c r="R1067" s="4"/>
      <c r="S1067" s="4"/>
      <c r="T1067" s="4"/>
      <c r="U1067" s="4"/>
      <c r="V1067" s="4"/>
      <c r="W1067" s="4"/>
      <c r="X1067" s="4"/>
      <c r="Y1067" s="4"/>
    </row>
    <row r="1068">
      <c r="A1068" s="4"/>
      <c r="B1068" s="4"/>
      <c r="C1068" s="3"/>
      <c r="D1068" s="4"/>
      <c r="E1068" s="4"/>
      <c r="F1068" s="4"/>
      <c r="G1068" s="4"/>
      <c r="H1068" s="4"/>
      <c r="I1068" s="4"/>
      <c r="J1068" s="4"/>
      <c r="K1068" s="4"/>
      <c r="L1068" s="4"/>
      <c r="M1068" s="4"/>
      <c r="N1068" s="4"/>
      <c r="O1068" s="4"/>
      <c r="P1068" s="4"/>
      <c r="Q1068" s="4"/>
      <c r="R1068" s="4"/>
      <c r="S1068" s="4"/>
      <c r="T1068" s="4"/>
      <c r="U1068" s="4"/>
      <c r="V1068" s="4"/>
      <c r="W1068" s="4"/>
      <c r="X1068" s="4"/>
      <c r="Y1068" s="4"/>
    </row>
    <row r="1069">
      <c r="A1069" s="4"/>
      <c r="B1069" s="4"/>
      <c r="C1069" s="3"/>
      <c r="D1069" s="4"/>
      <c r="E1069" s="4"/>
      <c r="F1069" s="4"/>
      <c r="G1069" s="4"/>
      <c r="H1069" s="4"/>
      <c r="I1069" s="4"/>
      <c r="J1069" s="4"/>
      <c r="K1069" s="4"/>
      <c r="L1069" s="4"/>
      <c r="M1069" s="4"/>
      <c r="N1069" s="4"/>
      <c r="O1069" s="4"/>
      <c r="P1069" s="4"/>
      <c r="Q1069" s="4"/>
      <c r="R1069" s="4"/>
      <c r="S1069" s="4"/>
      <c r="T1069" s="4"/>
      <c r="U1069" s="4"/>
      <c r="V1069" s="4"/>
      <c r="W1069" s="4"/>
      <c r="X1069" s="4"/>
      <c r="Y1069" s="4"/>
    </row>
    <row r="1070">
      <c r="A1070" s="4"/>
      <c r="B1070" s="4"/>
      <c r="C1070" s="3"/>
      <c r="D1070" s="4"/>
      <c r="E1070" s="4"/>
      <c r="F1070" s="4"/>
      <c r="G1070" s="4"/>
      <c r="H1070" s="4"/>
      <c r="I1070" s="4"/>
      <c r="J1070" s="4"/>
      <c r="K1070" s="4"/>
      <c r="L1070" s="4"/>
      <c r="M1070" s="4"/>
      <c r="N1070" s="4"/>
      <c r="O1070" s="4"/>
      <c r="P1070" s="4"/>
      <c r="Q1070" s="4"/>
      <c r="R1070" s="4"/>
      <c r="S1070" s="4"/>
      <c r="T1070" s="4"/>
      <c r="U1070" s="4"/>
      <c r="V1070" s="4"/>
      <c r="W1070" s="4"/>
      <c r="X1070" s="4"/>
      <c r="Y1070" s="4"/>
    </row>
    <row r="1071">
      <c r="A1071" s="4"/>
      <c r="B1071" s="4"/>
      <c r="C1071" s="3"/>
      <c r="D1071" s="4"/>
      <c r="E1071" s="4"/>
      <c r="F1071" s="4"/>
      <c r="G1071" s="4"/>
      <c r="H1071" s="4"/>
      <c r="I1071" s="4"/>
      <c r="J1071" s="4"/>
      <c r="K1071" s="4"/>
      <c r="L1071" s="4"/>
      <c r="M1071" s="4"/>
      <c r="N1071" s="4"/>
      <c r="O1071" s="4"/>
      <c r="P1071" s="4"/>
      <c r="Q1071" s="4"/>
      <c r="R1071" s="4"/>
      <c r="S1071" s="4"/>
      <c r="T1071" s="4"/>
      <c r="U1071" s="4"/>
      <c r="V1071" s="4"/>
      <c r="W1071" s="4"/>
      <c r="X1071" s="4"/>
      <c r="Y1071" s="4"/>
    </row>
    <row r="1072">
      <c r="A1072" s="4"/>
      <c r="B1072" s="4"/>
      <c r="C1072" s="3"/>
      <c r="D1072" s="4"/>
      <c r="E1072" s="4"/>
      <c r="F1072" s="4"/>
      <c r="G1072" s="4"/>
      <c r="H1072" s="4"/>
      <c r="I1072" s="4"/>
      <c r="J1072" s="4"/>
      <c r="K1072" s="4"/>
      <c r="L1072" s="4"/>
      <c r="M1072" s="4"/>
      <c r="N1072" s="4"/>
      <c r="O1072" s="4"/>
      <c r="P1072" s="4"/>
      <c r="Q1072" s="4"/>
      <c r="R1072" s="4"/>
      <c r="S1072" s="4"/>
      <c r="T1072" s="4"/>
      <c r="U1072" s="4"/>
      <c r="V1072" s="4"/>
      <c r="W1072" s="4"/>
      <c r="X1072" s="4"/>
      <c r="Y1072" s="4"/>
    </row>
    <row r="1073">
      <c r="A1073" s="4"/>
      <c r="B1073" s="4"/>
      <c r="C1073" s="3"/>
      <c r="D1073" s="4"/>
      <c r="E1073" s="4"/>
      <c r="F1073" s="4"/>
      <c r="G1073" s="4"/>
      <c r="H1073" s="4"/>
      <c r="I1073" s="4"/>
      <c r="J1073" s="4"/>
      <c r="K1073" s="4"/>
      <c r="L1073" s="4"/>
      <c r="M1073" s="4"/>
      <c r="N1073" s="4"/>
      <c r="O1073" s="4"/>
      <c r="P1073" s="4"/>
      <c r="Q1073" s="4"/>
      <c r="R1073" s="4"/>
      <c r="S1073" s="4"/>
      <c r="T1073" s="4"/>
      <c r="U1073" s="4"/>
      <c r="V1073" s="4"/>
      <c r="W1073" s="4"/>
      <c r="X1073" s="4"/>
      <c r="Y1073" s="4"/>
    </row>
    <row r="1074">
      <c r="A1074" s="4"/>
      <c r="B1074" s="4"/>
      <c r="C1074" s="3"/>
      <c r="D1074" s="4"/>
      <c r="E1074" s="4"/>
      <c r="F1074" s="4"/>
      <c r="G1074" s="4"/>
      <c r="H1074" s="4"/>
      <c r="I1074" s="4"/>
      <c r="J1074" s="4"/>
      <c r="K1074" s="4"/>
      <c r="L1074" s="4"/>
      <c r="M1074" s="4"/>
      <c r="N1074" s="4"/>
      <c r="O1074" s="4"/>
      <c r="P1074" s="4"/>
      <c r="Q1074" s="4"/>
      <c r="R1074" s="4"/>
      <c r="S1074" s="4"/>
      <c r="T1074" s="4"/>
      <c r="U1074" s="4"/>
      <c r="V1074" s="4"/>
      <c r="W1074" s="4"/>
      <c r="X1074" s="4"/>
      <c r="Y1074" s="4"/>
    </row>
    <row r="1075">
      <c r="A1075" s="4"/>
      <c r="B1075" s="4"/>
      <c r="C1075" s="3"/>
      <c r="D1075" s="4"/>
      <c r="E1075" s="4"/>
      <c r="F1075" s="4"/>
      <c r="G1075" s="4"/>
      <c r="H1075" s="4"/>
      <c r="I1075" s="4"/>
      <c r="J1075" s="4"/>
      <c r="K1075" s="4"/>
      <c r="L1075" s="4"/>
      <c r="M1075" s="4"/>
      <c r="N1075" s="4"/>
      <c r="O1075" s="4"/>
      <c r="P1075" s="4"/>
      <c r="Q1075" s="4"/>
      <c r="R1075" s="4"/>
      <c r="S1075" s="4"/>
      <c r="T1075" s="4"/>
      <c r="U1075" s="4"/>
      <c r="V1075" s="4"/>
      <c r="W1075" s="4"/>
      <c r="X1075" s="4"/>
      <c r="Y1075" s="4"/>
    </row>
    <row r="1076">
      <c r="A1076" s="4"/>
      <c r="B1076" s="4"/>
      <c r="C1076" s="3"/>
      <c r="D1076" s="4"/>
      <c r="E1076" s="4"/>
      <c r="F1076" s="4"/>
      <c r="G1076" s="4"/>
      <c r="H1076" s="4"/>
      <c r="I1076" s="4"/>
      <c r="J1076" s="4"/>
      <c r="K1076" s="4"/>
      <c r="L1076" s="4"/>
      <c r="M1076" s="4"/>
      <c r="N1076" s="4"/>
      <c r="O1076" s="4"/>
      <c r="P1076" s="4"/>
      <c r="Q1076" s="4"/>
      <c r="R1076" s="4"/>
      <c r="S1076" s="4"/>
      <c r="T1076" s="4"/>
      <c r="U1076" s="4"/>
      <c r="V1076" s="4"/>
      <c r="W1076" s="4"/>
      <c r="X1076" s="4"/>
      <c r="Y1076" s="4"/>
    </row>
    <row r="1077">
      <c r="A1077" s="4"/>
      <c r="B1077" s="4"/>
      <c r="C1077" s="3"/>
      <c r="D1077" s="4"/>
      <c r="E1077" s="4"/>
      <c r="F1077" s="4"/>
      <c r="G1077" s="4"/>
      <c r="H1077" s="4"/>
      <c r="I1077" s="4"/>
      <c r="J1077" s="4"/>
      <c r="K1077" s="4"/>
      <c r="L1077" s="4"/>
      <c r="M1077" s="4"/>
      <c r="N1077" s="4"/>
      <c r="O1077" s="4"/>
      <c r="P1077" s="4"/>
      <c r="Q1077" s="4"/>
      <c r="R1077" s="4"/>
      <c r="S1077" s="4"/>
      <c r="T1077" s="4"/>
      <c r="U1077" s="4"/>
      <c r="V1077" s="4"/>
      <c r="W1077" s="4"/>
      <c r="X1077" s="4"/>
      <c r="Y1077" s="4"/>
    </row>
    <row r="1078">
      <c r="A1078" s="4"/>
      <c r="B1078" s="4"/>
      <c r="C1078" s="3"/>
      <c r="D1078" s="4"/>
      <c r="E1078" s="4"/>
      <c r="F1078" s="4"/>
      <c r="G1078" s="4"/>
      <c r="H1078" s="4"/>
      <c r="I1078" s="4"/>
      <c r="J1078" s="4"/>
      <c r="K1078" s="4"/>
      <c r="L1078" s="4"/>
      <c r="M1078" s="4"/>
      <c r="N1078" s="4"/>
      <c r="O1078" s="4"/>
      <c r="P1078" s="4"/>
      <c r="Q1078" s="4"/>
      <c r="R1078" s="4"/>
      <c r="S1078" s="4"/>
      <c r="T1078" s="4"/>
      <c r="U1078" s="4"/>
      <c r="V1078" s="4"/>
      <c r="W1078" s="4"/>
      <c r="X1078" s="4"/>
      <c r="Y1078" s="4"/>
    </row>
    <row r="1079">
      <c r="A1079" s="4"/>
      <c r="B1079" s="4"/>
      <c r="C1079" s="3"/>
      <c r="D1079" s="4"/>
      <c r="E1079" s="4"/>
      <c r="F1079" s="4"/>
      <c r="G1079" s="4"/>
      <c r="H1079" s="4"/>
      <c r="I1079" s="4"/>
      <c r="J1079" s="4"/>
      <c r="K1079" s="4"/>
      <c r="L1079" s="4"/>
      <c r="M1079" s="4"/>
      <c r="N1079" s="4"/>
      <c r="O1079" s="4"/>
      <c r="P1079" s="4"/>
      <c r="Q1079" s="4"/>
      <c r="R1079" s="4"/>
      <c r="S1079" s="4"/>
      <c r="T1079" s="4"/>
      <c r="U1079" s="4"/>
      <c r="V1079" s="4"/>
      <c r="W1079" s="4"/>
      <c r="X1079" s="4"/>
      <c r="Y1079" s="4"/>
    </row>
    <row r="1080">
      <c r="A1080" s="4"/>
      <c r="B1080" s="4"/>
      <c r="C1080" s="3"/>
      <c r="D1080" s="4"/>
      <c r="E1080" s="4"/>
      <c r="F1080" s="4"/>
      <c r="G1080" s="4"/>
      <c r="H1080" s="4"/>
      <c r="I1080" s="4"/>
      <c r="J1080" s="4"/>
      <c r="K1080" s="4"/>
      <c r="L1080" s="4"/>
      <c r="M1080" s="4"/>
      <c r="N1080" s="4"/>
      <c r="O1080" s="4"/>
      <c r="P1080" s="4"/>
      <c r="Q1080" s="4"/>
      <c r="R1080" s="4"/>
      <c r="S1080" s="4"/>
      <c r="T1080" s="4"/>
      <c r="U1080" s="4"/>
      <c r="V1080" s="4"/>
      <c r="W1080" s="4"/>
      <c r="X1080" s="4"/>
      <c r="Y1080" s="4"/>
    </row>
    <row r="1081">
      <c r="A1081" s="4"/>
      <c r="B1081" s="4"/>
      <c r="C1081" s="3"/>
      <c r="D1081" s="4"/>
      <c r="E1081" s="4"/>
      <c r="F1081" s="4"/>
      <c r="G1081" s="4"/>
      <c r="H1081" s="4"/>
      <c r="I1081" s="4"/>
      <c r="J1081" s="4"/>
      <c r="K1081" s="4"/>
      <c r="L1081" s="4"/>
      <c r="M1081" s="4"/>
      <c r="N1081" s="4"/>
      <c r="O1081" s="4"/>
      <c r="P1081" s="4"/>
      <c r="Q1081" s="4"/>
      <c r="R1081" s="4"/>
      <c r="S1081" s="4"/>
      <c r="T1081" s="4"/>
      <c r="U1081" s="4"/>
      <c r="V1081" s="4"/>
      <c r="W1081" s="4"/>
      <c r="X1081" s="4"/>
      <c r="Y1081" s="4"/>
    </row>
    <row r="1082">
      <c r="A1082" s="4"/>
      <c r="B1082" s="4"/>
      <c r="C1082" s="3"/>
      <c r="D1082" s="4"/>
      <c r="E1082" s="4"/>
      <c r="F1082" s="4"/>
      <c r="G1082" s="4"/>
      <c r="H1082" s="4"/>
      <c r="I1082" s="4"/>
      <c r="J1082" s="4"/>
      <c r="K1082" s="4"/>
      <c r="L1082" s="4"/>
      <c r="M1082" s="4"/>
      <c r="N1082" s="4"/>
      <c r="O1082" s="4"/>
      <c r="P1082" s="4"/>
      <c r="Q1082" s="4"/>
      <c r="R1082" s="4"/>
      <c r="S1082" s="4"/>
      <c r="T1082" s="4"/>
      <c r="U1082" s="4"/>
      <c r="V1082" s="4"/>
      <c r="W1082" s="4"/>
      <c r="X1082" s="4"/>
      <c r="Y1082" s="4"/>
    </row>
    <row r="1083">
      <c r="A1083" s="4"/>
      <c r="B1083" s="4"/>
      <c r="C1083" s="3"/>
      <c r="D1083" s="4"/>
      <c r="E1083" s="4"/>
      <c r="F1083" s="4"/>
      <c r="G1083" s="4"/>
      <c r="H1083" s="4"/>
      <c r="I1083" s="4"/>
      <c r="J1083" s="4"/>
      <c r="K1083" s="4"/>
      <c r="L1083" s="4"/>
      <c r="M1083" s="4"/>
      <c r="N1083" s="4"/>
      <c r="O1083" s="4"/>
      <c r="P1083" s="4"/>
      <c r="Q1083" s="4"/>
      <c r="R1083" s="4"/>
      <c r="S1083" s="4"/>
      <c r="T1083" s="4"/>
      <c r="U1083" s="4"/>
      <c r="V1083" s="4"/>
      <c r="W1083" s="4"/>
      <c r="X1083" s="4"/>
      <c r="Y1083" s="4"/>
    </row>
    <row r="1084">
      <c r="A1084" s="4"/>
      <c r="B1084" s="4"/>
      <c r="C1084" s="3"/>
      <c r="D1084" s="4"/>
      <c r="E1084" s="4"/>
      <c r="F1084" s="4"/>
      <c r="G1084" s="4"/>
      <c r="H1084" s="4"/>
      <c r="I1084" s="4"/>
      <c r="J1084" s="4"/>
      <c r="K1084" s="4"/>
      <c r="L1084" s="4"/>
      <c r="M1084" s="4"/>
      <c r="N1084" s="4"/>
      <c r="O1084" s="4"/>
      <c r="P1084" s="4"/>
      <c r="Q1084" s="4"/>
      <c r="R1084" s="4"/>
      <c r="S1084" s="4"/>
      <c r="T1084" s="4"/>
      <c r="U1084" s="4"/>
      <c r="V1084" s="4"/>
      <c r="W1084" s="4"/>
      <c r="X1084" s="4"/>
      <c r="Y1084" s="4"/>
    </row>
    <row r="1085">
      <c r="A1085" s="4"/>
      <c r="B1085" s="4"/>
      <c r="C1085" s="3"/>
      <c r="D1085" s="4"/>
      <c r="E1085" s="4"/>
      <c r="F1085" s="4"/>
      <c r="G1085" s="4"/>
      <c r="H1085" s="4"/>
      <c r="I1085" s="4"/>
      <c r="J1085" s="4"/>
      <c r="K1085" s="4"/>
      <c r="L1085" s="4"/>
      <c r="M1085" s="4"/>
      <c r="N1085" s="4"/>
      <c r="O1085" s="4"/>
      <c r="P1085" s="4"/>
      <c r="Q1085" s="4"/>
      <c r="R1085" s="4"/>
      <c r="S1085" s="4"/>
      <c r="T1085" s="4"/>
      <c r="U1085" s="4"/>
      <c r="V1085" s="4"/>
      <c r="W1085" s="4"/>
      <c r="X1085" s="4"/>
      <c r="Y1085" s="4"/>
    </row>
    <row r="1086">
      <c r="A1086" s="4"/>
      <c r="B1086" s="4"/>
      <c r="C1086" s="3"/>
      <c r="D1086" s="4"/>
      <c r="E1086" s="4"/>
      <c r="F1086" s="4"/>
      <c r="G1086" s="4"/>
      <c r="H1086" s="4"/>
      <c r="I1086" s="4"/>
      <c r="J1086" s="4"/>
      <c r="K1086" s="4"/>
      <c r="L1086" s="4"/>
      <c r="M1086" s="4"/>
      <c r="N1086" s="4"/>
      <c r="O1086" s="4"/>
      <c r="P1086" s="4"/>
      <c r="Q1086" s="4"/>
      <c r="R1086" s="4"/>
      <c r="S1086" s="4"/>
      <c r="T1086" s="4"/>
      <c r="U1086" s="4"/>
      <c r="V1086" s="4"/>
      <c r="W1086" s="4"/>
      <c r="X1086" s="4"/>
      <c r="Y1086" s="4"/>
    </row>
    <row r="1087">
      <c r="A1087" s="4"/>
      <c r="B1087" s="4"/>
      <c r="C1087" s="3"/>
      <c r="D1087" s="4"/>
      <c r="E1087" s="4"/>
      <c r="F1087" s="4"/>
      <c r="G1087" s="4"/>
      <c r="H1087" s="4"/>
      <c r="I1087" s="4"/>
      <c r="J1087" s="4"/>
      <c r="K1087" s="4"/>
      <c r="L1087" s="4"/>
      <c r="M1087" s="4"/>
      <c r="N1087" s="4"/>
      <c r="O1087" s="4"/>
      <c r="P1087" s="4"/>
      <c r="Q1087" s="4"/>
      <c r="R1087" s="4"/>
      <c r="S1087" s="4"/>
      <c r="T1087" s="4"/>
      <c r="U1087" s="4"/>
      <c r="V1087" s="4"/>
      <c r="W1087" s="4"/>
      <c r="X1087" s="4"/>
      <c r="Y1087" s="4"/>
    </row>
    <row r="1088">
      <c r="A1088" s="4"/>
      <c r="B1088" s="4"/>
      <c r="C1088" s="3"/>
      <c r="D1088" s="4"/>
      <c r="E1088" s="4"/>
      <c r="F1088" s="4"/>
      <c r="G1088" s="4"/>
      <c r="H1088" s="4"/>
      <c r="I1088" s="4"/>
      <c r="J1088" s="4"/>
      <c r="K1088" s="4"/>
      <c r="L1088" s="4"/>
      <c r="M1088" s="4"/>
      <c r="N1088" s="4"/>
      <c r="O1088" s="4"/>
      <c r="P1088" s="4"/>
      <c r="Q1088" s="4"/>
      <c r="R1088" s="4"/>
      <c r="S1088" s="4"/>
      <c r="T1088" s="4"/>
      <c r="U1088" s="4"/>
      <c r="V1088" s="4"/>
      <c r="W1088" s="4"/>
      <c r="X1088" s="4"/>
      <c r="Y1088" s="4"/>
    </row>
    <row r="1089">
      <c r="A1089" s="4"/>
      <c r="B1089" s="4"/>
      <c r="C1089" s="3"/>
      <c r="D1089" s="4"/>
      <c r="E1089" s="4"/>
      <c r="F1089" s="4"/>
      <c r="G1089" s="4"/>
      <c r="H1089" s="4"/>
      <c r="I1089" s="4"/>
      <c r="J1089" s="4"/>
      <c r="K1089" s="4"/>
      <c r="L1089" s="4"/>
      <c r="M1089" s="4"/>
      <c r="N1089" s="4"/>
      <c r="O1089" s="4"/>
      <c r="P1089" s="4"/>
      <c r="Q1089" s="4"/>
      <c r="R1089" s="4"/>
      <c r="S1089" s="4"/>
      <c r="T1089" s="4"/>
      <c r="U1089" s="4"/>
      <c r="V1089" s="4"/>
      <c r="W1089" s="4"/>
      <c r="X1089" s="4"/>
      <c r="Y1089" s="4"/>
    </row>
    <row r="1090">
      <c r="A1090" s="4"/>
      <c r="B1090" s="4"/>
      <c r="C1090" s="3"/>
      <c r="D1090" s="4"/>
      <c r="E1090" s="4"/>
      <c r="F1090" s="4"/>
      <c r="G1090" s="4"/>
      <c r="H1090" s="4"/>
      <c r="I1090" s="4"/>
      <c r="J1090" s="4"/>
      <c r="K1090" s="4"/>
      <c r="L1090" s="4"/>
      <c r="M1090" s="4"/>
      <c r="N1090" s="4"/>
      <c r="O1090" s="4"/>
      <c r="P1090" s="4"/>
      <c r="Q1090" s="4"/>
      <c r="R1090" s="4"/>
      <c r="S1090" s="4"/>
      <c r="T1090" s="4"/>
      <c r="U1090" s="4"/>
      <c r="V1090" s="4"/>
      <c r="W1090" s="4"/>
      <c r="X1090" s="4"/>
      <c r="Y1090" s="4"/>
    </row>
    <row r="1091">
      <c r="A1091" s="4"/>
      <c r="B1091" s="4"/>
      <c r="C1091" s="3"/>
      <c r="D1091" s="4"/>
      <c r="E1091" s="4"/>
      <c r="F1091" s="4"/>
      <c r="G1091" s="4"/>
      <c r="H1091" s="4"/>
      <c r="I1091" s="4"/>
      <c r="J1091" s="4"/>
      <c r="K1091" s="4"/>
      <c r="L1091" s="4"/>
      <c r="M1091" s="4"/>
      <c r="N1091" s="4"/>
      <c r="O1091" s="4"/>
      <c r="P1091" s="4"/>
      <c r="Q1091" s="4"/>
      <c r="R1091" s="4"/>
      <c r="S1091" s="4"/>
      <c r="T1091" s="4"/>
      <c r="U1091" s="4"/>
      <c r="V1091" s="4"/>
      <c r="W1091" s="4"/>
      <c r="X1091" s="4"/>
      <c r="Y1091" s="4"/>
    </row>
    <row r="1092">
      <c r="A1092" s="4"/>
      <c r="B1092" s="4"/>
      <c r="C1092" s="3"/>
      <c r="D1092" s="4"/>
      <c r="E1092" s="4"/>
      <c r="F1092" s="4"/>
      <c r="G1092" s="4"/>
      <c r="H1092" s="4"/>
      <c r="I1092" s="4"/>
      <c r="J1092" s="4"/>
      <c r="K1092" s="4"/>
      <c r="L1092" s="4"/>
      <c r="M1092" s="4"/>
      <c r="N1092" s="4"/>
      <c r="O1092" s="4"/>
      <c r="P1092" s="4"/>
      <c r="Q1092" s="4"/>
      <c r="R1092" s="4"/>
      <c r="S1092" s="4"/>
      <c r="T1092" s="4"/>
      <c r="U1092" s="4"/>
      <c r="V1092" s="4"/>
      <c r="W1092" s="4"/>
      <c r="X1092" s="4"/>
      <c r="Y1092" s="4"/>
    </row>
    <row r="1093">
      <c r="A1093" s="4"/>
      <c r="B1093" s="4"/>
      <c r="C1093" s="3"/>
      <c r="D1093" s="4"/>
      <c r="E1093" s="4"/>
      <c r="F1093" s="4"/>
      <c r="G1093" s="4"/>
      <c r="H1093" s="4"/>
      <c r="I1093" s="4"/>
      <c r="J1093" s="4"/>
      <c r="K1093" s="4"/>
      <c r="L1093" s="4"/>
      <c r="M1093" s="4"/>
      <c r="N1093" s="4"/>
      <c r="O1093" s="4"/>
      <c r="P1093" s="4"/>
      <c r="Q1093" s="4"/>
      <c r="R1093" s="4"/>
      <c r="S1093" s="4"/>
      <c r="T1093" s="4"/>
      <c r="U1093" s="4"/>
      <c r="V1093" s="4"/>
      <c r="W1093" s="4"/>
      <c r="X1093" s="4"/>
      <c r="Y1093" s="4"/>
    </row>
    <row r="1094">
      <c r="A1094" s="4"/>
      <c r="B1094" s="4"/>
      <c r="C1094" s="3"/>
      <c r="D1094" s="4"/>
      <c r="E1094" s="4"/>
      <c r="F1094" s="4"/>
      <c r="G1094" s="4"/>
      <c r="H1094" s="4"/>
      <c r="I1094" s="4"/>
      <c r="J1094" s="4"/>
      <c r="K1094" s="4"/>
      <c r="L1094" s="4"/>
      <c r="M1094" s="4"/>
      <c r="N1094" s="4"/>
      <c r="O1094" s="4"/>
      <c r="P1094" s="4"/>
      <c r="Q1094" s="4"/>
      <c r="R1094" s="4"/>
      <c r="S1094" s="4"/>
      <c r="T1094" s="4"/>
      <c r="U1094" s="4"/>
      <c r="V1094" s="4"/>
      <c r="W1094" s="4"/>
      <c r="X1094" s="4"/>
      <c r="Y1094" s="4"/>
    </row>
    <row r="1095">
      <c r="A1095" s="4"/>
      <c r="B1095" s="4"/>
      <c r="C1095" s="3"/>
      <c r="D1095" s="4"/>
      <c r="E1095" s="4"/>
      <c r="F1095" s="4"/>
      <c r="G1095" s="4"/>
      <c r="H1095" s="4"/>
      <c r="I1095" s="4"/>
      <c r="J1095" s="4"/>
      <c r="K1095" s="4"/>
      <c r="L1095" s="4"/>
      <c r="M1095" s="4"/>
      <c r="N1095" s="4"/>
      <c r="O1095" s="4"/>
      <c r="P1095" s="4"/>
      <c r="Q1095" s="4"/>
      <c r="R1095" s="4"/>
      <c r="S1095" s="4"/>
      <c r="T1095" s="4"/>
      <c r="U1095" s="4"/>
      <c r="V1095" s="4"/>
      <c r="W1095" s="4"/>
      <c r="X1095" s="4"/>
      <c r="Y1095" s="4"/>
    </row>
    <row r="1096">
      <c r="A1096" s="4"/>
      <c r="B1096" s="4"/>
      <c r="C1096" s="3"/>
      <c r="D1096" s="4"/>
      <c r="E1096" s="4"/>
      <c r="F1096" s="4"/>
      <c r="G1096" s="4"/>
      <c r="H1096" s="4"/>
      <c r="I1096" s="4"/>
      <c r="J1096" s="4"/>
      <c r="K1096" s="4"/>
      <c r="L1096" s="4"/>
      <c r="M1096" s="4"/>
      <c r="N1096" s="4"/>
      <c r="O1096" s="4"/>
      <c r="P1096" s="4"/>
      <c r="Q1096" s="4"/>
      <c r="R1096" s="4"/>
      <c r="S1096" s="4"/>
      <c r="T1096" s="4"/>
      <c r="U1096" s="4"/>
      <c r="V1096" s="4"/>
      <c r="W1096" s="4"/>
      <c r="X1096" s="4"/>
      <c r="Y1096" s="4"/>
    </row>
    <row r="1097">
      <c r="A1097" s="4"/>
      <c r="B1097" s="4"/>
      <c r="C1097" s="3"/>
      <c r="D1097" s="4"/>
      <c r="E1097" s="4"/>
      <c r="F1097" s="4"/>
      <c r="G1097" s="4"/>
      <c r="H1097" s="4"/>
      <c r="I1097" s="4"/>
      <c r="J1097" s="4"/>
      <c r="K1097" s="4"/>
      <c r="L1097" s="4"/>
      <c r="M1097" s="4"/>
      <c r="N1097" s="4"/>
      <c r="O1097" s="4"/>
      <c r="P1097" s="4"/>
      <c r="Q1097" s="4"/>
      <c r="R1097" s="4"/>
      <c r="S1097" s="4"/>
      <c r="T1097" s="4"/>
      <c r="U1097" s="4"/>
      <c r="V1097" s="4"/>
      <c r="W1097" s="4"/>
      <c r="X1097" s="4"/>
      <c r="Y1097" s="4"/>
    </row>
    <row r="1098">
      <c r="A1098" s="4"/>
      <c r="B1098" s="4"/>
      <c r="C1098" s="3"/>
      <c r="D1098" s="4"/>
      <c r="E1098" s="4"/>
      <c r="F1098" s="4"/>
      <c r="G1098" s="4"/>
      <c r="H1098" s="4"/>
      <c r="I1098" s="4"/>
      <c r="J1098" s="4"/>
      <c r="K1098" s="4"/>
      <c r="L1098" s="4"/>
      <c r="M1098" s="4"/>
      <c r="N1098" s="4"/>
      <c r="O1098" s="4"/>
      <c r="P1098" s="4"/>
      <c r="Q1098" s="4"/>
      <c r="R1098" s="4"/>
      <c r="S1098" s="4"/>
      <c r="T1098" s="4"/>
      <c r="U1098" s="4"/>
      <c r="V1098" s="4"/>
      <c r="W1098" s="4"/>
      <c r="X1098" s="4"/>
      <c r="Y1098" s="4"/>
    </row>
    <row r="1099">
      <c r="A1099" s="4"/>
      <c r="B1099" s="4"/>
      <c r="C1099" s="3"/>
      <c r="D1099" s="4"/>
      <c r="E1099" s="4"/>
      <c r="F1099" s="4"/>
      <c r="G1099" s="4"/>
      <c r="H1099" s="4"/>
      <c r="I1099" s="4"/>
      <c r="J1099" s="4"/>
      <c r="K1099" s="4"/>
      <c r="L1099" s="4"/>
      <c r="M1099" s="4"/>
      <c r="N1099" s="4"/>
      <c r="O1099" s="4"/>
      <c r="P1099" s="4"/>
      <c r="Q1099" s="4"/>
      <c r="R1099" s="4"/>
      <c r="S1099" s="4"/>
      <c r="T1099" s="4"/>
      <c r="U1099" s="4"/>
      <c r="V1099" s="4"/>
      <c r="W1099" s="4"/>
      <c r="X1099" s="4"/>
      <c r="Y1099" s="4"/>
    </row>
    <row r="1100">
      <c r="A1100" s="4"/>
      <c r="B1100" s="4"/>
      <c r="C1100" s="3"/>
      <c r="D1100" s="4"/>
      <c r="E1100" s="4"/>
      <c r="F1100" s="4"/>
      <c r="G1100" s="4"/>
      <c r="H1100" s="4"/>
      <c r="I1100" s="4"/>
      <c r="J1100" s="4"/>
      <c r="K1100" s="4"/>
      <c r="L1100" s="4"/>
      <c r="M1100" s="4"/>
      <c r="N1100" s="4"/>
      <c r="O1100" s="4"/>
      <c r="P1100" s="4"/>
      <c r="Q1100" s="4"/>
      <c r="R1100" s="4"/>
      <c r="S1100" s="4"/>
      <c r="T1100" s="4"/>
      <c r="U1100" s="4"/>
      <c r="V1100" s="4"/>
      <c r="W1100" s="4"/>
      <c r="X1100" s="4"/>
      <c r="Y1100" s="4"/>
    </row>
    <row r="1101">
      <c r="A1101" s="4"/>
      <c r="B1101" s="4"/>
      <c r="C1101" s="3"/>
      <c r="D1101" s="4"/>
      <c r="E1101" s="4"/>
      <c r="F1101" s="4"/>
      <c r="G1101" s="4"/>
      <c r="H1101" s="4"/>
      <c r="I1101" s="4"/>
      <c r="J1101" s="4"/>
      <c r="K1101" s="4"/>
      <c r="L1101" s="4"/>
      <c r="M1101" s="4"/>
      <c r="N1101" s="4"/>
      <c r="O1101" s="4"/>
      <c r="P1101" s="4"/>
      <c r="Q1101" s="4"/>
      <c r="R1101" s="4"/>
      <c r="S1101" s="4"/>
      <c r="T1101" s="4"/>
      <c r="U1101" s="4"/>
      <c r="V1101" s="4"/>
      <c r="W1101" s="4"/>
      <c r="X1101" s="4"/>
      <c r="Y1101" s="4"/>
    </row>
    <row r="1102">
      <c r="A1102" s="4"/>
      <c r="B1102" s="4"/>
      <c r="C1102" s="3"/>
      <c r="D1102" s="4"/>
      <c r="E1102" s="4"/>
      <c r="F1102" s="4"/>
      <c r="G1102" s="4"/>
      <c r="H1102" s="4"/>
      <c r="I1102" s="4"/>
      <c r="J1102" s="4"/>
      <c r="K1102" s="4"/>
      <c r="L1102" s="4"/>
      <c r="M1102" s="4"/>
      <c r="N1102" s="4"/>
      <c r="O1102" s="4"/>
      <c r="P1102" s="4"/>
      <c r="Q1102" s="4"/>
      <c r="R1102" s="4"/>
      <c r="S1102" s="4"/>
      <c r="T1102" s="4"/>
      <c r="U1102" s="4"/>
      <c r="V1102" s="4"/>
      <c r="W1102" s="4"/>
      <c r="X1102" s="4"/>
      <c r="Y1102" s="4"/>
    </row>
    <row r="1103">
      <c r="A1103" s="4"/>
      <c r="B1103" s="4"/>
      <c r="C1103" s="3"/>
      <c r="D1103" s="4"/>
      <c r="E1103" s="4"/>
      <c r="F1103" s="4"/>
      <c r="G1103" s="4"/>
      <c r="H1103" s="4"/>
      <c r="I1103" s="4"/>
      <c r="J1103" s="4"/>
      <c r="K1103" s="4"/>
      <c r="L1103" s="4"/>
      <c r="M1103" s="4"/>
      <c r="N1103" s="4"/>
      <c r="O1103" s="4"/>
      <c r="P1103" s="4"/>
      <c r="Q1103" s="4"/>
      <c r="R1103" s="4"/>
      <c r="S1103" s="4"/>
      <c r="T1103" s="4"/>
      <c r="U1103" s="4"/>
      <c r="V1103" s="4"/>
      <c r="W1103" s="4"/>
      <c r="X1103" s="4"/>
      <c r="Y1103" s="4"/>
    </row>
    <row r="1104">
      <c r="A1104" s="4"/>
      <c r="B1104" s="4"/>
      <c r="C1104" s="3"/>
      <c r="D1104" s="4"/>
      <c r="E1104" s="4"/>
      <c r="F1104" s="4"/>
      <c r="G1104" s="4"/>
      <c r="H1104" s="4"/>
      <c r="I1104" s="4"/>
      <c r="J1104" s="4"/>
      <c r="K1104" s="4"/>
      <c r="L1104" s="4"/>
      <c r="M1104" s="4"/>
      <c r="N1104" s="4"/>
      <c r="O1104" s="4"/>
      <c r="P1104" s="4"/>
      <c r="Q1104" s="4"/>
      <c r="R1104" s="4"/>
      <c r="S1104" s="4"/>
      <c r="T1104" s="4"/>
      <c r="U1104" s="4"/>
      <c r="V1104" s="4"/>
      <c r="W1104" s="4"/>
      <c r="X1104" s="4"/>
      <c r="Y1104" s="4"/>
    </row>
    <row r="1105">
      <c r="A1105" s="4"/>
      <c r="B1105" s="4"/>
      <c r="C1105" s="3"/>
      <c r="D1105" s="4"/>
      <c r="E1105" s="4"/>
      <c r="F1105" s="4"/>
      <c r="G1105" s="4"/>
      <c r="H1105" s="4"/>
      <c r="I1105" s="4"/>
      <c r="J1105" s="4"/>
      <c r="K1105" s="4"/>
      <c r="L1105" s="4"/>
      <c r="M1105" s="4"/>
      <c r="N1105" s="4"/>
      <c r="O1105" s="4"/>
      <c r="P1105" s="4"/>
      <c r="Q1105" s="4"/>
      <c r="R1105" s="4"/>
      <c r="S1105" s="4"/>
      <c r="T1105" s="4"/>
      <c r="U1105" s="4"/>
      <c r="V1105" s="4"/>
      <c r="W1105" s="4"/>
      <c r="X1105" s="4"/>
      <c r="Y1105" s="4"/>
    </row>
    <row r="1106">
      <c r="A1106" s="4"/>
      <c r="B1106" s="4"/>
      <c r="C1106" s="3"/>
      <c r="D1106" s="4"/>
      <c r="E1106" s="4"/>
      <c r="F1106" s="4"/>
      <c r="G1106" s="4"/>
      <c r="H1106" s="4"/>
      <c r="I1106" s="4"/>
      <c r="J1106" s="4"/>
      <c r="K1106" s="4"/>
      <c r="L1106" s="4"/>
      <c r="M1106" s="4"/>
      <c r="N1106" s="4"/>
      <c r="O1106" s="4"/>
      <c r="P1106" s="4"/>
      <c r="Q1106" s="4"/>
      <c r="R1106" s="4"/>
      <c r="S1106" s="4"/>
      <c r="T1106" s="4"/>
      <c r="U1106" s="4"/>
      <c r="V1106" s="4"/>
      <c r="W1106" s="4"/>
      <c r="X1106" s="4"/>
      <c r="Y1106" s="4"/>
    </row>
    <row r="1107">
      <c r="A1107" s="4"/>
      <c r="B1107" s="4"/>
      <c r="C1107" s="3"/>
      <c r="D1107" s="4"/>
      <c r="E1107" s="4"/>
      <c r="F1107" s="4"/>
      <c r="G1107" s="4"/>
      <c r="H1107" s="4"/>
      <c r="I1107" s="4"/>
      <c r="J1107" s="4"/>
      <c r="K1107" s="4"/>
      <c r="L1107" s="4"/>
      <c r="M1107" s="4"/>
      <c r="N1107" s="4"/>
      <c r="O1107" s="4"/>
      <c r="P1107" s="4"/>
      <c r="Q1107" s="4"/>
      <c r="R1107" s="4"/>
      <c r="S1107" s="4"/>
      <c r="T1107" s="4"/>
      <c r="U1107" s="4"/>
      <c r="V1107" s="4"/>
      <c r="W1107" s="4"/>
      <c r="X1107" s="4"/>
      <c r="Y1107" s="4"/>
    </row>
    <row r="1108">
      <c r="A1108" s="4"/>
      <c r="B1108" s="4"/>
      <c r="C1108" s="3"/>
      <c r="D1108" s="4"/>
      <c r="E1108" s="4"/>
      <c r="F1108" s="4"/>
      <c r="G1108" s="4"/>
      <c r="H1108" s="4"/>
      <c r="I1108" s="4"/>
      <c r="J1108" s="4"/>
      <c r="K1108" s="4"/>
      <c r="L1108" s="4"/>
      <c r="M1108" s="4"/>
      <c r="N1108" s="4"/>
      <c r="O1108" s="4"/>
      <c r="P1108" s="4"/>
      <c r="Q1108" s="4"/>
      <c r="R1108" s="4"/>
      <c r="S1108" s="4"/>
      <c r="T1108" s="4"/>
      <c r="U1108" s="4"/>
      <c r="V1108" s="4"/>
      <c r="W1108" s="4"/>
      <c r="X1108" s="4"/>
      <c r="Y1108" s="4"/>
    </row>
    <row r="1109">
      <c r="A1109" s="4"/>
      <c r="B1109" s="4"/>
      <c r="C1109" s="3"/>
      <c r="D1109" s="4"/>
      <c r="E1109" s="4"/>
      <c r="F1109" s="4"/>
      <c r="G1109" s="4"/>
      <c r="H1109" s="4"/>
      <c r="I1109" s="4"/>
      <c r="J1109" s="4"/>
      <c r="K1109" s="4"/>
      <c r="L1109" s="4"/>
      <c r="M1109" s="4"/>
      <c r="N1109" s="4"/>
      <c r="O1109" s="4"/>
      <c r="P1109" s="4"/>
      <c r="Q1109" s="4"/>
      <c r="R1109" s="4"/>
      <c r="S1109" s="4"/>
      <c r="T1109" s="4"/>
      <c r="U1109" s="4"/>
      <c r="V1109" s="4"/>
      <c r="W1109" s="4"/>
      <c r="X1109" s="4"/>
      <c r="Y1109" s="4"/>
    </row>
    <row r="1110">
      <c r="A1110" s="4"/>
      <c r="B1110" s="4"/>
      <c r="C1110" s="3"/>
      <c r="D1110" s="4"/>
      <c r="E1110" s="4"/>
      <c r="F1110" s="4"/>
      <c r="G1110" s="4"/>
      <c r="H1110" s="4"/>
      <c r="I1110" s="4"/>
      <c r="J1110" s="4"/>
      <c r="K1110" s="4"/>
      <c r="L1110" s="4"/>
      <c r="M1110" s="4"/>
      <c r="N1110" s="4"/>
      <c r="O1110" s="4"/>
      <c r="P1110" s="4"/>
      <c r="Q1110" s="4"/>
      <c r="R1110" s="4"/>
      <c r="S1110" s="4"/>
      <c r="T1110" s="4"/>
      <c r="U1110" s="4"/>
      <c r="V1110" s="4"/>
      <c r="W1110" s="4"/>
      <c r="X1110" s="4"/>
      <c r="Y1110" s="4"/>
    </row>
    <row r="1111">
      <c r="A1111" s="4"/>
      <c r="B1111" s="4"/>
      <c r="C1111" s="3"/>
      <c r="D1111" s="4"/>
      <c r="E1111" s="4"/>
      <c r="F1111" s="4"/>
      <c r="G1111" s="4"/>
      <c r="H1111" s="4"/>
      <c r="I1111" s="4"/>
      <c r="J1111" s="4"/>
      <c r="K1111" s="4"/>
      <c r="L1111" s="4"/>
      <c r="M1111" s="4"/>
      <c r="N1111" s="4"/>
      <c r="O1111" s="4"/>
      <c r="P1111" s="4"/>
      <c r="Q1111" s="4"/>
      <c r="R1111" s="4"/>
      <c r="S1111" s="4"/>
      <c r="T1111" s="4"/>
      <c r="U1111" s="4"/>
      <c r="V1111" s="4"/>
      <c r="W1111" s="4"/>
      <c r="X1111" s="4"/>
      <c r="Y1111" s="4"/>
    </row>
    <row r="1112">
      <c r="A1112" s="4"/>
      <c r="B1112" s="4"/>
      <c r="C1112" s="3"/>
      <c r="D1112" s="4"/>
      <c r="E1112" s="4"/>
      <c r="F1112" s="4"/>
      <c r="G1112" s="4"/>
      <c r="H1112" s="4"/>
      <c r="I1112" s="4"/>
      <c r="J1112" s="4"/>
      <c r="K1112" s="4"/>
      <c r="L1112" s="4"/>
      <c r="M1112" s="4"/>
      <c r="N1112" s="4"/>
      <c r="O1112" s="4"/>
      <c r="P1112" s="4"/>
      <c r="Q1112" s="4"/>
      <c r="R1112" s="4"/>
      <c r="S1112" s="4"/>
      <c r="T1112" s="4"/>
      <c r="U1112" s="4"/>
      <c r="V1112" s="4"/>
      <c r="W1112" s="4"/>
      <c r="X1112" s="4"/>
      <c r="Y1112" s="4"/>
    </row>
    <row r="1113">
      <c r="A1113" s="4"/>
      <c r="B1113" s="4"/>
      <c r="C1113" s="3"/>
      <c r="D1113" s="4"/>
      <c r="E1113" s="4"/>
      <c r="F1113" s="4"/>
      <c r="G1113" s="4"/>
      <c r="H1113" s="4"/>
      <c r="I1113" s="4"/>
      <c r="J1113" s="4"/>
      <c r="K1113" s="4"/>
      <c r="L1113" s="4"/>
      <c r="M1113" s="4"/>
      <c r="N1113" s="4"/>
      <c r="O1113" s="4"/>
      <c r="P1113" s="4"/>
      <c r="Q1113" s="4"/>
      <c r="R1113" s="4"/>
      <c r="S1113" s="4"/>
      <c r="T1113" s="4"/>
      <c r="U1113" s="4"/>
      <c r="V1113" s="4"/>
      <c r="W1113" s="4"/>
      <c r="X1113" s="4"/>
      <c r="Y1113" s="4"/>
    </row>
    <row r="1114">
      <c r="A1114" s="4"/>
      <c r="B1114" s="4"/>
      <c r="C1114" s="3"/>
      <c r="D1114" s="4"/>
      <c r="E1114" s="4"/>
      <c r="F1114" s="4"/>
      <c r="G1114" s="4"/>
      <c r="H1114" s="4"/>
      <c r="I1114" s="4"/>
      <c r="J1114" s="4"/>
      <c r="K1114" s="4"/>
      <c r="L1114" s="4"/>
      <c r="M1114" s="4"/>
      <c r="N1114" s="4"/>
      <c r="O1114" s="4"/>
      <c r="P1114" s="4"/>
      <c r="Q1114" s="4"/>
      <c r="R1114" s="4"/>
      <c r="S1114" s="4"/>
      <c r="T1114" s="4"/>
      <c r="U1114" s="4"/>
      <c r="V1114" s="4"/>
      <c r="W1114" s="4"/>
      <c r="X1114" s="4"/>
      <c r="Y1114" s="4"/>
    </row>
    <row r="1115">
      <c r="A1115" s="4"/>
      <c r="B1115" s="4"/>
      <c r="C1115" s="3"/>
      <c r="D1115" s="4"/>
      <c r="E1115" s="4"/>
      <c r="F1115" s="4"/>
      <c r="G1115" s="4"/>
      <c r="H1115" s="4"/>
      <c r="I1115" s="4"/>
      <c r="J1115" s="4"/>
      <c r="K1115" s="4"/>
      <c r="L1115" s="4"/>
      <c r="M1115" s="4"/>
      <c r="N1115" s="4"/>
      <c r="O1115" s="4"/>
      <c r="P1115" s="4"/>
      <c r="Q1115" s="4"/>
      <c r="R1115" s="4"/>
      <c r="S1115" s="4"/>
      <c r="T1115" s="4"/>
      <c r="U1115" s="4"/>
      <c r="V1115" s="4"/>
      <c r="W1115" s="4"/>
      <c r="X1115" s="4"/>
      <c r="Y1115" s="4"/>
    </row>
    <row r="1116">
      <c r="A1116" s="4"/>
      <c r="B1116" s="4"/>
      <c r="C1116" s="3"/>
      <c r="D1116" s="4"/>
      <c r="E1116" s="4"/>
      <c r="F1116" s="4"/>
      <c r="G1116" s="4"/>
      <c r="H1116" s="4"/>
      <c r="I1116" s="4"/>
      <c r="J1116" s="4"/>
      <c r="K1116" s="4"/>
      <c r="L1116" s="4"/>
      <c r="M1116" s="4"/>
      <c r="N1116" s="4"/>
      <c r="O1116" s="4"/>
      <c r="P1116" s="4"/>
      <c r="Q1116" s="4"/>
      <c r="R1116" s="4"/>
      <c r="S1116" s="4"/>
      <c r="T1116" s="4"/>
      <c r="U1116" s="4"/>
      <c r="V1116" s="4"/>
      <c r="W1116" s="4"/>
      <c r="X1116" s="4"/>
      <c r="Y1116" s="4"/>
    </row>
    <row r="1117">
      <c r="A1117" s="4"/>
      <c r="B1117" s="4"/>
      <c r="C1117" s="3"/>
      <c r="D1117" s="4"/>
      <c r="E1117" s="4"/>
      <c r="F1117" s="4"/>
      <c r="G1117" s="4"/>
      <c r="H1117" s="4"/>
      <c r="I1117" s="4"/>
      <c r="J1117" s="4"/>
      <c r="K1117" s="4"/>
      <c r="L1117" s="4"/>
      <c r="M1117" s="4"/>
      <c r="N1117" s="4"/>
      <c r="O1117" s="4"/>
      <c r="P1117" s="4"/>
      <c r="Q1117" s="4"/>
      <c r="R1117" s="4"/>
      <c r="S1117" s="4"/>
      <c r="T1117" s="4"/>
      <c r="U1117" s="4"/>
      <c r="V1117" s="4"/>
      <c r="W1117" s="4"/>
      <c r="X1117" s="4"/>
      <c r="Y1117" s="4"/>
    </row>
    <row r="1118">
      <c r="A1118" s="4"/>
      <c r="B1118" s="4"/>
      <c r="C1118" s="3"/>
      <c r="D1118" s="4"/>
      <c r="E1118" s="4"/>
      <c r="F1118" s="4"/>
      <c r="G1118" s="4"/>
      <c r="H1118" s="4"/>
      <c r="I1118" s="4"/>
      <c r="J1118" s="4"/>
      <c r="K1118" s="4"/>
      <c r="L1118" s="4"/>
      <c r="M1118" s="4"/>
      <c r="N1118" s="4"/>
      <c r="O1118" s="4"/>
      <c r="P1118" s="4"/>
      <c r="Q1118" s="4"/>
      <c r="R1118" s="4"/>
      <c r="S1118" s="4"/>
      <c r="T1118" s="4"/>
      <c r="U1118" s="4"/>
      <c r="V1118" s="4"/>
      <c r="W1118" s="4"/>
      <c r="X1118" s="4"/>
      <c r="Y1118" s="4"/>
    </row>
    <row r="1119">
      <c r="A1119" s="4"/>
      <c r="B1119" s="4"/>
      <c r="C1119" s="3"/>
      <c r="D1119" s="4"/>
      <c r="E1119" s="4"/>
      <c r="F1119" s="4"/>
      <c r="G1119" s="4"/>
      <c r="H1119" s="4"/>
      <c r="I1119" s="4"/>
      <c r="J1119" s="4"/>
      <c r="K1119" s="4"/>
      <c r="L1119" s="4"/>
      <c r="M1119" s="4"/>
      <c r="N1119" s="4"/>
      <c r="O1119" s="4"/>
      <c r="P1119" s="4"/>
      <c r="Q1119" s="4"/>
      <c r="R1119" s="4"/>
      <c r="S1119" s="4"/>
      <c r="T1119" s="4"/>
      <c r="U1119" s="4"/>
      <c r="V1119" s="4"/>
      <c r="W1119" s="4"/>
      <c r="X1119" s="4"/>
      <c r="Y1119" s="4"/>
    </row>
    <row r="1120">
      <c r="A1120" s="4"/>
      <c r="B1120" s="4"/>
      <c r="C1120" s="3"/>
      <c r="D1120" s="4"/>
      <c r="E1120" s="4"/>
      <c r="F1120" s="4"/>
      <c r="G1120" s="4"/>
      <c r="H1120" s="4"/>
      <c r="I1120" s="4"/>
      <c r="J1120" s="4"/>
      <c r="K1120" s="4"/>
      <c r="L1120" s="4"/>
      <c r="M1120" s="4"/>
      <c r="N1120" s="4"/>
      <c r="O1120" s="4"/>
      <c r="P1120" s="4"/>
      <c r="Q1120" s="4"/>
      <c r="R1120" s="4"/>
      <c r="S1120" s="4"/>
      <c r="T1120" s="4"/>
      <c r="U1120" s="4"/>
      <c r="V1120" s="4"/>
      <c r="W1120" s="4"/>
      <c r="X1120" s="4"/>
      <c r="Y1120" s="4"/>
    </row>
    <row r="1121">
      <c r="A1121" s="4"/>
      <c r="B1121" s="4"/>
      <c r="C1121" s="3"/>
      <c r="D1121" s="4"/>
      <c r="E1121" s="4"/>
      <c r="F1121" s="4"/>
      <c r="G1121" s="4"/>
      <c r="H1121" s="4"/>
      <c r="I1121" s="4"/>
      <c r="J1121" s="4"/>
      <c r="K1121" s="4"/>
      <c r="L1121" s="4"/>
      <c r="M1121" s="4"/>
      <c r="N1121" s="4"/>
      <c r="O1121" s="4"/>
      <c r="P1121" s="4"/>
      <c r="Q1121" s="4"/>
      <c r="R1121" s="4"/>
      <c r="S1121" s="4"/>
      <c r="T1121" s="4"/>
      <c r="U1121" s="4"/>
      <c r="V1121" s="4"/>
      <c r="W1121" s="4"/>
      <c r="X1121" s="4"/>
      <c r="Y1121" s="4"/>
    </row>
    <row r="1122">
      <c r="A1122" s="4"/>
      <c r="B1122" s="4"/>
      <c r="C1122" s="3"/>
      <c r="D1122" s="4"/>
      <c r="E1122" s="4"/>
      <c r="F1122" s="4"/>
      <c r="G1122" s="4"/>
      <c r="H1122" s="4"/>
      <c r="I1122" s="4"/>
      <c r="J1122" s="4"/>
      <c r="K1122" s="4"/>
      <c r="L1122" s="4"/>
      <c r="M1122" s="4"/>
      <c r="N1122" s="4"/>
      <c r="O1122" s="4"/>
      <c r="P1122" s="4"/>
      <c r="Q1122" s="4"/>
      <c r="R1122" s="4"/>
      <c r="S1122" s="4"/>
      <c r="T1122" s="4"/>
      <c r="U1122" s="4"/>
      <c r="V1122" s="4"/>
      <c r="W1122" s="4"/>
      <c r="X1122" s="4"/>
      <c r="Y1122" s="4"/>
    </row>
    <row r="1123">
      <c r="A1123" s="4"/>
      <c r="B1123" s="4"/>
      <c r="C1123" s="3"/>
      <c r="D1123" s="4"/>
      <c r="E1123" s="4"/>
      <c r="F1123" s="4"/>
      <c r="G1123" s="4"/>
      <c r="H1123" s="4"/>
      <c r="I1123" s="4"/>
      <c r="J1123" s="4"/>
      <c r="K1123" s="4"/>
      <c r="L1123" s="4"/>
      <c r="M1123" s="4"/>
      <c r="N1123" s="4"/>
      <c r="O1123" s="4"/>
      <c r="P1123" s="4"/>
      <c r="Q1123" s="4"/>
      <c r="R1123" s="4"/>
      <c r="S1123" s="4"/>
      <c r="T1123" s="4"/>
      <c r="U1123" s="4"/>
      <c r="V1123" s="4"/>
      <c r="W1123" s="4"/>
      <c r="X1123" s="4"/>
      <c r="Y1123" s="4"/>
    </row>
    <row r="1124">
      <c r="A1124" s="4"/>
      <c r="B1124" s="4"/>
      <c r="C1124" s="3"/>
      <c r="D1124" s="4"/>
      <c r="E1124" s="4"/>
      <c r="F1124" s="4"/>
      <c r="G1124" s="4"/>
      <c r="H1124" s="4"/>
      <c r="I1124" s="4"/>
      <c r="J1124" s="4"/>
      <c r="K1124" s="4"/>
      <c r="L1124" s="4"/>
      <c r="M1124" s="4"/>
      <c r="N1124" s="4"/>
      <c r="O1124" s="4"/>
      <c r="P1124" s="4"/>
      <c r="Q1124" s="4"/>
      <c r="R1124" s="4"/>
      <c r="S1124" s="4"/>
      <c r="T1124" s="4"/>
      <c r="U1124" s="4"/>
      <c r="V1124" s="4"/>
      <c r="W1124" s="4"/>
      <c r="X1124" s="4"/>
      <c r="Y1124" s="4"/>
    </row>
    <row r="1125">
      <c r="A1125" s="4"/>
      <c r="B1125" s="4"/>
      <c r="C1125" s="3"/>
      <c r="D1125" s="4"/>
      <c r="E1125" s="4"/>
      <c r="F1125" s="4"/>
      <c r="G1125" s="4"/>
      <c r="H1125" s="4"/>
      <c r="I1125" s="4"/>
      <c r="J1125" s="4"/>
      <c r="K1125" s="4"/>
      <c r="L1125" s="4"/>
      <c r="M1125" s="4"/>
      <c r="N1125" s="4"/>
      <c r="O1125" s="4"/>
      <c r="P1125" s="4"/>
      <c r="Q1125" s="4"/>
      <c r="R1125" s="4"/>
      <c r="S1125" s="4"/>
      <c r="T1125" s="4"/>
      <c r="U1125" s="4"/>
      <c r="V1125" s="4"/>
      <c r="W1125" s="4"/>
      <c r="X1125" s="4"/>
      <c r="Y1125" s="4"/>
    </row>
    <row r="1126">
      <c r="A1126" s="4"/>
      <c r="B1126" s="4"/>
      <c r="C1126" s="3"/>
      <c r="D1126" s="4"/>
      <c r="E1126" s="4"/>
      <c r="F1126" s="4"/>
      <c r="G1126" s="4"/>
      <c r="H1126" s="4"/>
      <c r="I1126" s="4"/>
      <c r="J1126" s="4"/>
      <c r="K1126" s="4"/>
      <c r="L1126" s="4"/>
      <c r="M1126" s="4"/>
      <c r="N1126" s="4"/>
      <c r="O1126" s="4"/>
      <c r="P1126" s="4"/>
      <c r="Q1126" s="4"/>
      <c r="R1126" s="4"/>
      <c r="S1126" s="4"/>
      <c r="T1126" s="4"/>
      <c r="U1126" s="4"/>
      <c r="V1126" s="4"/>
      <c r="W1126" s="4"/>
      <c r="X1126" s="4"/>
      <c r="Y1126" s="4"/>
    </row>
    <row r="1127">
      <c r="A1127" s="4"/>
      <c r="B1127" s="4"/>
      <c r="C1127" s="3"/>
      <c r="D1127" s="4"/>
      <c r="E1127" s="4"/>
      <c r="F1127" s="4"/>
      <c r="G1127" s="4"/>
      <c r="H1127" s="4"/>
      <c r="I1127" s="4"/>
      <c r="J1127" s="4"/>
      <c r="K1127" s="4"/>
      <c r="L1127" s="4"/>
      <c r="M1127" s="4"/>
      <c r="N1127" s="4"/>
      <c r="O1127" s="4"/>
      <c r="P1127" s="4"/>
      <c r="Q1127" s="4"/>
      <c r="R1127" s="4"/>
      <c r="S1127" s="4"/>
      <c r="T1127" s="4"/>
      <c r="U1127" s="4"/>
      <c r="V1127" s="4"/>
      <c r="W1127" s="4"/>
      <c r="X1127" s="4"/>
      <c r="Y1127" s="4"/>
    </row>
    <row r="1128">
      <c r="A1128" s="4"/>
      <c r="B1128" s="4"/>
      <c r="C1128" s="3"/>
      <c r="D1128" s="4"/>
      <c r="E1128" s="4"/>
      <c r="F1128" s="4"/>
      <c r="G1128" s="4"/>
      <c r="H1128" s="4"/>
      <c r="I1128" s="4"/>
      <c r="J1128" s="4"/>
      <c r="K1128" s="4"/>
      <c r="L1128" s="4"/>
      <c r="M1128" s="4"/>
      <c r="N1128" s="4"/>
      <c r="O1128" s="4"/>
      <c r="P1128" s="4"/>
      <c r="Q1128" s="4"/>
      <c r="R1128" s="4"/>
      <c r="S1128" s="4"/>
      <c r="T1128" s="4"/>
      <c r="U1128" s="4"/>
      <c r="V1128" s="4"/>
      <c r="W1128" s="4"/>
      <c r="X1128" s="4"/>
      <c r="Y1128" s="4"/>
    </row>
    <row r="1129">
      <c r="A1129" s="4"/>
      <c r="B1129" s="4"/>
      <c r="C1129" s="3"/>
      <c r="D1129" s="4"/>
      <c r="E1129" s="4"/>
      <c r="F1129" s="4"/>
      <c r="G1129" s="4"/>
      <c r="H1129" s="4"/>
      <c r="I1129" s="4"/>
      <c r="J1129" s="4"/>
      <c r="K1129" s="4"/>
      <c r="L1129" s="4"/>
      <c r="M1129" s="4"/>
      <c r="N1129" s="4"/>
      <c r="O1129" s="4"/>
      <c r="P1129" s="4"/>
      <c r="Q1129" s="4"/>
      <c r="R1129" s="4"/>
      <c r="S1129" s="4"/>
      <c r="T1129" s="4"/>
      <c r="U1129" s="4"/>
      <c r="V1129" s="4"/>
      <c r="W1129" s="4"/>
      <c r="X1129" s="4"/>
      <c r="Y1129" s="4"/>
    </row>
    <row r="1130">
      <c r="A1130" s="4"/>
      <c r="B1130" s="4"/>
      <c r="C1130" s="3"/>
      <c r="D1130" s="4"/>
      <c r="E1130" s="4"/>
      <c r="F1130" s="4"/>
      <c r="G1130" s="4"/>
      <c r="H1130" s="4"/>
      <c r="I1130" s="4"/>
      <c r="J1130" s="4"/>
      <c r="K1130" s="4"/>
      <c r="L1130" s="4"/>
      <c r="M1130" s="4"/>
      <c r="N1130" s="4"/>
      <c r="O1130" s="4"/>
      <c r="P1130" s="4"/>
      <c r="Q1130" s="4"/>
      <c r="R1130" s="4"/>
      <c r="S1130" s="4"/>
      <c r="T1130" s="4"/>
      <c r="U1130" s="4"/>
      <c r="V1130" s="4"/>
      <c r="W1130" s="4"/>
      <c r="X1130" s="4"/>
      <c r="Y1130" s="4"/>
    </row>
    <row r="1131">
      <c r="A1131" s="4"/>
      <c r="B1131" s="4"/>
      <c r="C1131" s="3"/>
      <c r="D1131" s="4"/>
      <c r="E1131" s="4"/>
      <c r="F1131" s="4"/>
      <c r="G1131" s="4"/>
      <c r="H1131" s="4"/>
      <c r="I1131" s="4"/>
      <c r="J1131" s="4"/>
      <c r="K1131" s="4"/>
      <c r="L1131" s="4"/>
      <c r="M1131" s="4"/>
      <c r="N1131" s="4"/>
      <c r="O1131" s="4"/>
      <c r="P1131" s="4"/>
      <c r="Q1131" s="4"/>
      <c r="R1131" s="4"/>
      <c r="S1131" s="4"/>
      <c r="T1131" s="4"/>
      <c r="U1131" s="4"/>
      <c r="V1131" s="4"/>
      <c r="W1131" s="4"/>
      <c r="X1131" s="4"/>
      <c r="Y1131" s="4"/>
    </row>
    <row r="1132">
      <c r="A1132" s="4"/>
      <c r="B1132" s="4"/>
      <c r="C1132" s="3"/>
      <c r="D1132" s="4"/>
      <c r="E1132" s="4"/>
      <c r="F1132" s="4"/>
      <c r="G1132" s="4"/>
      <c r="H1132" s="4"/>
      <c r="I1132" s="4"/>
      <c r="J1132" s="4"/>
      <c r="K1132" s="4"/>
      <c r="L1132" s="4"/>
      <c r="M1132" s="4"/>
      <c r="N1132" s="4"/>
      <c r="O1132" s="4"/>
      <c r="P1132" s="4"/>
      <c r="Q1132" s="4"/>
      <c r="R1132" s="4"/>
      <c r="S1132" s="4"/>
      <c r="T1132" s="4"/>
      <c r="U1132" s="4"/>
      <c r="V1132" s="4"/>
      <c r="W1132" s="4"/>
      <c r="X1132" s="4"/>
      <c r="Y1132" s="4"/>
    </row>
    <row r="1133">
      <c r="A1133" s="4"/>
      <c r="B1133" s="4"/>
      <c r="C1133" s="3"/>
      <c r="D1133" s="4"/>
      <c r="E1133" s="4"/>
      <c r="F1133" s="4"/>
      <c r="G1133" s="4"/>
      <c r="H1133" s="4"/>
      <c r="I1133" s="4"/>
      <c r="J1133" s="4"/>
      <c r="K1133" s="4"/>
      <c r="L1133" s="4"/>
      <c r="M1133" s="4"/>
      <c r="N1133" s="4"/>
      <c r="O1133" s="4"/>
      <c r="P1133" s="4"/>
      <c r="Q1133" s="4"/>
      <c r="R1133" s="4"/>
      <c r="S1133" s="4"/>
      <c r="T1133" s="4"/>
      <c r="U1133" s="4"/>
      <c r="V1133" s="4"/>
      <c r="W1133" s="4"/>
      <c r="X1133" s="4"/>
      <c r="Y1133" s="4"/>
    </row>
    <row r="1134">
      <c r="A1134" s="4"/>
      <c r="B1134" s="4"/>
      <c r="C1134" s="3"/>
      <c r="D1134" s="4"/>
      <c r="E1134" s="4"/>
      <c r="F1134" s="4"/>
      <c r="G1134" s="4"/>
      <c r="H1134" s="4"/>
      <c r="I1134" s="4"/>
      <c r="J1134" s="4"/>
      <c r="K1134" s="4"/>
      <c r="L1134" s="4"/>
      <c r="M1134" s="4"/>
      <c r="N1134" s="4"/>
      <c r="O1134" s="4"/>
      <c r="P1134" s="4"/>
      <c r="Q1134" s="4"/>
      <c r="R1134" s="4"/>
      <c r="S1134" s="4"/>
      <c r="T1134" s="4"/>
      <c r="U1134" s="4"/>
      <c r="V1134" s="4"/>
      <c r="W1134" s="4"/>
      <c r="X1134" s="4"/>
      <c r="Y1134" s="4"/>
    </row>
    <row r="1135">
      <c r="A1135" s="4"/>
      <c r="B1135" s="4"/>
      <c r="C1135" s="3"/>
      <c r="D1135" s="4"/>
      <c r="E1135" s="4"/>
      <c r="F1135" s="4"/>
      <c r="G1135" s="4"/>
      <c r="H1135" s="4"/>
      <c r="I1135" s="4"/>
      <c r="J1135" s="4"/>
      <c r="K1135" s="4"/>
      <c r="L1135" s="4"/>
      <c r="M1135" s="4"/>
      <c r="N1135" s="4"/>
      <c r="O1135" s="4"/>
      <c r="P1135" s="4"/>
      <c r="Q1135" s="4"/>
      <c r="R1135" s="4"/>
      <c r="S1135" s="4"/>
      <c r="T1135" s="4"/>
      <c r="U1135" s="4"/>
      <c r="V1135" s="4"/>
      <c r="W1135" s="4"/>
      <c r="X1135" s="4"/>
      <c r="Y1135" s="4"/>
    </row>
    <row r="1136">
      <c r="A1136" s="4"/>
      <c r="B1136" s="4"/>
      <c r="C1136" s="3"/>
      <c r="D1136" s="4"/>
      <c r="E1136" s="4"/>
      <c r="F1136" s="4"/>
      <c r="G1136" s="4"/>
      <c r="H1136" s="4"/>
      <c r="I1136" s="4"/>
      <c r="J1136" s="4"/>
      <c r="K1136" s="4"/>
      <c r="L1136" s="4"/>
      <c r="M1136" s="4"/>
      <c r="N1136" s="4"/>
      <c r="O1136" s="4"/>
      <c r="P1136" s="4"/>
      <c r="Q1136" s="4"/>
      <c r="R1136" s="4"/>
      <c r="S1136" s="4"/>
      <c r="T1136" s="4"/>
      <c r="U1136" s="4"/>
      <c r="V1136" s="4"/>
      <c r="W1136" s="4"/>
      <c r="X1136" s="4"/>
      <c r="Y1136" s="4"/>
    </row>
    <row r="1137">
      <c r="A1137" s="4"/>
      <c r="B1137" s="4"/>
      <c r="C1137" s="3"/>
      <c r="D1137" s="4"/>
      <c r="E1137" s="4"/>
      <c r="F1137" s="4"/>
      <c r="G1137" s="4"/>
      <c r="H1137" s="4"/>
      <c r="I1137" s="4"/>
      <c r="J1137" s="4"/>
      <c r="K1137" s="4"/>
      <c r="L1137" s="4"/>
      <c r="M1137" s="4"/>
      <c r="N1137" s="4"/>
      <c r="O1137" s="4"/>
      <c r="P1137" s="4"/>
      <c r="Q1137" s="4"/>
      <c r="R1137" s="4"/>
      <c r="S1137" s="4"/>
      <c r="T1137" s="4"/>
      <c r="U1137" s="4"/>
      <c r="V1137" s="4"/>
      <c r="W1137" s="4"/>
      <c r="X1137" s="4"/>
      <c r="Y1137" s="4"/>
    </row>
    <row r="1138">
      <c r="A1138" s="4"/>
      <c r="B1138" s="4"/>
      <c r="C1138" s="3"/>
      <c r="D1138" s="4"/>
      <c r="E1138" s="4"/>
      <c r="F1138" s="4"/>
      <c r="G1138" s="4"/>
      <c r="H1138" s="4"/>
      <c r="I1138" s="4"/>
      <c r="J1138" s="4"/>
      <c r="K1138" s="4"/>
      <c r="L1138" s="4"/>
      <c r="M1138" s="4"/>
      <c r="N1138" s="4"/>
      <c r="O1138" s="4"/>
      <c r="P1138" s="4"/>
      <c r="Q1138" s="4"/>
      <c r="R1138" s="4"/>
      <c r="S1138" s="4"/>
      <c r="T1138" s="4"/>
      <c r="U1138" s="4"/>
      <c r="V1138" s="4"/>
      <c r="W1138" s="4"/>
      <c r="X1138" s="4"/>
      <c r="Y1138" s="4"/>
    </row>
    <row r="1139">
      <c r="A1139" s="4"/>
      <c r="B1139" s="4"/>
      <c r="C1139" s="3"/>
      <c r="D1139" s="4"/>
      <c r="E1139" s="4"/>
      <c r="F1139" s="4"/>
      <c r="G1139" s="4"/>
      <c r="H1139" s="4"/>
      <c r="I1139" s="4"/>
      <c r="J1139" s="4"/>
      <c r="K1139" s="4"/>
      <c r="L1139" s="4"/>
      <c r="M1139" s="4"/>
      <c r="N1139" s="4"/>
      <c r="O1139" s="4"/>
      <c r="P1139" s="4"/>
      <c r="Q1139" s="4"/>
      <c r="R1139" s="4"/>
      <c r="S1139" s="4"/>
      <c r="T1139" s="4"/>
      <c r="U1139" s="4"/>
      <c r="V1139" s="4"/>
      <c r="W1139" s="4"/>
      <c r="X1139" s="4"/>
      <c r="Y1139" s="4"/>
    </row>
    <row r="1140">
      <c r="A1140" s="4"/>
      <c r="B1140" s="4"/>
      <c r="C1140" s="3"/>
      <c r="D1140" s="4"/>
      <c r="E1140" s="4"/>
      <c r="F1140" s="4"/>
      <c r="G1140" s="4"/>
      <c r="H1140" s="4"/>
      <c r="I1140" s="4"/>
      <c r="J1140" s="4"/>
      <c r="K1140" s="4"/>
      <c r="L1140" s="4"/>
      <c r="M1140" s="4"/>
      <c r="N1140" s="4"/>
      <c r="O1140" s="4"/>
      <c r="P1140" s="4"/>
      <c r="Q1140" s="4"/>
      <c r="R1140" s="4"/>
      <c r="S1140" s="4"/>
      <c r="T1140" s="4"/>
      <c r="U1140" s="4"/>
      <c r="V1140" s="4"/>
      <c r="W1140" s="4"/>
      <c r="X1140" s="4"/>
      <c r="Y1140" s="4"/>
    </row>
    <row r="1141">
      <c r="A1141" s="4"/>
      <c r="B1141" s="4"/>
      <c r="C1141" s="3"/>
      <c r="D1141" s="4"/>
      <c r="E1141" s="4"/>
      <c r="F1141" s="4"/>
      <c r="G1141" s="4"/>
      <c r="H1141" s="4"/>
      <c r="I1141" s="4"/>
      <c r="J1141" s="4"/>
      <c r="K1141" s="4"/>
      <c r="L1141" s="4"/>
      <c r="M1141" s="4"/>
      <c r="N1141" s="4"/>
      <c r="O1141" s="4"/>
      <c r="P1141" s="4"/>
      <c r="Q1141" s="4"/>
      <c r="R1141" s="4"/>
      <c r="S1141" s="4"/>
      <c r="T1141" s="4"/>
      <c r="U1141" s="4"/>
      <c r="V1141" s="4"/>
      <c r="W1141" s="4"/>
      <c r="X1141" s="4"/>
      <c r="Y1141" s="4"/>
    </row>
  </sheetData>
  <conditionalFormatting sqref="B1:B1141">
    <cfRule type="expression" dxfId="0" priority="1">
      <formula>COUNTIF(B:B, B1) &gt; 1</formula>
    </cfRule>
  </conditionalFormatting>
  <dataValidations>
    <dataValidation type="list" allowBlank="1" showErrorMessage="1" sqref="F1:F1141">
      <formula1>"IEEE,Springer,Science Direct,ACM,Taylor and Francis ,Wiley ,Google Scholar ,Semantic Scholar,Web of Science,Scopus"</formula1>
    </dataValidation>
    <dataValidation type="list" allowBlank="1" showErrorMessage="1" sqref="G2:G1141">
      <formula1>"Conference,Journal"</formula1>
    </dataValidation>
    <dataValidation type="list" allowBlank="1" showErrorMessage="1" sqref="D2:D1141">
      <formula1>"2025,2024,2023,2022,2021,2020,2019,2018,2017,2016,2015"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2.0"/>
    <col customWidth="1" min="3" max="3" width="62.13"/>
    <col customWidth="1" min="5" max="5" width="34.13"/>
    <col customWidth="1" min="6" max="6" width="16.75"/>
    <col customWidth="1" min="7" max="7" width="25.13"/>
    <col customWidth="1" min="8" max="8" width="16.63"/>
  </cols>
  <sheetData>
    <row r="1">
      <c r="A1" s="13" t="s">
        <v>28</v>
      </c>
      <c r="B1" s="13" t="s">
        <v>29</v>
      </c>
      <c r="C1" s="14" t="s">
        <v>30</v>
      </c>
      <c r="D1" s="13" t="s">
        <v>31</v>
      </c>
      <c r="E1" s="14" t="s">
        <v>32</v>
      </c>
      <c r="F1" s="14" t="s">
        <v>33</v>
      </c>
      <c r="G1" s="14" t="s">
        <v>34</v>
      </c>
      <c r="H1" s="14" t="s">
        <v>1223</v>
      </c>
      <c r="I1" s="4"/>
      <c r="J1" s="4"/>
      <c r="K1" s="4"/>
      <c r="L1" s="4"/>
      <c r="M1" s="4"/>
      <c r="N1" s="4"/>
      <c r="O1" s="4"/>
      <c r="P1" s="4"/>
      <c r="Q1" s="4"/>
      <c r="R1" s="4"/>
      <c r="S1" s="4"/>
      <c r="T1" s="4"/>
      <c r="U1" s="4"/>
      <c r="V1" s="4"/>
      <c r="W1" s="4"/>
      <c r="X1" s="4"/>
      <c r="Y1" s="4"/>
    </row>
    <row r="2">
      <c r="A2" s="12">
        <v>1.0</v>
      </c>
      <c r="B2" s="11" t="s">
        <v>35</v>
      </c>
      <c r="C2" s="11" t="s">
        <v>36</v>
      </c>
      <c r="D2" s="15">
        <v>2024.0</v>
      </c>
      <c r="E2" s="11" t="s">
        <v>37</v>
      </c>
      <c r="F2" s="11" t="s">
        <v>38</v>
      </c>
      <c r="G2" s="11" t="s">
        <v>39</v>
      </c>
      <c r="H2" s="11" t="s">
        <v>1224</v>
      </c>
      <c r="I2" s="4"/>
      <c r="J2" s="4"/>
      <c r="K2" s="4"/>
      <c r="L2" s="4"/>
      <c r="M2" s="4"/>
      <c r="N2" s="4"/>
      <c r="O2" s="4"/>
      <c r="P2" s="4"/>
      <c r="Q2" s="4"/>
      <c r="R2" s="4"/>
      <c r="S2" s="4"/>
      <c r="T2" s="4"/>
      <c r="U2" s="4"/>
      <c r="V2" s="4"/>
      <c r="W2" s="4"/>
      <c r="X2" s="4"/>
      <c r="Y2" s="4"/>
    </row>
    <row r="3">
      <c r="A3" s="11">
        <v>2.0</v>
      </c>
      <c r="B3" s="11" t="s">
        <v>40</v>
      </c>
      <c r="C3" s="11" t="s">
        <v>41</v>
      </c>
      <c r="D3" s="11">
        <v>2016.0</v>
      </c>
      <c r="E3" s="11" t="s">
        <v>42</v>
      </c>
      <c r="F3" s="11" t="s">
        <v>38</v>
      </c>
      <c r="G3" s="11" t="s">
        <v>39</v>
      </c>
      <c r="H3" s="11" t="s">
        <v>1224</v>
      </c>
      <c r="I3" s="4"/>
      <c r="J3" s="4"/>
      <c r="K3" s="4"/>
      <c r="L3" s="4"/>
      <c r="M3" s="4"/>
      <c r="N3" s="4"/>
      <c r="O3" s="4"/>
      <c r="P3" s="4"/>
      <c r="Q3" s="4"/>
      <c r="R3" s="4"/>
      <c r="S3" s="4"/>
      <c r="T3" s="4"/>
      <c r="U3" s="4"/>
      <c r="V3" s="4"/>
      <c r="W3" s="4"/>
      <c r="X3" s="4"/>
      <c r="Y3" s="4"/>
    </row>
    <row r="4">
      <c r="A4" s="11">
        <v>3.0</v>
      </c>
      <c r="B4" s="11" t="s">
        <v>43</v>
      </c>
      <c r="C4" s="11" t="s">
        <v>44</v>
      </c>
      <c r="D4" s="11">
        <v>2020.0</v>
      </c>
      <c r="E4" s="11" t="s">
        <v>45</v>
      </c>
      <c r="F4" s="11" t="s">
        <v>38</v>
      </c>
      <c r="G4" s="11" t="s">
        <v>39</v>
      </c>
      <c r="H4" s="11" t="s">
        <v>1224</v>
      </c>
      <c r="I4" s="4"/>
      <c r="J4" s="4"/>
      <c r="K4" s="4"/>
      <c r="L4" s="4"/>
      <c r="M4" s="4"/>
      <c r="N4" s="4"/>
      <c r="O4" s="4"/>
      <c r="P4" s="4"/>
      <c r="Q4" s="4"/>
      <c r="R4" s="4"/>
      <c r="S4" s="4"/>
      <c r="T4" s="4"/>
      <c r="U4" s="4"/>
      <c r="V4" s="4"/>
      <c r="W4" s="4"/>
      <c r="X4" s="4"/>
      <c r="Y4" s="4"/>
    </row>
    <row r="5">
      <c r="A5" s="12">
        <v>4.0</v>
      </c>
      <c r="B5" s="11" t="s">
        <v>46</v>
      </c>
      <c r="C5" s="11" t="s">
        <v>47</v>
      </c>
      <c r="D5" s="11">
        <v>2024.0</v>
      </c>
      <c r="E5" s="11" t="s">
        <v>48</v>
      </c>
      <c r="F5" s="11" t="s">
        <v>38</v>
      </c>
      <c r="G5" s="11" t="s">
        <v>49</v>
      </c>
      <c r="H5" s="11" t="s">
        <v>1224</v>
      </c>
      <c r="I5" s="4"/>
      <c r="J5" s="4"/>
      <c r="K5" s="4"/>
      <c r="L5" s="4"/>
      <c r="M5" s="4"/>
      <c r="N5" s="4"/>
      <c r="O5" s="4"/>
      <c r="P5" s="4"/>
      <c r="Q5" s="4"/>
      <c r="R5" s="4"/>
      <c r="S5" s="4"/>
      <c r="T5" s="4"/>
      <c r="U5" s="4"/>
      <c r="V5" s="4"/>
      <c r="W5" s="4"/>
      <c r="X5" s="4"/>
      <c r="Y5" s="4"/>
    </row>
    <row r="6">
      <c r="A6" s="11">
        <v>5.0</v>
      </c>
      <c r="B6" s="11" t="s">
        <v>50</v>
      </c>
      <c r="C6" s="11" t="s">
        <v>51</v>
      </c>
      <c r="D6" s="11">
        <v>2023.0</v>
      </c>
      <c r="E6" s="11" t="s">
        <v>52</v>
      </c>
      <c r="F6" s="11" t="s">
        <v>38</v>
      </c>
      <c r="G6" s="11" t="s">
        <v>39</v>
      </c>
      <c r="H6" s="11" t="s">
        <v>1224</v>
      </c>
      <c r="I6" s="4"/>
      <c r="J6" s="4"/>
      <c r="K6" s="4"/>
      <c r="L6" s="4"/>
      <c r="M6" s="4"/>
      <c r="N6" s="4"/>
      <c r="O6" s="4"/>
      <c r="P6" s="4"/>
      <c r="Q6" s="4"/>
      <c r="R6" s="4"/>
      <c r="S6" s="4"/>
      <c r="T6" s="4"/>
      <c r="U6" s="4"/>
      <c r="V6" s="4"/>
      <c r="W6" s="4"/>
      <c r="X6" s="4"/>
      <c r="Y6" s="4"/>
    </row>
    <row r="7">
      <c r="A7" s="11">
        <v>6.0</v>
      </c>
      <c r="B7" s="11" t="s">
        <v>53</v>
      </c>
      <c r="C7" s="11" t="s">
        <v>54</v>
      </c>
      <c r="D7" s="11">
        <v>2021.0</v>
      </c>
      <c r="E7" s="11" t="s">
        <v>55</v>
      </c>
      <c r="F7" s="11" t="s">
        <v>38</v>
      </c>
      <c r="G7" s="11" t="s">
        <v>39</v>
      </c>
      <c r="H7" s="11" t="s">
        <v>1224</v>
      </c>
      <c r="I7" s="4"/>
      <c r="J7" s="4"/>
      <c r="K7" s="4"/>
      <c r="L7" s="4"/>
      <c r="M7" s="4"/>
      <c r="N7" s="4"/>
      <c r="O7" s="4"/>
      <c r="P7" s="4"/>
      <c r="Q7" s="4"/>
      <c r="R7" s="4"/>
      <c r="S7" s="4"/>
      <c r="T7" s="4"/>
      <c r="U7" s="4"/>
      <c r="V7" s="4"/>
      <c r="W7" s="4"/>
      <c r="X7" s="4"/>
      <c r="Y7" s="4"/>
    </row>
    <row r="8">
      <c r="A8" s="12">
        <v>7.0</v>
      </c>
      <c r="B8" s="11" t="s">
        <v>56</v>
      </c>
      <c r="C8" s="11" t="s">
        <v>57</v>
      </c>
      <c r="D8" s="11">
        <v>2015.0</v>
      </c>
      <c r="E8" s="11" t="s">
        <v>58</v>
      </c>
      <c r="F8" s="11" t="s">
        <v>38</v>
      </c>
      <c r="G8" s="11" t="s">
        <v>39</v>
      </c>
      <c r="H8" s="11" t="s">
        <v>1224</v>
      </c>
      <c r="I8" s="4"/>
      <c r="J8" s="4"/>
      <c r="K8" s="4"/>
      <c r="L8" s="4"/>
      <c r="M8" s="4"/>
      <c r="N8" s="4"/>
      <c r="O8" s="4"/>
      <c r="P8" s="4"/>
      <c r="Q8" s="4"/>
      <c r="R8" s="4"/>
      <c r="S8" s="4"/>
      <c r="T8" s="4"/>
      <c r="U8" s="4"/>
      <c r="V8" s="4"/>
      <c r="W8" s="4"/>
      <c r="X8" s="4"/>
      <c r="Y8" s="4"/>
    </row>
    <row r="9">
      <c r="A9" s="11">
        <v>8.0</v>
      </c>
      <c r="B9" s="11" t="s">
        <v>59</v>
      </c>
      <c r="C9" s="11" t="s">
        <v>60</v>
      </c>
      <c r="D9" s="11">
        <v>2020.0</v>
      </c>
      <c r="E9" s="11" t="s">
        <v>61</v>
      </c>
      <c r="F9" s="11" t="s">
        <v>38</v>
      </c>
      <c r="G9" s="11" t="s">
        <v>39</v>
      </c>
      <c r="H9" s="11" t="s">
        <v>1224</v>
      </c>
      <c r="I9" s="4"/>
      <c r="J9" s="4"/>
      <c r="K9" s="4"/>
      <c r="L9" s="4"/>
      <c r="M9" s="4"/>
      <c r="N9" s="4"/>
      <c r="O9" s="4"/>
      <c r="P9" s="4"/>
      <c r="Q9" s="4"/>
      <c r="R9" s="4"/>
      <c r="S9" s="4"/>
      <c r="T9" s="4"/>
      <c r="U9" s="4"/>
      <c r="V9" s="4"/>
      <c r="W9" s="4"/>
      <c r="X9" s="4"/>
      <c r="Y9" s="4"/>
    </row>
    <row r="10">
      <c r="A10" s="11">
        <v>9.0</v>
      </c>
      <c r="B10" s="11" t="s">
        <v>62</v>
      </c>
      <c r="C10" s="11" t="s">
        <v>63</v>
      </c>
      <c r="D10" s="11">
        <v>2025.0</v>
      </c>
      <c r="E10" s="11" t="s">
        <v>64</v>
      </c>
      <c r="F10" s="11" t="s">
        <v>65</v>
      </c>
      <c r="G10" s="11" t="s">
        <v>39</v>
      </c>
      <c r="H10" s="11" t="s">
        <v>1224</v>
      </c>
      <c r="I10" s="4"/>
      <c r="J10" s="4"/>
      <c r="K10" s="4"/>
      <c r="L10" s="4"/>
      <c r="M10" s="4"/>
      <c r="N10" s="4"/>
      <c r="O10" s="4"/>
      <c r="P10" s="4"/>
      <c r="Q10" s="4"/>
      <c r="R10" s="4"/>
      <c r="S10" s="4"/>
      <c r="T10" s="4"/>
      <c r="U10" s="4"/>
      <c r="V10" s="4"/>
      <c r="W10" s="4"/>
      <c r="X10" s="4"/>
      <c r="Y10" s="4"/>
    </row>
    <row r="11">
      <c r="A11" s="12">
        <v>10.0</v>
      </c>
      <c r="B11" s="11" t="s">
        <v>66</v>
      </c>
      <c r="C11" s="11" t="s">
        <v>67</v>
      </c>
      <c r="D11" s="11">
        <v>2024.0</v>
      </c>
      <c r="E11" s="11" t="s">
        <v>68</v>
      </c>
      <c r="F11" s="11" t="s">
        <v>65</v>
      </c>
      <c r="G11" s="11" t="s">
        <v>39</v>
      </c>
      <c r="H11" s="11" t="s">
        <v>1224</v>
      </c>
      <c r="I11" s="4"/>
      <c r="J11" s="4"/>
      <c r="K11" s="4"/>
      <c r="L11" s="4"/>
      <c r="M11" s="4"/>
      <c r="N11" s="4"/>
      <c r="O11" s="4"/>
      <c r="P11" s="4"/>
      <c r="Q11" s="4"/>
      <c r="R11" s="4"/>
      <c r="S11" s="4"/>
      <c r="T11" s="4"/>
      <c r="U11" s="4"/>
      <c r="V11" s="4"/>
      <c r="W11" s="4"/>
      <c r="X11" s="4"/>
      <c r="Y11" s="4"/>
    </row>
    <row r="12">
      <c r="A12" s="11">
        <v>11.0</v>
      </c>
      <c r="B12" s="11" t="s">
        <v>69</v>
      </c>
      <c r="C12" s="11" t="s">
        <v>70</v>
      </c>
      <c r="D12" s="11">
        <v>2024.0</v>
      </c>
      <c r="E12" s="11" t="s">
        <v>71</v>
      </c>
      <c r="F12" s="11" t="s">
        <v>65</v>
      </c>
      <c r="G12" s="11" t="s">
        <v>49</v>
      </c>
      <c r="H12" s="11" t="s">
        <v>1224</v>
      </c>
      <c r="I12" s="4"/>
      <c r="J12" s="4"/>
      <c r="K12" s="4"/>
      <c r="L12" s="4"/>
      <c r="M12" s="4"/>
      <c r="N12" s="4"/>
      <c r="O12" s="4"/>
      <c r="P12" s="4"/>
      <c r="Q12" s="4"/>
      <c r="R12" s="4"/>
      <c r="S12" s="4"/>
      <c r="T12" s="4"/>
      <c r="U12" s="4"/>
      <c r="V12" s="4"/>
      <c r="W12" s="4"/>
      <c r="X12" s="4"/>
      <c r="Y12" s="4"/>
    </row>
    <row r="13">
      <c r="A13" s="11">
        <v>12.0</v>
      </c>
      <c r="B13" s="11" t="s">
        <v>72</v>
      </c>
      <c r="C13" s="11" t="s">
        <v>73</v>
      </c>
      <c r="D13" s="11">
        <v>2024.0</v>
      </c>
      <c r="E13" s="11" t="s">
        <v>74</v>
      </c>
      <c r="F13" s="11" t="s">
        <v>65</v>
      </c>
      <c r="G13" s="11" t="s">
        <v>39</v>
      </c>
      <c r="H13" s="11" t="s">
        <v>1224</v>
      </c>
      <c r="I13" s="4"/>
      <c r="J13" s="4"/>
      <c r="K13" s="4"/>
      <c r="L13" s="4"/>
      <c r="M13" s="4"/>
      <c r="N13" s="4"/>
      <c r="O13" s="4"/>
      <c r="P13" s="4"/>
      <c r="Q13" s="4"/>
      <c r="R13" s="4"/>
      <c r="S13" s="4"/>
      <c r="T13" s="4"/>
      <c r="U13" s="4"/>
      <c r="V13" s="4"/>
      <c r="W13" s="4"/>
      <c r="X13" s="4"/>
      <c r="Y13" s="4"/>
    </row>
    <row r="14">
      <c r="A14" s="12">
        <v>13.0</v>
      </c>
      <c r="B14" s="11" t="s">
        <v>75</v>
      </c>
      <c r="C14" s="11" t="s">
        <v>76</v>
      </c>
      <c r="D14" s="11">
        <v>2023.0</v>
      </c>
      <c r="E14" s="11" t="s">
        <v>77</v>
      </c>
      <c r="F14" s="11" t="s">
        <v>65</v>
      </c>
      <c r="G14" s="11" t="s">
        <v>49</v>
      </c>
      <c r="H14" s="11" t="s">
        <v>1224</v>
      </c>
      <c r="I14" s="4"/>
      <c r="J14" s="4"/>
      <c r="K14" s="4"/>
      <c r="L14" s="4"/>
      <c r="M14" s="4"/>
      <c r="N14" s="4"/>
      <c r="O14" s="4"/>
      <c r="P14" s="4"/>
      <c r="Q14" s="4"/>
      <c r="R14" s="4"/>
      <c r="S14" s="4"/>
      <c r="T14" s="4"/>
      <c r="U14" s="4"/>
      <c r="V14" s="4"/>
      <c r="W14" s="4"/>
      <c r="X14" s="4"/>
      <c r="Y14" s="4"/>
    </row>
    <row r="15">
      <c r="A15" s="11">
        <v>14.0</v>
      </c>
      <c r="B15" s="11" t="s">
        <v>78</v>
      </c>
      <c r="C15" s="11" t="s">
        <v>79</v>
      </c>
      <c r="D15" s="11">
        <v>2025.0</v>
      </c>
      <c r="E15" s="11" t="s">
        <v>80</v>
      </c>
      <c r="F15" s="11" t="s">
        <v>65</v>
      </c>
      <c r="G15" s="11" t="s">
        <v>39</v>
      </c>
      <c r="H15" s="11" t="s">
        <v>1224</v>
      </c>
      <c r="I15" s="4"/>
      <c r="J15" s="4"/>
      <c r="K15" s="4"/>
      <c r="L15" s="4"/>
      <c r="M15" s="4"/>
      <c r="N15" s="4"/>
      <c r="O15" s="4"/>
      <c r="P15" s="4"/>
      <c r="Q15" s="4"/>
      <c r="R15" s="4"/>
      <c r="S15" s="4"/>
      <c r="T15" s="4"/>
      <c r="U15" s="4"/>
      <c r="V15" s="4"/>
      <c r="W15" s="4"/>
      <c r="X15" s="4"/>
      <c r="Y15" s="4"/>
    </row>
    <row r="16">
      <c r="A16" s="11">
        <v>15.0</v>
      </c>
      <c r="B16" s="18" t="s">
        <v>81</v>
      </c>
      <c r="C16" s="11" t="s">
        <v>82</v>
      </c>
      <c r="D16" s="11">
        <v>2025.0</v>
      </c>
      <c r="E16" s="11" t="s">
        <v>83</v>
      </c>
      <c r="F16" s="11" t="s">
        <v>65</v>
      </c>
      <c r="G16" s="11" t="s">
        <v>49</v>
      </c>
      <c r="H16" s="11" t="s">
        <v>1225</v>
      </c>
      <c r="I16" s="4"/>
      <c r="J16" s="4"/>
      <c r="K16" s="4"/>
      <c r="L16" s="4"/>
      <c r="M16" s="4"/>
      <c r="N16" s="4"/>
      <c r="O16" s="4"/>
      <c r="P16" s="4"/>
      <c r="Q16" s="4"/>
      <c r="R16" s="4"/>
      <c r="S16" s="4"/>
      <c r="T16" s="4"/>
      <c r="U16" s="4"/>
      <c r="V16" s="4"/>
      <c r="W16" s="4"/>
      <c r="X16" s="4"/>
      <c r="Y16" s="4"/>
    </row>
    <row r="17">
      <c r="A17" s="12">
        <v>16.0</v>
      </c>
      <c r="B17" s="18" t="s">
        <v>84</v>
      </c>
      <c r="C17" s="11" t="s">
        <v>85</v>
      </c>
      <c r="D17" s="11">
        <v>2022.0</v>
      </c>
      <c r="E17" s="11" t="s">
        <v>86</v>
      </c>
      <c r="F17" s="11" t="s">
        <v>65</v>
      </c>
      <c r="G17" s="11" t="s">
        <v>39</v>
      </c>
      <c r="H17" s="11" t="s">
        <v>1225</v>
      </c>
      <c r="I17" s="4"/>
      <c r="J17" s="4"/>
      <c r="K17" s="4"/>
      <c r="L17" s="4"/>
      <c r="M17" s="4"/>
      <c r="N17" s="4"/>
      <c r="O17" s="4"/>
      <c r="P17" s="4"/>
      <c r="Q17" s="4"/>
      <c r="R17" s="4"/>
      <c r="S17" s="4"/>
      <c r="T17" s="4"/>
      <c r="U17" s="4"/>
      <c r="V17" s="4"/>
      <c r="W17" s="4"/>
      <c r="X17" s="4"/>
      <c r="Y17" s="4"/>
    </row>
    <row r="18">
      <c r="A18" s="11">
        <v>17.0</v>
      </c>
      <c r="B18" s="18" t="s">
        <v>87</v>
      </c>
      <c r="C18" s="11" t="s">
        <v>88</v>
      </c>
      <c r="D18" s="11">
        <v>2025.0</v>
      </c>
      <c r="E18" s="11" t="s">
        <v>89</v>
      </c>
      <c r="F18" s="11" t="s">
        <v>65</v>
      </c>
      <c r="G18" s="11" t="s">
        <v>49</v>
      </c>
      <c r="H18" s="11" t="s">
        <v>1225</v>
      </c>
      <c r="I18" s="4"/>
      <c r="J18" s="4"/>
      <c r="K18" s="4"/>
      <c r="L18" s="4"/>
      <c r="M18" s="4"/>
      <c r="N18" s="4"/>
      <c r="O18" s="4"/>
      <c r="P18" s="4"/>
      <c r="Q18" s="4"/>
      <c r="R18" s="4"/>
      <c r="S18" s="4"/>
      <c r="T18" s="4"/>
      <c r="U18" s="4"/>
      <c r="V18" s="4"/>
      <c r="W18" s="4"/>
      <c r="X18" s="4"/>
      <c r="Y18" s="4"/>
    </row>
    <row r="19">
      <c r="A19" s="11">
        <v>18.0</v>
      </c>
      <c r="B19" s="11" t="s">
        <v>90</v>
      </c>
      <c r="C19" s="11" t="s">
        <v>91</v>
      </c>
      <c r="D19" s="11">
        <v>2025.0</v>
      </c>
      <c r="E19" s="11" t="s">
        <v>92</v>
      </c>
      <c r="F19" s="11" t="s">
        <v>65</v>
      </c>
      <c r="G19" s="11" t="s">
        <v>49</v>
      </c>
      <c r="H19" s="11" t="s">
        <v>1224</v>
      </c>
      <c r="I19" s="4"/>
      <c r="J19" s="4"/>
      <c r="K19" s="4"/>
      <c r="L19" s="4"/>
      <c r="M19" s="4"/>
      <c r="N19" s="4"/>
      <c r="O19" s="4"/>
      <c r="P19" s="4"/>
      <c r="Q19" s="4"/>
      <c r="R19" s="4"/>
      <c r="S19" s="4"/>
      <c r="T19" s="4"/>
      <c r="U19" s="4"/>
      <c r="V19" s="4"/>
      <c r="W19" s="4"/>
      <c r="X19" s="4"/>
      <c r="Y19" s="4"/>
    </row>
    <row r="20">
      <c r="A20" s="12">
        <v>19.0</v>
      </c>
      <c r="B20" s="11" t="s">
        <v>93</v>
      </c>
      <c r="C20" s="11" t="s">
        <v>94</v>
      </c>
      <c r="D20" s="11">
        <v>2025.0</v>
      </c>
      <c r="E20" s="11" t="s">
        <v>95</v>
      </c>
      <c r="F20" s="11" t="s">
        <v>65</v>
      </c>
      <c r="G20" s="11" t="s">
        <v>49</v>
      </c>
      <c r="H20" s="11" t="s">
        <v>1224</v>
      </c>
      <c r="I20" s="4"/>
      <c r="J20" s="4"/>
      <c r="K20" s="4"/>
      <c r="L20" s="4"/>
      <c r="M20" s="4"/>
      <c r="N20" s="4"/>
      <c r="O20" s="4"/>
      <c r="P20" s="4"/>
      <c r="Q20" s="4"/>
      <c r="R20" s="4"/>
      <c r="S20" s="4"/>
      <c r="T20" s="4"/>
      <c r="U20" s="4"/>
      <c r="V20" s="4"/>
      <c r="W20" s="4"/>
      <c r="X20" s="4"/>
      <c r="Y20" s="4"/>
    </row>
    <row r="21">
      <c r="A21" s="11">
        <v>20.0</v>
      </c>
      <c r="B21" s="18" t="s">
        <v>96</v>
      </c>
      <c r="C21" s="11" t="s">
        <v>97</v>
      </c>
      <c r="D21" s="11">
        <v>2025.0</v>
      </c>
      <c r="E21" s="11" t="s">
        <v>71</v>
      </c>
      <c r="F21" s="11" t="s">
        <v>65</v>
      </c>
      <c r="G21" s="11" t="s">
        <v>49</v>
      </c>
      <c r="H21" s="11" t="s">
        <v>1225</v>
      </c>
      <c r="I21" s="4"/>
      <c r="J21" s="4"/>
      <c r="K21" s="4"/>
      <c r="L21" s="4"/>
      <c r="M21" s="4"/>
      <c r="N21" s="4"/>
      <c r="O21" s="4"/>
      <c r="P21" s="4"/>
      <c r="Q21" s="4"/>
      <c r="R21" s="4"/>
      <c r="S21" s="4"/>
      <c r="T21" s="4"/>
      <c r="U21" s="4"/>
      <c r="V21" s="4"/>
      <c r="W21" s="4"/>
      <c r="X21" s="4"/>
      <c r="Y21" s="4"/>
    </row>
    <row r="22">
      <c r="A22" s="11">
        <v>21.0</v>
      </c>
      <c r="B22" s="18" t="s">
        <v>98</v>
      </c>
      <c r="C22" s="11" t="s">
        <v>99</v>
      </c>
      <c r="D22" s="11">
        <v>2022.0</v>
      </c>
      <c r="E22" s="11" t="s">
        <v>100</v>
      </c>
      <c r="F22" s="11" t="s">
        <v>65</v>
      </c>
      <c r="G22" s="11" t="s">
        <v>49</v>
      </c>
      <c r="H22" s="11" t="s">
        <v>1225</v>
      </c>
      <c r="I22" s="4"/>
      <c r="J22" s="4"/>
      <c r="K22" s="4"/>
      <c r="L22" s="4"/>
      <c r="M22" s="4"/>
      <c r="N22" s="4"/>
      <c r="O22" s="4"/>
      <c r="P22" s="4"/>
      <c r="Q22" s="4"/>
      <c r="R22" s="4"/>
      <c r="S22" s="4"/>
      <c r="T22" s="4"/>
      <c r="U22" s="4"/>
      <c r="V22" s="4"/>
      <c r="W22" s="4"/>
      <c r="X22" s="4"/>
      <c r="Y22" s="4"/>
    </row>
    <row r="23">
      <c r="A23" s="12">
        <v>22.0</v>
      </c>
      <c r="B23" s="11" t="s">
        <v>101</v>
      </c>
      <c r="C23" s="11" t="s">
        <v>102</v>
      </c>
      <c r="D23" s="11">
        <v>2025.0</v>
      </c>
      <c r="E23" s="11" t="s">
        <v>103</v>
      </c>
      <c r="F23" s="11" t="s">
        <v>65</v>
      </c>
      <c r="G23" s="11" t="s">
        <v>49</v>
      </c>
      <c r="H23" s="11" t="s">
        <v>1224</v>
      </c>
      <c r="I23" s="4"/>
      <c r="J23" s="4"/>
      <c r="K23" s="4"/>
      <c r="L23" s="4"/>
      <c r="M23" s="4"/>
      <c r="N23" s="4"/>
      <c r="O23" s="4"/>
      <c r="P23" s="4"/>
      <c r="Q23" s="4"/>
      <c r="R23" s="4"/>
      <c r="S23" s="4"/>
      <c r="T23" s="4"/>
      <c r="U23" s="4"/>
      <c r="V23" s="4"/>
      <c r="W23" s="4"/>
      <c r="X23" s="4"/>
      <c r="Y23" s="4"/>
    </row>
    <row r="24">
      <c r="A24" s="11">
        <v>23.0</v>
      </c>
      <c r="B24" s="11" t="s">
        <v>104</v>
      </c>
      <c r="C24" s="11" t="s">
        <v>105</v>
      </c>
      <c r="D24" s="11">
        <v>2024.0</v>
      </c>
      <c r="E24" s="11" t="s">
        <v>106</v>
      </c>
      <c r="F24" s="11" t="s">
        <v>65</v>
      </c>
      <c r="G24" s="11" t="s">
        <v>49</v>
      </c>
      <c r="H24" s="11" t="s">
        <v>1224</v>
      </c>
      <c r="I24" s="4"/>
      <c r="J24" s="4"/>
      <c r="K24" s="4"/>
      <c r="L24" s="4"/>
      <c r="M24" s="4"/>
      <c r="N24" s="4"/>
      <c r="O24" s="4"/>
      <c r="P24" s="4"/>
      <c r="Q24" s="4"/>
      <c r="R24" s="4"/>
      <c r="S24" s="4"/>
      <c r="T24" s="4"/>
      <c r="U24" s="4"/>
      <c r="V24" s="4"/>
      <c r="W24" s="4"/>
      <c r="X24" s="4"/>
      <c r="Y24" s="4"/>
    </row>
    <row r="25">
      <c r="A25" s="11">
        <v>24.0</v>
      </c>
      <c r="B25" s="11" t="s">
        <v>107</v>
      </c>
      <c r="C25" s="11" t="s">
        <v>108</v>
      </c>
      <c r="D25" s="11">
        <v>2024.0</v>
      </c>
      <c r="E25" s="11" t="s">
        <v>109</v>
      </c>
      <c r="F25" s="11" t="s">
        <v>65</v>
      </c>
      <c r="G25" s="11" t="s">
        <v>39</v>
      </c>
      <c r="H25" s="11" t="s">
        <v>1224</v>
      </c>
      <c r="I25" s="4"/>
      <c r="J25" s="4"/>
      <c r="K25" s="4"/>
      <c r="L25" s="4"/>
      <c r="M25" s="4"/>
      <c r="N25" s="4"/>
      <c r="O25" s="4"/>
      <c r="P25" s="4"/>
      <c r="Q25" s="4"/>
      <c r="R25" s="4"/>
      <c r="S25" s="4"/>
      <c r="T25" s="4"/>
      <c r="U25" s="4"/>
      <c r="V25" s="4"/>
      <c r="W25" s="4"/>
      <c r="X25" s="4"/>
      <c r="Y25" s="4"/>
    </row>
    <row r="26">
      <c r="A26" s="12">
        <v>25.0</v>
      </c>
      <c r="B26" s="18" t="s">
        <v>110</v>
      </c>
      <c r="C26" s="11" t="s">
        <v>111</v>
      </c>
      <c r="D26" s="11">
        <v>2024.0</v>
      </c>
      <c r="E26" s="11" t="s">
        <v>112</v>
      </c>
      <c r="F26" s="11" t="s">
        <v>65</v>
      </c>
      <c r="G26" s="11" t="s">
        <v>49</v>
      </c>
      <c r="H26" s="11" t="s">
        <v>1225</v>
      </c>
      <c r="I26" s="4"/>
      <c r="J26" s="4"/>
      <c r="K26" s="4"/>
      <c r="L26" s="4"/>
      <c r="M26" s="4"/>
      <c r="N26" s="4"/>
      <c r="O26" s="4"/>
      <c r="P26" s="4"/>
      <c r="Q26" s="4"/>
      <c r="R26" s="4"/>
      <c r="S26" s="4"/>
      <c r="T26" s="4"/>
      <c r="U26" s="4"/>
      <c r="V26" s="4"/>
      <c r="W26" s="4"/>
      <c r="X26" s="4"/>
      <c r="Y26" s="4"/>
    </row>
    <row r="27">
      <c r="A27" s="11">
        <v>26.0</v>
      </c>
      <c r="B27" s="18" t="s">
        <v>113</v>
      </c>
      <c r="C27" s="11" t="s">
        <v>114</v>
      </c>
      <c r="D27" s="11">
        <v>2022.0</v>
      </c>
      <c r="E27" s="11" t="s">
        <v>115</v>
      </c>
      <c r="F27" s="11" t="s">
        <v>65</v>
      </c>
      <c r="G27" s="11" t="s">
        <v>49</v>
      </c>
      <c r="H27" s="11" t="s">
        <v>1225</v>
      </c>
      <c r="I27" s="4"/>
      <c r="J27" s="4"/>
      <c r="K27" s="4"/>
      <c r="L27" s="4"/>
      <c r="M27" s="4"/>
      <c r="N27" s="4"/>
      <c r="O27" s="4"/>
      <c r="P27" s="4"/>
      <c r="Q27" s="4"/>
      <c r="R27" s="4"/>
      <c r="S27" s="4"/>
      <c r="T27" s="4"/>
      <c r="U27" s="4"/>
      <c r="V27" s="4"/>
      <c r="W27" s="4"/>
      <c r="X27" s="4"/>
      <c r="Y27" s="4"/>
    </row>
    <row r="28">
      <c r="A28" s="11">
        <v>27.0</v>
      </c>
      <c r="B28" s="11" t="s">
        <v>116</v>
      </c>
      <c r="C28" s="11" t="s">
        <v>117</v>
      </c>
      <c r="D28" s="11">
        <v>2025.0</v>
      </c>
      <c r="E28" s="11" t="s">
        <v>118</v>
      </c>
      <c r="F28" s="11" t="s">
        <v>65</v>
      </c>
      <c r="G28" s="11" t="s">
        <v>49</v>
      </c>
      <c r="H28" s="11" t="s">
        <v>1224</v>
      </c>
      <c r="I28" s="4"/>
      <c r="J28" s="4"/>
      <c r="K28" s="4"/>
      <c r="L28" s="4"/>
      <c r="M28" s="4"/>
      <c r="N28" s="4"/>
      <c r="O28" s="4"/>
      <c r="P28" s="4"/>
      <c r="Q28" s="4"/>
      <c r="R28" s="4"/>
      <c r="S28" s="4"/>
      <c r="T28" s="4"/>
      <c r="U28" s="4"/>
      <c r="V28" s="4"/>
      <c r="W28" s="4"/>
      <c r="X28" s="4"/>
      <c r="Y28" s="4"/>
    </row>
    <row r="29">
      <c r="A29" s="12">
        <v>28.0</v>
      </c>
      <c r="B29" s="11" t="s">
        <v>119</v>
      </c>
      <c r="C29" s="11" t="s">
        <v>120</v>
      </c>
      <c r="D29" s="11">
        <v>2024.0</v>
      </c>
      <c r="E29" s="11" t="s">
        <v>121</v>
      </c>
      <c r="F29" s="11" t="s">
        <v>65</v>
      </c>
      <c r="G29" s="11" t="s">
        <v>39</v>
      </c>
      <c r="H29" s="11" t="s">
        <v>1224</v>
      </c>
      <c r="I29" s="4"/>
      <c r="J29" s="4"/>
      <c r="K29" s="4"/>
      <c r="L29" s="4"/>
      <c r="M29" s="4"/>
      <c r="N29" s="4"/>
      <c r="O29" s="4"/>
      <c r="P29" s="4"/>
      <c r="Q29" s="4"/>
      <c r="R29" s="4"/>
      <c r="S29" s="4"/>
      <c r="T29" s="4"/>
      <c r="U29" s="4"/>
      <c r="V29" s="4"/>
      <c r="W29" s="4"/>
      <c r="X29" s="4"/>
      <c r="Y29" s="4"/>
    </row>
    <row r="30">
      <c r="A30" s="11">
        <v>29.0</v>
      </c>
      <c r="B30" s="11" t="s">
        <v>122</v>
      </c>
      <c r="C30" s="11" t="s">
        <v>123</v>
      </c>
      <c r="D30" s="11">
        <v>2025.0</v>
      </c>
      <c r="E30" s="11" t="s">
        <v>124</v>
      </c>
      <c r="F30" s="11" t="s">
        <v>65</v>
      </c>
      <c r="G30" s="11" t="s">
        <v>39</v>
      </c>
      <c r="H30" s="11" t="s">
        <v>1224</v>
      </c>
      <c r="I30" s="4"/>
      <c r="J30" s="4"/>
      <c r="K30" s="4"/>
      <c r="L30" s="4"/>
      <c r="M30" s="4"/>
      <c r="N30" s="4"/>
      <c r="O30" s="4"/>
      <c r="P30" s="4"/>
      <c r="Q30" s="4"/>
      <c r="R30" s="4"/>
      <c r="S30" s="4"/>
      <c r="T30" s="4"/>
      <c r="U30" s="4"/>
      <c r="V30" s="4"/>
      <c r="W30" s="4"/>
      <c r="X30" s="4"/>
      <c r="Y30" s="4"/>
    </row>
    <row r="31">
      <c r="A31" s="11">
        <v>30.0</v>
      </c>
      <c r="B31" s="11" t="s">
        <v>125</v>
      </c>
      <c r="C31" s="11" t="s">
        <v>126</v>
      </c>
      <c r="D31" s="11">
        <v>2025.0</v>
      </c>
      <c r="E31" s="11" t="s">
        <v>71</v>
      </c>
      <c r="F31" s="11" t="s">
        <v>65</v>
      </c>
      <c r="G31" s="11" t="s">
        <v>49</v>
      </c>
      <c r="H31" s="11" t="s">
        <v>1224</v>
      </c>
      <c r="I31" s="4"/>
      <c r="J31" s="4"/>
      <c r="K31" s="4"/>
      <c r="L31" s="4"/>
      <c r="M31" s="4"/>
      <c r="N31" s="4"/>
      <c r="O31" s="4"/>
      <c r="P31" s="4"/>
      <c r="Q31" s="4"/>
      <c r="R31" s="4"/>
      <c r="S31" s="4"/>
      <c r="T31" s="4"/>
      <c r="U31" s="4"/>
      <c r="V31" s="4"/>
      <c r="W31" s="4"/>
      <c r="X31" s="4"/>
      <c r="Y31" s="4"/>
    </row>
    <row r="32">
      <c r="A32" s="12">
        <v>31.0</v>
      </c>
      <c r="B32" s="11" t="s">
        <v>127</v>
      </c>
      <c r="C32" s="11" t="s">
        <v>128</v>
      </c>
      <c r="D32" s="11">
        <v>2023.0</v>
      </c>
      <c r="E32" s="11" t="s">
        <v>100</v>
      </c>
      <c r="F32" s="11" t="s">
        <v>65</v>
      </c>
      <c r="G32" s="11" t="s">
        <v>49</v>
      </c>
      <c r="H32" s="11" t="s">
        <v>1224</v>
      </c>
      <c r="I32" s="4"/>
      <c r="J32" s="4"/>
      <c r="K32" s="4"/>
      <c r="L32" s="4"/>
      <c r="M32" s="4"/>
      <c r="N32" s="4"/>
      <c r="O32" s="4"/>
      <c r="P32" s="4"/>
      <c r="Q32" s="4"/>
      <c r="R32" s="4"/>
      <c r="S32" s="4"/>
      <c r="T32" s="4"/>
      <c r="U32" s="4"/>
      <c r="V32" s="4"/>
      <c r="W32" s="4"/>
      <c r="X32" s="4"/>
      <c r="Y32" s="4"/>
    </row>
    <row r="33">
      <c r="A33" s="11">
        <v>32.0</v>
      </c>
      <c r="B33" s="11" t="s">
        <v>129</v>
      </c>
      <c r="C33" s="11" t="s">
        <v>130</v>
      </c>
      <c r="D33" s="11">
        <v>2022.0</v>
      </c>
      <c r="E33" s="11" t="s">
        <v>131</v>
      </c>
      <c r="F33" s="11" t="s">
        <v>65</v>
      </c>
      <c r="G33" s="11" t="s">
        <v>39</v>
      </c>
      <c r="H33" s="11" t="s">
        <v>1224</v>
      </c>
      <c r="I33" s="4"/>
      <c r="J33" s="4"/>
      <c r="K33" s="4"/>
      <c r="L33" s="4"/>
      <c r="M33" s="4"/>
      <c r="N33" s="4"/>
      <c r="O33" s="4"/>
      <c r="P33" s="4"/>
      <c r="Q33" s="4"/>
      <c r="R33" s="4"/>
      <c r="S33" s="4"/>
      <c r="T33" s="4"/>
      <c r="U33" s="4"/>
      <c r="V33" s="4"/>
      <c r="W33" s="4"/>
      <c r="X33" s="4"/>
      <c r="Y33" s="4"/>
    </row>
    <row r="34">
      <c r="A34" s="11">
        <v>33.0</v>
      </c>
      <c r="B34" s="11" t="s">
        <v>132</v>
      </c>
      <c r="C34" s="11" t="s">
        <v>133</v>
      </c>
      <c r="D34" s="11">
        <v>2025.0</v>
      </c>
      <c r="E34" s="11" t="s">
        <v>134</v>
      </c>
      <c r="F34" s="11" t="s">
        <v>65</v>
      </c>
      <c r="G34" s="11" t="s">
        <v>49</v>
      </c>
      <c r="H34" s="11" t="s">
        <v>1224</v>
      </c>
      <c r="I34" s="4"/>
      <c r="J34" s="4"/>
      <c r="K34" s="4"/>
      <c r="L34" s="4"/>
      <c r="M34" s="4"/>
      <c r="N34" s="4"/>
      <c r="O34" s="4"/>
      <c r="P34" s="4"/>
      <c r="Q34" s="4"/>
      <c r="R34" s="4"/>
      <c r="S34" s="4"/>
      <c r="T34" s="4"/>
      <c r="U34" s="4"/>
      <c r="V34" s="4"/>
      <c r="W34" s="4"/>
      <c r="X34" s="4"/>
      <c r="Y34" s="4"/>
    </row>
    <row r="35">
      <c r="A35" s="12">
        <v>34.0</v>
      </c>
      <c r="B35" s="11" t="s">
        <v>135</v>
      </c>
      <c r="C35" s="11" t="s">
        <v>136</v>
      </c>
      <c r="D35" s="11">
        <v>2025.0</v>
      </c>
      <c r="E35" s="11" t="s">
        <v>137</v>
      </c>
      <c r="F35" s="11" t="s">
        <v>65</v>
      </c>
      <c r="G35" s="11" t="s">
        <v>49</v>
      </c>
      <c r="H35" s="11" t="s">
        <v>1224</v>
      </c>
      <c r="I35" s="4"/>
      <c r="J35" s="4"/>
      <c r="K35" s="4"/>
      <c r="L35" s="4"/>
      <c r="M35" s="4"/>
      <c r="N35" s="4"/>
      <c r="O35" s="4"/>
      <c r="P35" s="4"/>
      <c r="Q35" s="4"/>
      <c r="R35" s="4"/>
      <c r="S35" s="4"/>
      <c r="T35" s="4"/>
      <c r="U35" s="4"/>
      <c r="V35" s="4"/>
      <c r="W35" s="4"/>
      <c r="X35" s="4"/>
      <c r="Y35" s="4"/>
    </row>
    <row r="36">
      <c r="A36" s="11">
        <v>35.0</v>
      </c>
      <c r="B36" s="18" t="s">
        <v>138</v>
      </c>
      <c r="C36" s="11" t="s">
        <v>139</v>
      </c>
      <c r="D36" s="11">
        <v>2025.0</v>
      </c>
      <c r="E36" s="11" t="s">
        <v>140</v>
      </c>
      <c r="F36" s="11" t="s">
        <v>65</v>
      </c>
      <c r="G36" s="11" t="s">
        <v>49</v>
      </c>
      <c r="H36" s="11" t="s">
        <v>1225</v>
      </c>
      <c r="I36" s="4"/>
      <c r="J36" s="4"/>
      <c r="K36" s="4"/>
      <c r="L36" s="4"/>
      <c r="M36" s="4"/>
      <c r="N36" s="4"/>
      <c r="O36" s="4"/>
      <c r="P36" s="4"/>
      <c r="Q36" s="4"/>
      <c r="R36" s="4"/>
      <c r="S36" s="4"/>
      <c r="T36" s="4"/>
      <c r="U36" s="4"/>
      <c r="V36" s="4"/>
      <c r="W36" s="4"/>
      <c r="X36" s="4"/>
      <c r="Y36" s="4"/>
    </row>
    <row r="37">
      <c r="A37" s="11">
        <v>36.0</v>
      </c>
      <c r="B37" s="11" t="s">
        <v>141</v>
      </c>
      <c r="C37" s="11" t="s">
        <v>142</v>
      </c>
      <c r="D37" s="11">
        <v>2025.0</v>
      </c>
      <c r="E37" s="11" t="s">
        <v>143</v>
      </c>
      <c r="F37" s="11" t="s">
        <v>65</v>
      </c>
      <c r="G37" s="11" t="s">
        <v>39</v>
      </c>
      <c r="H37" s="11" t="s">
        <v>1224</v>
      </c>
      <c r="I37" s="4"/>
      <c r="J37" s="4"/>
      <c r="K37" s="4"/>
      <c r="L37" s="4"/>
      <c r="M37" s="4"/>
      <c r="N37" s="4"/>
      <c r="O37" s="4"/>
      <c r="P37" s="4"/>
      <c r="Q37" s="4"/>
      <c r="R37" s="4"/>
      <c r="S37" s="4"/>
      <c r="T37" s="4"/>
      <c r="U37" s="4"/>
      <c r="V37" s="4"/>
      <c r="W37" s="4"/>
      <c r="X37" s="4"/>
      <c r="Y37" s="4"/>
    </row>
    <row r="38">
      <c r="A38" s="12">
        <v>37.0</v>
      </c>
      <c r="B38" s="11" t="s">
        <v>144</v>
      </c>
      <c r="C38" s="11" t="s">
        <v>145</v>
      </c>
      <c r="D38" s="11">
        <v>2023.0</v>
      </c>
      <c r="E38" s="11" t="s">
        <v>146</v>
      </c>
      <c r="F38" s="11" t="s">
        <v>65</v>
      </c>
      <c r="G38" s="11" t="s">
        <v>49</v>
      </c>
      <c r="H38" s="11" t="s">
        <v>1224</v>
      </c>
      <c r="I38" s="4"/>
      <c r="J38" s="4"/>
      <c r="K38" s="4"/>
      <c r="L38" s="4"/>
      <c r="M38" s="4"/>
      <c r="N38" s="4"/>
      <c r="O38" s="4"/>
      <c r="P38" s="4"/>
      <c r="Q38" s="4"/>
      <c r="R38" s="4"/>
      <c r="S38" s="4"/>
      <c r="T38" s="4"/>
      <c r="U38" s="4"/>
      <c r="V38" s="4"/>
      <c r="W38" s="4"/>
      <c r="X38" s="4"/>
      <c r="Y38" s="4"/>
    </row>
    <row r="39">
      <c r="A39" s="11">
        <v>38.0</v>
      </c>
      <c r="B39" s="11" t="s">
        <v>147</v>
      </c>
      <c r="C39" s="11" t="s">
        <v>148</v>
      </c>
      <c r="D39" s="11">
        <v>2024.0</v>
      </c>
      <c r="E39" s="11" t="s">
        <v>149</v>
      </c>
      <c r="F39" s="11" t="s">
        <v>65</v>
      </c>
      <c r="G39" s="11" t="s">
        <v>39</v>
      </c>
      <c r="H39" s="11" t="s">
        <v>1224</v>
      </c>
      <c r="I39" s="4"/>
      <c r="J39" s="4"/>
      <c r="K39" s="4"/>
      <c r="L39" s="4"/>
      <c r="M39" s="4"/>
      <c r="N39" s="4"/>
      <c r="O39" s="4"/>
      <c r="P39" s="4"/>
      <c r="Q39" s="4"/>
      <c r="R39" s="4"/>
      <c r="S39" s="4"/>
      <c r="T39" s="4"/>
      <c r="U39" s="4"/>
      <c r="V39" s="4"/>
      <c r="W39" s="4"/>
      <c r="X39" s="4"/>
      <c r="Y39" s="4"/>
    </row>
    <row r="40">
      <c r="A40" s="11">
        <v>39.0</v>
      </c>
      <c r="B40" s="11" t="s">
        <v>150</v>
      </c>
      <c r="C40" s="11" t="s">
        <v>151</v>
      </c>
      <c r="D40" s="11">
        <v>2025.0</v>
      </c>
      <c r="E40" s="11" t="s">
        <v>152</v>
      </c>
      <c r="F40" s="11" t="s">
        <v>65</v>
      </c>
      <c r="G40" s="11" t="s">
        <v>49</v>
      </c>
      <c r="H40" s="11" t="s">
        <v>1224</v>
      </c>
      <c r="I40" s="4"/>
      <c r="J40" s="4"/>
      <c r="K40" s="4"/>
      <c r="L40" s="4"/>
      <c r="M40" s="4"/>
      <c r="N40" s="4"/>
      <c r="O40" s="4"/>
      <c r="P40" s="4"/>
      <c r="Q40" s="4"/>
      <c r="R40" s="4"/>
      <c r="S40" s="4"/>
      <c r="T40" s="4"/>
      <c r="U40" s="4"/>
      <c r="V40" s="4"/>
      <c r="W40" s="4"/>
      <c r="X40" s="4"/>
      <c r="Y40" s="4"/>
    </row>
    <row r="41">
      <c r="A41" s="12">
        <v>40.0</v>
      </c>
      <c r="B41" s="11" t="s">
        <v>153</v>
      </c>
      <c r="C41" s="11" t="s">
        <v>154</v>
      </c>
      <c r="D41" s="11">
        <v>2020.0</v>
      </c>
      <c r="E41" s="11" t="s">
        <v>155</v>
      </c>
      <c r="F41" s="11" t="s">
        <v>65</v>
      </c>
      <c r="G41" s="11" t="s">
        <v>39</v>
      </c>
      <c r="H41" s="11" t="s">
        <v>1224</v>
      </c>
      <c r="I41" s="4"/>
      <c r="J41" s="4"/>
      <c r="K41" s="4"/>
      <c r="L41" s="4"/>
      <c r="M41" s="4"/>
      <c r="N41" s="4"/>
      <c r="O41" s="4"/>
      <c r="P41" s="4"/>
      <c r="Q41" s="4"/>
      <c r="R41" s="4"/>
      <c r="S41" s="4"/>
      <c r="T41" s="4"/>
      <c r="U41" s="4"/>
      <c r="V41" s="4"/>
      <c r="W41" s="4"/>
      <c r="X41" s="4"/>
      <c r="Y41" s="4"/>
    </row>
    <row r="42">
      <c r="A42" s="11">
        <v>41.0</v>
      </c>
      <c r="B42" s="11" t="s">
        <v>156</v>
      </c>
      <c r="C42" s="11" t="s">
        <v>157</v>
      </c>
      <c r="D42" s="11">
        <v>2020.0</v>
      </c>
      <c r="E42" s="11" t="s">
        <v>158</v>
      </c>
      <c r="F42" s="11" t="s">
        <v>65</v>
      </c>
      <c r="G42" s="11" t="s">
        <v>39</v>
      </c>
      <c r="H42" s="11" t="s">
        <v>1224</v>
      </c>
      <c r="I42" s="4"/>
      <c r="J42" s="4"/>
      <c r="K42" s="4"/>
      <c r="L42" s="4"/>
      <c r="M42" s="4"/>
      <c r="N42" s="4"/>
      <c r="O42" s="4"/>
      <c r="P42" s="4"/>
      <c r="Q42" s="4"/>
      <c r="R42" s="4"/>
      <c r="S42" s="4"/>
      <c r="T42" s="4"/>
      <c r="U42" s="4"/>
      <c r="V42" s="4"/>
      <c r="W42" s="4"/>
      <c r="X42" s="4"/>
      <c r="Y42" s="4"/>
    </row>
    <row r="43">
      <c r="A43" s="11">
        <v>42.0</v>
      </c>
      <c r="B43" s="11" t="s">
        <v>159</v>
      </c>
      <c r="C43" s="11" t="s">
        <v>160</v>
      </c>
      <c r="D43" s="11">
        <v>2025.0</v>
      </c>
      <c r="E43" s="11" t="s">
        <v>161</v>
      </c>
      <c r="F43" s="11" t="s">
        <v>65</v>
      </c>
      <c r="G43" s="11" t="s">
        <v>39</v>
      </c>
      <c r="H43" s="11" t="s">
        <v>1224</v>
      </c>
      <c r="I43" s="4"/>
      <c r="J43" s="4"/>
      <c r="K43" s="4"/>
      <c r="L43" s="4"/>
      <c r="M43" s="4"/>
      <c r="N43" s="4"/>
      <c r="O43" s="4"/>
      <c r="P43" s="4"/>
      <c r="Q43" s="4"/>
      <c r="R43" s="4"/>
      <c r="S43" s="4"/>
      <c r="T43" s="4"/>
      <c r="U43" s="4"/>
      <c r="V43" s="4"/>
      <c r="W43" s="4"/>
      <c r="X43" s="4"/>
      <c r="Y43" s="4"/>
    </row>
    <row r="44">
      <c r="A44" s="12">
        <v>43.0</v>
      </c>
      <c r="B44" s="18" t="s">
        <v>162</v>
      </c>
      <c r="C44" s="11" t="s">
        <v>163</v>
      </c>
      <c r="D44" s="11">
        <v>2022.0</v>
      </c>
      <c r="E44" s="11" t="s">
        <v>164</v>
      </c>
      <c r="F44" s="11" t="s">
        <v>65</v>
      </c>
      <c r="G44" s="11" t="s">
        <v>49</v>
      </c>
      <c r="H44" s="11" t="s">
        <v>1225</v>
      </c>
      <c r="I44" s="4"/>
      <c r="J44" s="4"/>
      <c r="K44" s="4"/>
      <c r="L44" s="4"/>
      <c r="M44" s="4"/>
      <c r="N44" s="4"/>
      <c r="O44" s="4"/>
      <c r="P44" s="4"/>
      <c r="Q44" s="4"/>
      <c r="R44" s="4"/>
      <c r="S44" s="4"/>
      <c r="T44" s="4"/>
      <c r="U44" s="4"/>
      <c r="V44" s="4"/>
      <c r="W44" s="4"/>
      <c r="X44" s="4"/>
      <c r="Y44" s="4"/>
    </row>
    <row r="45">
      <c r="A45" s="11">
        <v>44.0</v>
      </c>
      <c r="B45" s="11" t="s">
        <v>165</v>
      </c>
      <c r="C45" s="11" t="s">
        <v>166</v>
      </c>
      <c r="D45" s="11">
        <v>2024.0</v>
      </c>
      <c r="E45" s="11" t="s">
        <v>167</v>
      </c>
      <c r="F45" s="11" t="s">
        <v>65</v>
      </c>
      <c r="G45" s="11" t="s">
        <v>39</v>
      </c>
      <c r="H45" s="11" t="s">
        <v>1224</v>
      </c>
      <c r="I45" s="4"/>
      <c r="J45" s="4"/>
      <c r="K45" s="4"/>
      <c r="L45" s="4"/>
      <c r="M45" s="4"/>
      <c r="N45" s="4"/>
      <c r="O45" s="4"/>
      <c r="P45" s="4"/>
      <c r="Q45" s="4"/>
      <c r="R45" s="4"/>
      <c r="S45" s="4"/>
      <c r="T45" s="4"/>
      <c r="U45" s="4"/>
      <c r="V45" s="4"/>
      <c r="W45" s="4"/>
      <c r="X45" s="4"/>
      <c r="Y45" s="4"/>
    </row>
    <row r="46">
      <c r="A46" s="11">
        <v>45.0</v>
      </c>
      <c r="B46" s="18" t="s">
        <v>168</v>
      </c>
      <c r="C46" s="11" t="s">
        <v>169</v>
      </c>
      <c r="D46" s="11">
        <v>2025.0</v>
      </c>
      <c r="E46" s="11" t="s">
        <v>118</v>
      </c>
      <c r="F46" s="11" t="s">
        <v>65</v>
      </c>
      <c r="G46" s="11" t="s">
        <v>49</v>
      </c>
      <c r="H46" s="11" t="s">
        <v>1225</v>
      </c>
      <c r="I46" s="4"/>
      <c r="J46" s="4"/>
      <c r="K46" s="4"/>
      <c r="L46" s="4"/>
      <c r="M46" s="4"/>
      <c r="N46" s="4"/>
      <c r="O46" s="4"/>
      <c r="P46" s="4"/>
      <c r="Q46" s="4"/>
      <c r="R46" s="4"/>
      <c r="S46" s="4"/>
      <c r="T46" s="4"/>
      <c r="U46" s="4"/>
      <c r="V46" s="4"/>
      <c r="W46" s="4"/>
      <c r="X46" s="4"/>
      <c r="Y46" s="4"/>
    </row>
    <row r="47">
      <c r="A47" s="12">
        <v>46.0</v>
      </c>
      <c r="B47" s="11" t="s">
        <v>170</v>
      </c>
      <c r="C47" s="11" t="s">
        <v>171</v>
      </c>
      <c r="D47" s="11">
        <v>2024.0</v>
      </c>
      <c r="E47" s="11" t="s">
        <v>172</v>
      </c>
      <c r="F47" s="11" t="s">
        <v>65</v>
      </c>
      <c r="G47" s="11" t="s">
        <v>49</v>
      </c>
      <c r="H47" s="11" t="s">
        <v>1224</v>
      </c>
      <c r="I47" s="4"/>
      <c r="J47" s="4"/>
      <c r="K47" s="4"/>
      <c r="L47" s="4"/>
      <c r="M47" s="4"/>
      <c r="N47" s="4"/>
      <c r="O47" s="4"/>
      <c r="P47" s="4"/>
      <c r="Q47" s="4"/>
      <c r="R47" s="4"/>
      <c r="S47" s="4"/>
      <c r="T47" s="4"/>
      <c r="U47" s="4"/>
      <c r="V47" s="4"/>
      <c r="W47" s="4"/>
      <c r="X47" s="4"/>
      <c r="Y47" s="4"/>
    </row>
    <row r="48">
      <c r="A48" s="11">
        <v>47.0</v>
      </c>
      <c r="B48" s="19" t="s">
        <v>173</v>
      </c>
      <c r="C48" s="11" t="s">
        <v>174</v>
      </c>
      <c r="D48" s="11">
        <v>2025.0</v>
      </c>
      <c r="E48" s="11" t="s">
        <v>64</v>
      </c>
      <c r="F48" s="11" t="s">
        <v>65</v>
      </c>
      <c r="G48" s="11" t="s">
        <v>39</v>
      </c>
      <c r="H48" s="11" t="s">
        <v>1224</v>
      </c>
      <c r="I48" s="4"/>
      <c r="J48" s="4"/>
      <c r="K48" s="4"/>
      <c r="L48" s="4"/>
      <c r="M48" s="4"/>
      <c r="N48" s="4"/>
      <c r="O48" s="4"/>
      <c r="P48" s="4"/>
      <c r="Q48" s="4"/>
      <c r="R48" s="4"/>
      <c r="S48" s="4"/>
      <c r="T48" s="4"/>
      <c r="U48" s="4"/>
      <c r="V48" s="4"/>
      <c r="W48" s="4"/>
      <c r="X48" s="4"/>
      <c r="Y48" s="4"/>
    </row>
    <row r="49">
      <c r="A49" s="11">
        <v>48.0</v>
      </c>
      <c r="B49" s="11" t="s">
        <v>175</v>
      </c>
      <c r="C49" s="11" t="s">
        <v>176</v>
      </c>
      <c r="D49" s="11">
        <v>2025.0</v>
      </c>
      <c r="E49" s="11" t="s">
        <v>172</v>
      </c>
      <c r="F49" s="11" t="s">
        <v>65</v>
      </c>
      <c r="G49" s="11" t="s">
        <v>49</v>
      </c>
      <c r="H49" s="11" t="s">
        <v>1224</v>
      </c>
      <c r="I49" s="4"/>
      <c r="J49" s="4"/>
      <c r="K49" s="4"/>
      <c r="L49" s="4"/>
      <c r="M49" s="4"/>
      <c r="N49" s="4"/>
      <c r="O49" s="4"/>
      <c r="P49" s="4"/>
      <c r="Q49" s="4"/>
      <c r="R49" s="4"/>
      <c r="S49" s="4"/>
      <c r="T49" s="4"/>
      <c r="U49" s="4"/>
      <c r="V49" s="4"/>
      <c r="W49" s="4"/>
      <c r="X49" s="4"/>
      <c r="Y49" s="4"/>
    </row>
    <row r="50">
      <c r="A50" s="12">
        <v>49.0</v>
      </c>
      <c r="B50" s="11" t="s">
        <v>177</v>
      </c>
      <c r="C50" s="11" t="s">
        <v>178</v>
      </c>
      <c r="D50" s="11">
        <v>2021.0</v>
      </c>
      <c r="E50" s="11" t="s">
        <v>172</v>
      </c>
      <c r="F50" s="11" t="s">
        <v>65</v>
      </c>
      <c r="G50" s="11" t="s">
        <v>49</v>
      </c>
      <c r="H50" s="11" t="s">
        <v>1224</v>
      </c>
      <c r="I50" s="4"/>
      <c r="J50" s="4"/>
      <c r="K50" s="4"/>
      <c r="L50" s="4"/>
      <c r="M50" s="4"/>
      <c r="N50" s="4"/>
      <c r="O50" s="4"/>
      <c r="P50" s="4"/>
      <c r="Q50" s="4"/>
      <c r="R50" s="4"/>
      <c r="S50" s="4"/>
      <c r="T50" s="4"/>
      <c r="U50" s="4"/>
      <c r="V50" s="4"/>
      <c r="W50" s="4"/>
      <c r="X50" s="4"/>
      <c r="Y50" s="4"/>
    </row>
    <row r="51">
      <c r="A51" s="11">
        <v>50.0</v>
      </c>
      <c r="B51" s="11" t="s">
        <v>179</v>
      </c>
      <c r="C51" s="11" t="s">
        <v>180</v>
      </c>
      <c r="D51" s="11">
        <v>2024.0</v>
      </c>
      <c r="E51" s="11" t="s">
        <v>181</v>
      </c>
      <c r="F51" s="11" t="s">
        <v>65</v>
      </c>
      <c r="G51" s="11" t="s">
        <v>49</v>
      </c>
      <c r="H51" s="11" t="s">
        <v>1224</v>
      </c>
      <c r="I51" s="4"/>
      <c r="J51" s="4"/>
      <c r="K51" s="4"/>
      <c r="L51" s="4"/>
      <c r="M51" s="4"/>
      <c r="N51" s="4"/>
      <c r="O51" s="4"/>
      <c r="P51" s="4"/>
      <c r="Q51" s="4"/>
      <c r="R51" s="4"/>
      <c r="S51" s="4"/>
      <c r="T51" s="4"/>
      <c r="U51" s="4"/>
      <c r="V51" s="4"/>
      <c r="W51" s="4"/>
      <c r="X51" s="4"/>
      <c r="Y51" s="4"/>
    </row>
    <row r="52">
      <c r="A52" s="11">
        <v>51.0</v>
      </c>
      <c r="B52" s="18" t="s">
        <v>182</v>
      </c>
      <c r="C52" s="11" t="s">
        <v>183</v>
      </c>
      <c r="D52" s="11">
        <v>2023.0</v>
      </c>
      <c r="E52" s="11" t="s">
        <v>184</v>
      </c>
      <c r="F52" s="11" t="s">
        <v>65</v>
      </c>
      <c r="G52" s="11" t="s">
        <v>49</v>
      </c>
      <c r="H52" s="11" t="s">
        <v>1225</v>
      </c>
      <c r="I52" s="4"/>
      <c r="J52" s="4"/>
      <c r="K52" s="4"/>
      <c r="L52" s="4"/>
      <c r="M52" s="4"/>
      <c r="N52" s="4"/>
      <c r="O52" s="4"/>
      <c r="P52" s="4"/>
      <c r="Q52" s="4"/>
      <c r="R52" s="4"/>
      <c r="S52" s="4"/>
      <c r="T52" s="4"/>
      <c r="U52" s="4"/>
      <c r="V52" s="4"/>
      <c r="W52" s="4"/>
      <c r="X52" s="4"/>
      <c r="Y52" s="4"/>
    </row>
    <row r="53">
      <c r="A53" s="12">
        <v>52.0</v>
      </c>
      <c r="B53" s="18" t="s">
        <v>185</v>
      </c>
      <c r="C53" s="11" t="s">
        <v>186</v>
      </c>
      <c r="D53" s="11">
        <v>2024.0</v>
      </c>
      <c r="E53" s="11" t="s">
        <v>187</v>
      </c>
      <c r="F53" s="11" t="s">
        <v>65</v>
      </c>
      <c r="G53" s="11" t="s">
        <v>49</v>
      </c>
      <c r="H53" s="11" t="s">
        <v>1225</v>
      </c>
      <c r="I53" s="4"/>
      <c r="J53" s="4"/>
      <c r="K53" s="4"/>
      <c r="L53" s="4"/>
      <c r="M53" s="4"/>
      <c r="N53" s="4"/>
      <c r="O53" s="4"/>
      <c r="P53" s="4"/>
      <c r="Q53" s="4"/>
      <c r="R53" s="4"/>
      <c r="S53" s="4"/>
      <c r="T53" s="4"/>
      <c r="U53" s="4"/>
      <c r="V53" s="4"/>
      <c r="W53" s="4"/>
      <c r="X53" s="4"/>
      <c r="Y53" s="4"/>
    </row>
    <row r="54">
      <c r="A54" s="11">
        <v>53.0</v>
      </c>
      <c r="B54" s="11" t="s">
        <v>188</v>
      </c>
      <c r="C54" s="11" t="s">
        <v>189</v>
      </c>
      <c r="D54" s="11">
        <v>2024.0</v>
      </c>
      <c r="E54" s="11" t="s">
        <v>112</v>
      </c>
      <c r="F54" s="11" t="s">
        <v>65</v>
      </c>
      <c r="G54" s="11" t="s">
        <v>49</v>
      </c>
      <c r="H54" s="11" t="s">
        <v>1224</v>
      </c>
      <c r="I54" s="4"/>
      <c r="J54" s="4"/>
      <c r="K54" s="4"/>
      <c r="L54" s="4"/>
      <c r="M54" s="4"/>
      <c r="N54" s="4"/>
      <c r="O54" s="4"/>
      <c r="P54" s="4"/>
      <c r="Q54" s="4"/>
      <c r="R54" s="4"/>
      <c r="S54" s="4"/>
      <c r="T54" s="4"/>
      <c r="U54" s="4"/>
      <c r="V54" s="4"/>
      <c r="W54" s="4"/>
      <c r="X54" s="4"/>
      <c r="Y54" s="4"/>
    </row>
    <row r="55">
      <c r="A55" s="11">
        <v>54.0</v>
      </c>
      <c r="B55" s="11" t="s">
        <v>190</v>
      </c>
      <c r="C55" s="11" t="s">
        <v>191</v>
      </c>
      <c r="D55" s="11">
        <v>2025.0</v>
      </c>
      <c r="E55" s="11" t="s">
        <v>192</v>
      </c>
      <c r="F55" s="11" t="s">
        <v>65</v>
      </c>
      <c r="G55" s="11" t="s">
        <v>49</v>
      </c>
      <c r="H55" s="11" t="s">
        <v>1224</v>
      </c>
      <c r="I55" s="4"/>
      <c r="J55" s="4"/>
      <c r="K55" s="4"/>
      <c r="L55" s="4"/>
      <c r="M55" s="4"/>
      <c r="N55" s="4"/>
      <c r="O55" s="4"/>
      <c r="P55" s="4"/>
      <c r="Q55" s="4"/>
      <c r="R55" s="4"/>
      <c r="S55" s="4"/>
      <c r="T55" s="4"/>
      <c r="U55" s="4"/>
      <c r="V55" s="4"/>
      <c r="W55" s="4"/>
      <c r="X55" s="4"/>
      <c r="Y55" s="4"/>
    </row>
    <row r="56">
      <c r="A56" s="12">
        <v>55.0</v>
      </c>
      <c r="B56" s="11" t="s">
        <v>193</v>
      </c>
      <c r="C56" s="11" t="s">
        <v>194</v>
      </c>
      <c r="D56" s="11">
        <v>2022.0</v>
      </c>
      <c r="E56" s="11" t="s">
        <v>195</v>
      </c>
      <c r="F56" s="11" t="s">
        <v>65</v>
      </c>
      <c r="G56" s="11" t="s">
        <v>39</v>
      </c>
      <c r="H56" s="11" t="s">
        <v>1224</v>
      </c>
      <c r="I56" s="4"/>
      <c r="J56" s="4"/>
      <c r="K56" s="4"/>
      <c r="L56" s="4"/>
      <c r="M56" s="4"/>
      <c r="N56" s="4"/>
      <c r="O56" s="4"/>
      <c r="P56" s="4"/>
      <c r="Q56" s="4"/>
      <c r="R56" s="4"/>
      <c r="S56" s="4"/>
      <c r="T56" s="4"/>
      <c r="U56" s="4"/>
      <c r="V56" s="4"/>
      <c r="W56" s="4"/>
      <c r="X56" s="4"/>
      <c r="Y56" s="4"/>
    </row>
    <row r="57">
      <c r="A57" s="11">
        <v>56.0</v>
      </c>
      <c r="B57" s="11" t="s">
        <v>196</v>
      </c>
      <c r="C57" s="11" t="s">
        <v>197</v>
      </c>
      <c r="D57" s="11">
        <v>2025.0</v>
      </c>
      <c r="E57" s="11" t="s">
        <v>198</v>
      </c>
      <c r="F57" s="11" t="s">
        <v>65</v>
      </c>
      <c r="G57" s="11" t="s">
        <v>49</v>
      </c>
      <c r="H57" s="11" t="s">
        <v>1224</v>
      </c>
      <c r="I57" s="4"/>
      <c r="J57" s="4"/>
      <c r="K57" s="4"/>
      <c r="L57" s="4"/>
      <c r="M57" s="4"/>
      <c r="N57" s="4"/>
      <c r="O57" s="4"/>
      <c r="P57" s="4"/>
      <c r="Q57" s="4"/>
      <c r="R57" s="4"/>
      <c r="S57" s="4"/>
      <c r="T57" s="4"/>
      <c r="U57" s="4"/>
      <c r="V57" s="4"/>
      <c r="W57" s="4"/>
      <c r="X57" s="4"/>
      <c r="Y57" s="4"/>
    </row>
    <row r="58">
      <c r="A58" s="11">
        <v>57.0</v>
      </c>
      <c r="B58" s="11" t="s">
        <v>199</v>
      </c>
      <c r="C58" s="11" t="s">
        <v>200</v>
      </c>
      <c r="D58" s="11">
        <v>2023.0</v>
      </c>
      <c r="E58" s="11" t="s">
        <v>201</v>
      </c>
      <c r="F58" s="11" t="s">
        <v>65</v>
      </c>
      <c r="G58" s="11" t="s">
        <v>49</v>
      </c>
      <c r="H58" s="11" t="s">
        <v>1224</v>
      </c>
      <c r="I58" s="4"/>
      <c r="J58" s="4"/>
      <c r="K58" s="4"/>
      <c r="L58" s="4"/>
      <c r="M58" s="4"/>
      <c r="N58" s="4"/>
      <c r="O58" s="4"/>
      <c r="P58" s="4"/>
      <c r="Q58" s="4"/>
      <c r="R58" s="4"/>
      <c r="S58" s="4"/>
      <c r="T58" s="4"/>
      <c r="U58" s="4"/>
      <c r="V58" s="4"/>
      <c r="W58" s="4"/>
      <c r="X58" s="4"/>
      <c r="Y58" s="4"/>
    </row>
    <row r="59">
      <c r="A59" s="12">
        <v>58.0</v>
      </c>
      <c r="B59" s="11" t="s">
        <v>202</v>
      </c>
      <c r="C59" s="11" t="s">
        <v>203</v>
      </c>
      <c r="D59" s="11">
        <v>2020.0</v>
      </c>
      <c r="E59" s="11" t="s">
        <v>204</v>
      </c>
      <c r="F59" s="11" t="s">
        <v>65</v>
      </c>
      <c r="G59" s="11" t="s">
        <v>49</v>
      </c>
      <c r="H59" s="11" t="s">
        <v>1224</v>
      </c>
      <c r="I59" s="4"/>
      <c r="J59" s="4"/>
      <c r="K59" s="4"/>
      <c r="L59" s="4"/>
      <c r="M59" s="4"/>
      <c r="N59" s="4"/>
      <c r="O59" s="4"/>
      <c r="P59" s="4"/>
      <c r="Q59" s="4"/>
      <c r="R59" s="4"/>
      <c r="S59" s="4"/>
      <c r="T59" s="4"/>
      <c r="U59" s="4"/>
      <c r="V59" s="4"/>
      <c r="W59" s="4"/>
      <c r="X59" s="4"/>
      <c r="Y59" s="4"/>
    </row>
    <row r="60">
      <c r="A60" s="11">
        <v>59.0</v>
      </c>
      <c r="B60" s="11" t="s">
        <v>205</v>
      </c>
      <c r="C60" s="11" t="s">
        <v>206</v>
      </c>
      <c r="D60" s="11">
        <v>2025.0</v>
      </c>
      <c r="E60" s="11" t="s">
        <v>71</v>
      </c>
      <c r="F60" s="11" t="s">
        <v>65</v>
      </c>
      <c r="G60" s="11" t="s">
        <v>49</v>
      </c>
      <c r="H60" s="11" t="s">
        <v>1224</v>
      </c>
      <c r="I60" s="4"/>
      <c r="J60" s="4"/>
      <c r="K60" s="4"/>
      <c r="L60" s="4"/>
      <c r="M60" s="4"/>
      <c r="N60" s="4"/>
      <c r="O60" s="4"/>
      <c r="P60" s="4"/>
      <c r="Q60" s="4"/>
      <c r="R60" s="4"/>
      <c r="S60" s="4"/>
      <c r="T60" s="4"/>
      <c r="U60" s="4"/>
      <c r="V60" s="4"/>
      <c r="W60" s="4"/>
      <c r="X60" s="4"/>
      <c r="Y60" s="4"/>
    </row>
    <row r="61">
      <c r="A61" s="11">
        <v>60.0</v>
      </c>
      <c r="B61" s="11" t="s">
        <v>207</v>
      </c>
      <c r="C61" s="11" t="s">
        <v>208</v>
      </c>
      <c r="D61" s="11">
        <v>2024.0</v>
      </c>
      <c r="E61" s="11" t="s">
        <v>209</v>
      </c>
      <c r="F61" s="11" t="s">
        <v>65</v>
      </c>
      <c r="G61" s="11" t="s">
        <v>49</v>
      </c>
      <c r="H61" s="11" t="s">
        <v>1224</v>
      </c>
      <c r="I61" s="4"/>
      <c r="J61" s="4"/>
      <c r="K61" s="4"/>
      <c r="L61" s="4"/>
      <c r="M61" s="4"/>
      <c r="N61" s="4"/>
      <c r="O61" s="4"/>
      <c r="P61" s="4"/>
      <c r="Q61" s="4"/>
      <c r="R61" s="4"/>
      <c r="S61" s="4"/>
      <c r="T61" s="4"/>
      <c r="U61" s="4"/>
      <c r="V61" s="4"/>
      <c r="W61" s="4"/>
      <c r="X61" s="4"/>
      <c r="Y61" s="4"/>
    </row>
    <row r="62">
      <c r="A62" s="12">
        <v>61.0</v>
      </c>
      <c r="B62" s="11" t="s">
        <v>210</v>
      </c>
      <c r="C62" s="11" t="s">
        <v>211</v>
      </c>
      <c r="D62" s="11">
        <v>2025.0</v>
      </c>
      <c r="E62" s="11" t="s">
        <v>212</v>
      </c>
      <c r="F62" s="11" t="s">
        <v>65</v>
      </c>
      <c r="G62" s="11" t="s">
        <v>49</v>
      </c>
      <c r="H62" s="11" t="s">
        <v>1224</v>
      </c>
      <c r="I62" s="4"/>
      <c r="J62" s="4"/>
      <c r="K62" s="4"/>
      <c r="L62" s="4"/>
      <c r="M62" s="4"/>
      <c r="N62" s="4"/>
      <c r="O62" s="4"/>
      <c r="P62" s="4"/>
      <c r="Q62" s="4"/>
      <c r="R62" s="4"/>
      <c r="S62" s="4"/>
      <c r="T62" s="4"/>
      <c r="U62" s="4"/>
      <c r="V62" s="4"/>
      <c r="W62" s="4"/>
      <c r="X62" s="4"/>
      <c r="Y62" s="4"/>
    </row>
    <row r="63">
      <c r="A63" s="11">
        <v>62.0</v>
      </c>
      <c r="B63" s="11" t="s">
        <v>213</v>
      </c>
      <c r="C63" s="11" t="s">
        <v>214</v>
      </c>
      <c r="D63" s="11">
        <v>2022.0</v>
      </c>
      <c r="E63" s="11" t="s">
        <v>215</v>
      </c>
      <c r="F63" s="11" t="s">
        <v>65</v>
      </c>
      <c r="G63" s="11" t="s">
        <v>39</v>
      </c>
      <c r="H63" s="11" t="s">
        <v>1224</v>
      </c>
      <c r="I63" s="4"/>
      <c r="J63" s="4"/>
      <c r="K63" s="4"/>
      <c r="L63" s="4"/>
      <c r="M63" s="4"/>
      <c r="N63" s="4"/>
      <c r="O63" s="4"/>
      <c r="P63" s="4"/>
      <c r="Q63" s="4"/>
      <c r="R63" s="4"/>
      <c r="S63" s="4"/>
      <c r="T63" s="4"/>
      <c r="U63" s="4"/>
      <c r="V63" s="4"/>
      <c r="W63" s="4"/>
      <c r="X63" s="4"/>
      <c r="Y63" s="4"/>
    </row>
    <row r="64">
      <c r="A64" s="11">
        <v>63.0</v>
      </c>
      <c r="B64" s="18" t="s">
        <v>216</v>
      </c>
      <c r="C64" s="11" t="s">
        <v>217</v>
      </c>
      <c r="D64" s="11">
        <v>2023.0</v>
      </c>
      <c r="E64" s="11" t="s">
        <v>218</v>
      </c>
      <c r="F64" s="11" t="s">
        <v>65</v>
      </c>
      <c r="G64" s="11" t="s">
        <v>49</v>
      </c>
      <c r="H64" s="11" t="s">
        <v>1225</v>
      </c>
      <c r="I64" s="4"/>
      <c r="J64" s="4"/>
      <c r="K64" s="4"/>
      <c r="L64" s="4"/>
      <c r="M64" s="4"/>
      <c r="N64" s="4"/>
      <c r="O64" s="4"/>
      <c r="P64" s="4"/>
      <c r="Q64" s="4"/>
      <c r="R64" s="4"/>
      <c r="S64" s="4"/>
      <c r="T64" s="4"/>
      <c r="U64" s="4"/>
      <c r="V64" s="4"/>
      <c r="W64" s="4"/>
      <c r="X64" s="4"/>
      <c r="Y64" s="4"/>
    </row>
    <row r="65">
      <c r="A65" s="12">
        <v>64.0</v>
      </c>
      <c r="B65" s="18" t="s">
        <v>219</v>
      </c>
      <c r="C65" s="11" t="s">
        <v>220</v>
      </c>
      <c r="D65" s="11">
        <v>2024.0</v>
      </c>
      <c r="E65" s="11" t="s">
        <v>221</v>
      </c>
      <c r="F65" s="11" t="s">
        <v>65</v>
      </c>
      <c r="G65" s="11" t="s">
        <v>49</v>
      </c>
      <c r="H65" s="11" t="s">
        <v>1225</v>
      </c>
      <c r="I65" s="4"/>
      <c r="J65" s="4"/>
      <c r="K65" s="4"/>
      <c r="L65" s="4"/>
      <c r="M65" s="4"/>
      <c r="N65" s="4"/>
      <c r="O65" s="4"/>
      <c r="P65" s="4"/>
      <c r="Q65" s="4"/>
      <c r="R65" s="4"/>
      <c r="S65" s="4"/>
      <c r="T65" s="4"/>
      <c r="U65" s="4"/>
      <c r="V65" s="4"/>
      <c r="W65" s="4"/>
      <c r="X65" s="4"/>
      <c r="Y65" s="4"/>
    </row>
    <row r="66">
      <c r="A66" s="11">
        <v>65.0</v>
      </c>
      <c r="B66" s="18" t="s">
        <v>222</v>
      </c>
      <c r="C66" s="11" t="s">
        <v>223</v>
      </c>
      <c r="D66" s="11">
        <v>2025.0</v>
      </c>
      <c r="E66" s="11" t="s">
        <v>224</v>
      </c>
      <c r="F66" s="11" t="s">
        <v>65</v>
      </c>
      <c r="G66" s="11" t="s">
        <v>49</v>
      </c>
      <c r="H66" s="11" t="s">
        <v>1225</v>
      </c>
      <c r="I66" s="4"/>
      <c r="J66" s="4"/>
      <c r="K66" s="4"/>
      <c r="L66" s="4"/>
      <c r="M66" s="4"/>
      <c r="N66" s="4"/>
      <c r="O66" s="4"/>
      <c r="P66" s="4"/>
      <c r="Q66" s="4"/>
      <c r="R66" s="4"/>
      <c r="S66" s="4"/>
      <c r="T66" s="4"/>
      <c r="U66" s="4"/>
      <c r="V66" s="4"/>
      <c r="W66" s="4"/>
      <c r="X66" s="4"/>
      <c r="Y66" s="4"/>
    </row>
    <row r="67">
      <c r="A67" s="11">
        <v>66.0</v>
      </c>
      <c r="B67" s="11" t="s">
        <v>225</v>
      </c>
      <c r="C67" s="11" t="s">
        <v>226</v>
      </c>
      <c r="D67" s="11">
        <v>2021.0</v>
      </c>
      <c r="E67" s="11" t="s">
        <v>227</v>
      </c>
      <c r="F67" s="11" t="s">
        <v>65</v>
      </c>
      <c r="G67" s="11" t="s">
        <v>39</v>
      </c>
      <c r="H67" s="11" t="s">
        <v>1224</v>
      </c>
      <c r="I67" s="4"/>
      <c r="J67" s="4"/>
      <c r="K67" s="4"/>
      <c r="L67" s="4"/>
      <c r="M67" s="4"/>
      <c r="N67" s="4"/>
      <c r="O67" s="4"/>
      <c r="P67" s="4"/>
      <c r="Q67" s="4"/>
      <c r="R67" s="4"/>
      <c r="S67" s="4"/>
      <c r="T67" s="4"/>
      <c r="U67" s="4"/>
      <c r="V67" s="4"/>
      <c r="W67" s="4"/>
      <c r="X67" s="4"/>
      <c r="Y67" s="4"/>
    </row>
    <row r="68">
      <c r="A68" s="12">
        <v>67.0</v>
      </c>
      <c r="B68" s="11" t="s">
        <v>228</v>
      </c>
      <c r="C68" s="11" t="s">
        <v>229</v>
      </c>
      <c r="D68" s="11">
        <v>2022.0</v>
      </c>
      <c r="E68" s="11" t="s">
        <v>230</v>
      </c>
      <c r="F68" s="11" t="s">
        <v>65</v>
      </c>
      <c r="G68" s="11" t="s">
        <v>49</v>
      </c>
      <c r="H68" s="11" t="s">
        <v>1224</v>
      </c>
      <c r="I68" s="4"/>
      <c r="J68" s="4"/>
      <c r="K68" s="4"/>
      <c r="L68" s="4"/>
      <c r="M68" s="4"/>
      <c r="N68" s="4"/>
      <c r="O68" s="4"/>
      <c r="P68" s="4"/>
      <c r="Q68" s="4"/>
      <c r="R68" s="4"/>
      <c r="S68" s="4"/>
      <c r="T68" s="4"/>
      <c r="U68" s="4"/>
      <c r="V68" s="4"/>
      <c r="W68" s="4"/>
      <c r="X68" s="4"/>
      <c r="Y68" s="4"/>
    </row>
    <row r="69">
      <c r="A69" s="11">
        <v>68.0</v>
      </c>
      <c r="B69" s="11" t="s">
        <v>231</v>
      </c>
      <c r="C69" s="11" t="s">
        <v>232</v>
      </c>
      <c r="D69" s="11">
        <v>2022.0</v>
      </c>
      <c r="E69" s="11" t="s">
        <v>233</v>
      </c>
      <c r="F69" s="11" t="s">
        <v>65</v>
      </c>
      <c r="G69" s="11" t="s">
        <v>49</v>
      </c>
      <c r="H69" s="11" t="s">
        <v>1224</v>
      </c>
      <c r="I69" s="4"/>
      <c r="J69" s="4"/>
      <c r="K69" s="4"/>
      <c r="L69" s="4"/>
      <c r="M69" s="4"/>
      <c r="N69" s="4"/>
      <c r="O69" s="4"/>
      <c r="P69" s="4"/>
      <c r="Q69" s="4"/>
      <c r="R69" s="4"/>
      <c r="S69" s="4"/>
      <c r="T69" s="4"/>
      <c r="U69" s="4"/>
      <c r="V69" s="4"/>
      <c r="W69" s="4"/>
      <c r="X69" s="4"/>
      <c r="Y69" s="4"/>
    </row>
    <row r="70">
      <c r="A70" s="11">
        <v>69.0</v>
      </c>
      <c r="B70" s="11" t="s">
        <v>234</v>
      </c>
      <c r="C70" s="11" t="s">
        <v>235</v>
      </c>
      <c r="D70" s="11">
        <v>2024.0</v>
      </c>
      <c r="E70" s="11" t="s">
        <v>236</v>
      </c>
      <c r="F70" s="11" t="s">
        <v>65</v>
      </c>
      <c r="G70" s="11" t="s">
        <v>49</v>
      </c>
      <c r="H70" s="11" t="s">
        <v>1224</v>
      </c>
      <c r="I70" s="4"/>
      <c r="J70" s="4"/>
      <c r="K70" s="4"/>
      <c r="L70" s="4"/>
      <c r="M70" s="4"/>
      <c r="N70" s="4"/>
      <c r="O70" s="4"/>
      <c r="P70" s="4"/>
      <c r="Q70" s="4"/>
      <c r="R70" s="4"/>
      <c r="S70" s="4"/>
      <c r="T70" s="4"/>
      <c r="U70" s="4"/>
      <c r="V70" s="4"/>
      <c r="W70" s="4"/>
      <c r="X70" s="4"/>
      <c r="Y70" s="4"/>
    </row>
    <row r="71">
      <c r="A71" s="12">
        <v>70.0</v>
      </c>
      <c r="B71" s="18" t="s">
        <v>237</v>
      </c>
      <c r="C71" s="11" t="s">
        <v>238</v>
      </c>
      <c r="D71" s="11">
        <v>2022.0</v>
      </c>
      <c r="E71" s="11" t="s">
        <v>239</v>
      </c>
      <c r="F71" s="11" t="s">
        <v>65</v>
      </c>
      <c r="G71" s="11" t="s">
        <v>49</v>
      </c>
      <c r="H71" s="11" t="s">
        <v>1225</v>
      </c>
      <c r="I71" s="4"/>
      <c r="J71" s="4"/>
      <c r="K71" s="4"/>
      <c r="L71" s="4"/>
      <c r="M71" s="4"/>
      <c r="N71" s="4"/>
      <c r="O71" s="4"/>
      <c r="P71" s="4"/>
      <c r="Q71" s="4"/>
      <c r="R71" s="4"/>
      <c r="S71" s="4"/>
      <c r="T71" s="4"/>
      <c r="U71" s="4"/>
      <c r="V71" s="4"/>
      <c r="W71" s="4"/>
      <c r="X71" s="4"/>
      <c r="Y71" s="4"/>
    </row>
    <row r="72">
      <c r="A72" s="11">
        <v>71.0</v>
      </c>
      <c r="B72" s="11" t="s">
        <v>240</v>
      </c>
      <c r="C72" s="11" t="s">
        <v>241</v>
      </c>
      <c r="D72" s="11">
        <v>2020.0</v>
      </c>
      <c r="E72" s="11" t="s">
        <v>242</v>
      </c>
      <c r="F72" s="11" t="s">
        <v>65</v>
      </c>
      <c r="G72" s="11" t="s">
        <v>39</v>
      </c>
      <c r="H72" s="11" t="s">
        <v>1224</v>
      </c>
      <c r="I72" s="4"/>
      <c r="J72" s="4"/>
      <c r="K72" s="4"/>
      <c r="L72" s="4"/>
      <c r="M72" s="4"/>
      <c r="N72" s="4"/>
      <c r="O72" s="4"/>
      <c r="P72" s="4"/>
      <c r="Q72" s="4"/>
      <c r="R72" s="4"/>
      <c r="S72" s="4"/>
      <c r="T72" s="4"/>
      <c r="U72" s="4"/>
      <c r="V72" s="4"/>
      <c r="W72" s="4"/>
      <c r="X72" s="4"/>
      <c r="Y72" s="4"/>
    </row>
    <row r="73">
      <c r="A73" s="11">
        <v>72.0</v>
      </c>
      <c r="B73" s="11" t="s">
        <v>243</v>
      </c>
      <c r="C73" s="11" t="s">
        <v>244</v>
      </c>
      <c r="D73" s="11">
        <v>2019.0</v>
      </c>
      <c r="E73" s="11" t="s">
        <v>245</v>
      </c>
      <c r="F73" s="11" t="s">
        <v>65</v>
      </c>
      <c r="G73" s="11" t="s">
        <v>39</v>
      </c>
      <c r="H73" s="11" t="s">
        <v>1224</v>
      </c>
      <c r="I73" s="4"/>
      <c r="J73" s="4"/>
      <c r="K73" s="4"/>
      <c r="L73" s="4"/>
      <c r="M73" s="4"/>
      <c r="N73" s="4"/>
      <c r="O73" s="4"/>
      <c r="P73" s="4"/>
      <c r="Q73" s="4"/>
      <c r="R73" s="4"/>
      <c r="S73" s="4"/>
      <c r="T73" s="4"/>
      <c r="U73" s="4"/>
      <c r="V73" s="4"/>
      <c r="W73" s="4"/>
      <c r="X73" s="4"/>
      <c r="Y73" s="4"/>
    </row>
    <row r="74">
      <c r="A74" s="12">
        <v>73.0</v>
      </c>
      <c r="B74" s="11" t="s">
        <v>246</v>
      </c>
      <c r="C74" s="11" t="s">
        <v>247</v>
      </c>
      <c r="D74" s="11">
        <v>2022.0</v>
      </c>
      <c r="E74" s="11" t="s">
        <v>248</v>
      </c>
      <c r="F74" s="11" t="s">
        <v>65</v>
      </c>
      <c r="G74" s="11" t="s">
        <v>39</v>
      </c>
      <c r="H74" s="11" t="s">
        <v>1224</v>
      </c>
      <c r="I74" s="4"/>
      <c r="J74" s="4"/>
      <c r="K74" s="4"/>
      <c r="L74" s="4"/>
      <c r="M74" s="4"/>
      <c r="N74" s="4"/>
      <c r="O74" s="4"/>
      <c r="P74" s="4"/>
      <c r="Q74" s="4"/>
      <c r="R74" s="4"/>
      <c r="S74" s="4"/>
      <c r="T74" s="4"/>
      <c r="U74" s="4"/>
      <c r="V74" s="4"/>
      <c r="W74" s="4"/>
      <c r="X74" s="4"/>
      <c r="Y74" s="4"/>
    </row>
    <row r="75">
      <c r="A75" s="11">
        <v>74.0</v>
      </c>
      <c r="B75" s="11" t="s">
        <v>249</v>
      </c>
      <c r="C75" s="11" t="s">
        <v>250</v>
      </c>
      <c r="D75" s="11">
        <v>2021.0</v>
      </c>
      <c r="E75" s="11" t="s">
        <v>251</v>
      </c>
      <c r="F75" s="11" t="s">
        <v>65</v>
      </c>
      <c r="G75" s="11" t="s">
        <v>49</v>
      </c>
      <c r="H75" s="11" t="s">
        <v>1224</v>
      </c>
      <c r="I75" s="4"/>
      <c r="J75" s="4"/>
      <c r="K75" s="4"/>
      <c r="L75" s="4"/>
      <c r="M75" s="4"/>
      <c r="N75" s="4"/>
      <c r="O75" s="4"/>
      <c r="P75" s="4"/>
      <c r="Q75" s="4"/>
      <c r="R75" s="4"/>
      <c r="S75" s="4"/>
      <c r="T75" s="4"/>
      <c r="U75" s="4"/>
      <c r="V75" s="4"/>
      <c r="W75" s="4"/>
      <c r="X75" s="4"/>
      <c r="Y75" s="4"/>
    </row>
    <row r="76">
      <c r="A76" s="11">
        <v>75.0</v>
      </c>
      <c r="B76" s="11" t="s">
        <v>252</v>
      </c>
      <c r="C76" s="11" t="s">
        <v>253</v>
      </c>
      <c r="D76" s="11">
        <v>2022.0</v>
      </c>
      <c r="E76" s="11" t="s">
        <v>254</v>
      </c>
      <c r="F76" s="11" t="s">
        <v>65</v>
      </c>
      <c r="G76" s="11" t="s">
        <v>39</v>
      </c>
      <c r="H76" s="11" t="s">
        <v>1224</v>
      </c>
      <c r="I76" s="4"/>
      <c r="J76" s="4"/>
      <c r="K76" s="4"/>
      <c r="L76" s="4"/>
      <c r="M76" s="4"/>
      <c r="N76" s="4"/>
      <c r="O76" s="4"/>
      <c r="P76" s="4"/>
      <c r="Q76" s="4"/>
      <c r="R76" s="4"/>
      <c r="S76" s="4"/>
      <c r="T76" s="4"/>
      <c r="U76" s="4"/>
      <c r="V76" s="4"/>
      <c r="W76" s="4"/>
      <c r="X76" s="4"/>
      <c r="Y76" s="4"/>
    </row>
    <row r="77">
      <c r="A77" s="12">
        <v>76.0</v>
      </c>
      <c r="B77" s="18" t="s">
        <v>255</v>
      </c>
      <c r="C77" s="11" t="s">
        <v>256</v>
      </c>
      <c r="D77" s="11">
        <v>2023.0</v>
      </c>
      <c r="E77" s="11" t="s">
        <v>257</v>
      </c>
      <c r="F77" s="11" t="s">
        <v>65</v>
      </c>
      <c r="G77" s="11" t="s">
        <v>49</v>
      </c>
      <c r="H77" s="11" t="s">
        <v>1225</v>
      </c>
      <c r="I77" s="4"/>
      <c r="J77" s="4"/>
      <c r="K77" s="4"/>
      <c r="L77" s="4"/>
      <c r="M77" s="4"/>
      <c r="N77" s="4"/>
      <c r="O77" s="4"/>
      <c r="P77" s="4"/>
      <c r="Q77" s="4"/>
      <c r="R77" s="4"/>
      <c r="S77" s="4"/>
      <c r="T77" s="4"/>
      <c r="U77" s="4"/>
      <c r="V77" s="4"/>
      <c r="W77" s="4"/>
      <c r="X77" s="4"/>
      <c r="Y77" s="4"/>
    </row>
    <row r="78">
      <c r="A78" s="11">
        <v>77.0</v>
      </c>
      <c r="B78" s="18" t="s">
        <v>258</v>
      </c>
      <c r="C78" s="11" t="s">
        <v>259</v>
      </c>
      <c r="D78" s="11">
        <v>2021.0</v>
      </c>
      <c r="E78" s="11" t="s">
        <v>257</v>
      </c>
      <c r="F78" s="11" t="s">
        <v>65</v>
      </c>
      <c r="G78" s="11" t="s">
        <v>49</v>
      </c>
      <c r="H78" s="11" t="s">
        <v>1225</v>
      </c>
      <c r="I78" s="4"/>
      <c r="J78" s="4"/>
      <c r="K78" s="4"/>
      <c r="L78" s="4"/>
      <c r="M78" s="4"/>
      <c r="N78" s="4"/>
      <c r="O78" s="4"/>
      <c r="P78" s="4"/>
      <c r="Q78" s="4"/>
      <c r="R78" s="4"/>
      <c r="S78" s="4"/>
      <c r="T78" s="4"/>
      <c r="U78" s="4"/>
      <c r="V78" s="4"/>
      <c r="W78" s="4"/>
      <c r="X78" s="4"/>
      <c r="Y78" s="4"/>
    </row>
    <row r="79">
      <c r="A79" s="11">
        <v>78.0</v>
      </c>
      <c r="B79" s="11" t="s">
        <v>260</v>
      </c>
      <c r="C79" s="11" t="s">
        <v>261</v>
      </c>
      <c r="D79" s="11">
        <v>2020.0</v>
      </c>
      <c r="E79" s="11" t="s">
        <v>262</v>
      </c>
      <c r="F79" s="11" t="s">
        <v>65</v>
      </c>
      <c r="G79" s="11" t="s">
        <v>39</v>
      </c>
      <c r="H79" s="11" t="s">
        <v>1224</v>
      </c>
      <c r="I79" s="4"/>
      <c r="J79" s="4"/>
      <c r="K79" s="4"/>
      <c r="L79" s="4"/>
      <c r="M79" s="4"/>
      <c r="N79" s="4"/>
      <c r="O79" s="4"/>
      <c r="P79" s="4"/>
      <c r="Q79" s="4"/>
      <c r="R79" s="4"/>
      <c r="S79" s="4"/>
      <c r="T79" s="4"/>
      <c r="U79" s="4"/>
      <c r="V79" s="4"/>
      <c r="W79" s="4"/>
      <c r="X79" s="4"/>
      <c r="Y79" s="4"/>
    </row>
    <row r="80">
      <c r="A80" s="12">
        <v>79.0</v>
      </c>
      <c r="B80" s="11" t="s">
        <v>263</v>
      </c>
      <c r="C80" s="11" t="s">
        <v>264</v>
      </c>
      <c r="D80" s="11">
        <v>2025.0</v>
      </c>
      <c r="E80" s="11" t="s">
        <v>181</v>
      </c>
      <c r="F80" s="11" t="s">
        <v>65</v>
      </c>
      <c r="G80" s="11" t="s">
        <v>49</v>
      </c>
      <c r="H80" s="11" t="s">
        <v>1224</v>
      </c>
      <c r="I80" s="4"/>
      <c r="J80" s="4"/>
      <c r="K80" s="4"/>
      <c r="L80" s="4"/>
      <c r="M80" s="4"/>
      <c r="N80" s="4"/>
      <c r="O80" s="4"/>
      <c r="P80" s="4"/>
      <c r="Q80" s="4"/>
      <c r="R80" s="4"/>
      <c r="S80" s="4"/>
      <c r="T80" s="4"/>
      <c r="U80" s="4"/>
      <c r="V80" s="4"/>
      <c r="W80" s="4"/>
      <c r="X80" s="4"/>
      <c r="Y80" s="4"/>
    </row>
    <row r="81">
      <c r="A81" s="11">
        <v>80.0</v>
      </c>
      <c r="B81" s="18" t="s">
        <v>265</v>
      </c>
      <c r="C81" s="11" t="s">
        <v>266</v>
      </c>
      <c r="D81" s="11">
        <v>2023.0</v>
      </c>
      <c r="E81" s="11" t="s">
        <v>221</v>
      </c>
      <c r="F81" s="11" t="s">
        <v>65</v>
      </c>
      <c r="G81" s="11" t="s">
        <v>49</v>
      </c>
      <c r="H81" s="11" t="s">
        <v>1225</v>
      </c>
      <c r="I81" s="4"/>
      <c r="J81" s="4"/>
      <c r="K81" s="4"/>
      <c r="L81" s="4"/>
      <c r="M81" s="4"/>
      <c r="N81" s="4"/>
      <c r="O81" s="4"/>
      <c r="P81" s="4"/>
      <c r="Q81" s="4"/>
      <c r="R81" s="4"/>
      <c r="S81" s="4"/>
      <c r="T81" s="4"/>
      <c r="U81" s="4"/>
      <c r="V81" s="4"/>
      <c r="W81" s="4"/>
      <c r="X81" s="4"/>
      <c r="Y81" s="4"/>
    </row>
    <row r="82">
      <c r="A82" s="11">
        <v>81.0</v>
      </c>
      <c r="B82" s="11" t="s">
        <v>267</v>
      </c>
      <c r="C82" s="11" t="s">
        <v>268</v>
      </c>
      <c r="D82" s="11">
        <v>2022.0</v>
      </c>
      <c r="E82" s="11" t="s">
        <v>269</v>
      </c>
      <c r="F82" s="11" t="s">
        <v>65</v>
      </c>
      <c r="G82" s="11" t="s">
        <v>49</v>
      </c>
      <c r="H82" s="11" t="s">
        <v>1224</v>
      </c>
      <c r="I82" s="4"/>
      <c r="J82" s="4"/>
      <c r="K82" s="4"/>
      <c r="L82" s="4"/>
      <c r="M82" s="4"/>
      <c r="N82" s="4"/>
      <c r="O82" s="4"/>
      <c r="P82" s="4"/>
      <c r="Q82" s="4"/>
      <c r="R82" s="4"/>
      <c r="S82" s="4"/>
      <c r="T82" s="4"/>
      <c r="U82" s="4"/>
      <c r="V82" s="4"/>
      <c r="W82" s="4"/>
      <c r="X82" s="4"/>
      <c r="Y82" s="4"/>
    </row>
    <row r="83">
      <c r="A83" s="12">
        <v>82.0</v>
      </c>
      <c r="B83" s="11" t="s">
        <v>270</v>
      </c>
      <c r="C83" s="11" t="s">
        <v>271</v>
      </c>
      <c r="D83" s="11">
        <v>2021.0</v>
      </c>
      <c r="E83" s="11" t="s">
        <v>92</v>
      </c>
      <c r="F83" s="11" t="s">
        <v>65</v>
      </c>
      <c r="G83" s="11" t="s">
        <v>49</v>
      </c>
      <c r="H83" s="11" t="s">
        <v>1224</v>
      </c>
      <c r="I83" s="4"/>
      <c r="J83" s="4"/>
      <c r="K83" s="4"/>
      <c r="L83" s="4"/>
      <c r="M83" s="4"/>
      <c r="N83" s="4"/>
      <c r="O83" s="4"/>
      <c r="P83" s="4"/>
      <c r="Q83" s="4"/>
      <c r="R83" s="4"/>
      <c r="S83" s="4"/>
      <c r="T83" s="4"/>
      <c r="U83" s="4"/>
      <c r="V83" s="4"/>
      <c r="W83" s="4"/>
      <c r="X83" s="4"/>
      <c r="Y83" s="4"/>
    </row>
    <row r="84">
      <c r="A84" s="11">
        <v>83.0</v>
      </c>
      <c r="B84" s="11" t="s">
        <v>272</v>
      </c>
      <c r="C84" s="11" t="s">
        <v>273</v>
      </c>
      <c r="D84" s="11">
        <v>2020.0</v>
      </c>
      <c r="E84" s="11" t="s">
        <v>192</v>
      </c>
      <c r="F84" s="11" t="s">
        <v>65</v>
      </c>
      <c r="G84" s="11" t="s">
        <v>49</v>
      </c>
      <c r="H84" s="11" t="s">
        <v>1224</v>
      </c>
      <c r="I84" s="4"/>
      <c r="J84" s="4"/>
      <c r="K84" s="4"/>
      <c r="L84" s="4"/>
      <c r="M84" s="4"/>
      <c r="N84" s="4"/>
      <c r="O84" s="4"/>
      <c r="P84" s="4"/>
      <c r="Q84" s="4"/>
      <c r="R84" s="4"/>
      <c r="S84" s="4"/>
      <c r="T84" s="4"/>
      <c r="U84" s="4"/>
      <c r="V84" s="4"/>
      <c r="W84" s="4"/>
      <c r="X84" s="4"/>
      <c r="Y84" s="4"/>
    </row>
    <row r="85">
      <c r="A85" s="11">
        <v>84.0</v>
      </c>
      <c r="B85" s="11" t="s">
        <v>274</v>
      </c>
      <c r="C85" s="11" t="s">
        <v>275</v>
      </c>
      <c r="D85" s="11">
        <v>2022.0</v>
      </c>
      <c r="E85" s="11" t="s">
        <v>233</v>
      </c>
      <c r="F85" s="11" t="s">
        <v>65</v>
      </c>
      <c r="G85" s="11" t="s">
        <v>49</v>
      </c>
      <c r="H85" s="11" t="s">
        <v>1224</v>
      </c>
      <c r="I85" s="4"/>
      <c r="J85" s="4"/>
      <c r="K85" s="4"/>
      <c r="L85" s="4"/>
      <c r="M85" s="4"/>
      <c r="N85" s="4"/>
      <c r="O85" s="4"/>
      <c r="P85" s="4"/>
      <c r="Q85" s="4"/>
      <c r="R85" s="4"/>
      <c r="S85" s="4"/>
      <c r="T85" s="4"/>
      <c r="U85" s="4"/>
      <c r="V85" s="4"/>
      <c r="W85" s="4"/>
      <c r="X85" s="4"/>
      <c r="Y85" s="4"/>
    </row>
    <row r="86">
      <c r="A86" s="12">
        <v>85.0</v>
      </c>
      <c r="B86" s="11" t="s">
        <v>276</v>
      </c>
      <c r="C86" s="11" t="s">
        <v>277</v>
      </c>
      <c r="D86" s="11">
        <v>2020.0</v>
      </c>
      <c r="E86" s="11" t="s">
        <v>278</v>
      </c>
      <c r="F86" s="11" t="s">
        <v>65</v>
      </c>
      <c r="G86" s="11" t="s">
        <v>49</v>
      </c>
      <c r="H86" s="11" t="s">
        <v>1224</v>
      </c>
      <c r="I86" s="4"/>
      <c r="J86" s="4"/>
      <c r="K86" s="4"/>
      <c r="L86" s="4"/>
      <c r="M86" s="4"/>
      <c r="N86" s="4"/>
      <c r="O86" s="4"/>
      <c r="P86" s="4"/>
      <c r="Q86" s="4"/>
      <c r="R86" s="4"/>
      <c r="S86" s="4"/>
      <c r="T86" s="4"/>
      <c r="U86" s="4"/>
      <c r="V86" s="4"/>
      <c r="W86" s="4"/>
      <c r="X86" s="4"/>
      <c r="Y86" s="4"/>
    </row>
    <row r="87">
      <c r="A87" s="11">
        <v>86.0</v>
      </c>
      <c r="B87" s="11" t="s">
        <v>279</v>
      </c>
      <c r="C87" s="11" t="s">
        <v>280</v>
      </c>
      <c r="D87" s="11">
        <v>2023.0</v>
      </c>
      <c r="E87" s="11" t="s">
        <v>281</v>
      </c>
      <c r="F87" s="11" t="s">
        <v>65</v>
      </c>
      <c r="G87" s="11" t="s">
        <v>49</v>
      </c>
      <c r="H87" s="11" t="s">
        <v>1224</v>
      </c>
      <c r="I87" s="4"/>
      <c r="J87" s="4"/>
      <c r="K87" s="4"/>
      <c r="L87" s="4"/>
      <c r="M87" s="4"/>
      <c r="N87" s="4"/>
      <c r="O87" s="4"/>
      <c r="P87" s="4"/>
      <c r="Q87" s="4"/>
      <c r="R87" s="4"/>
      <c r="S87" s="4"/>
      <c r="T87" s="4"/>
      <c r="U87" s="4"/>
      <c r="V87" s="4"/>
      <c r="W87" s="4"/>
      <c r="X87" s="4"/>
      <c r="Y87" s="4"/>
    </row>
    <row r="88">
      <c r="A88" s="11">
        <v>87.0</v>
      </c>
      <c r="B88" s="11" t="s">
        <v>282</v>
      </c>
      <c r="C88" s="11" t="s">
        <v>283</v>
      </c>
      <c r="D88" s="11">
        <v>2024.0</v>
      </c>
      <c r="E88" s="11" t="s">
        <v>284</v>
      </c>
      <c r="F88" s="11" t="s">
        <v>65</v>
      </c>
      <c r="G88" s="11" t="s">
        <v>49</v>
      </c>
      <c r="H88" s="11" t="s">
        <v>1224</v>
      </c>
      <c r="I88" s="4"/>
      <c r="J88" s="4"/>
      <c r="K88" s="4"/>
      <c r="L88" s="4"/>
      <c r="M88" s="4"/>
      <c r="N88" s="4"/>
      <c r="O88" s="4"/>
      <c r="P88" s="4"/>
      <c r="Q88" s="4"/>
      <c r="R88" s="4"/>
      <c r="S88" s="4"/>
      <c r="T88" s="4"/>
      <c r="U88" s="4"/>
      <c r="V88" s="4"/>
      <c r="W88" s="4"/>
      <c r="X88" s="4"/>
      <c r="Y88" s="4"/>
    </row>
    <row r="89">
      <c r="A89" s="12">
        <v>88.0</v>
      </c>
      <c r="B89" s="11" t="s">
        <v>285</v>
      </c>
      <c r="C89" s="11" t="s">
        <v>286</v>
      </c>
      <c r="D89" s="11">
        <v>2021.0</v>
      </c>
      <c r="E89" s="11" t="s">
        <v>287</v>
      </c>
      <c r="F89" s="11" t="s">
        <v>65</v>
      </c>
      <c r="G89" s="11" t="s">
        <v>49</v>
      </c>
      <c r="H89" s="11" t="s">
        <v>1224</v>
      </c>
      <c r="I89" s="4"/>
      <c r="J89" s="4"/>
      <c r="K89" s="4"/>
      <c r="L89" s="4"/>
      <c r="M89" s="4"/>
      <c r="N89" s="4"/>
      <c r="O89" s="4"/>
      <c r="P89" s="4"/>
      <c r="Q89" s="4"/>
      <c r="R89" s="4"/>
      <c r="S89" s="4"/>
      <c r="T89" s="4"/>
      <c r="U89" s="4"/>
      <c r="V89" s="4"/>
      <c r="W89" s="4"/>
      <c r="X89" s="4"/>
      <c r="Y89" s="4"/>
    </row>
    <row r="90">
      <c r="A90" s="11">
        <v>89.0</v>
      </c>
      <c r="B90" s="11" t="s">
        <v>288</v>
      </c>
      <c r="C90" s="11" t="s">
        <v>289</v>
      </c>
      <c r="D90" s="11">
        <v>2020.0</v>
      </c>
      <c r="E90" s="11" t="s">
        <v>290</v>
      </c>
      <c r="F90" s="11" t="s">
        <v>65</v>
      </c>
      <c r="G90" s="11" t="s">
        <v>39</v>
      </c>
      <c r="H90" s="11" t="s">
        <v>1224</v>
      </c>
      <c r="I90" s="4"/>
      <c r="J90" s="4"/>
      <c r="K90" s="4"/>
      <c r="L90" s="4"/>
      <c r="M90" s="4"/>
      <c r="N90" s="4"/>
      <c r="O90" s="4"/>
      <c r="P90" s="4"/>
      <c r="Q90" s="4"/>
      <c r="R90" s="4"/>
      <c r="S90" s="4"/>
      <c r="T90" s="4"/>
      <c r="U90" s="4"/>
      <c r="V90" s="4"/>
      <c r="W90" s="4"/>
      <c r="X90" s="4"/>
      <c r="Y90" s="4"/>
    </row>
    <row r="91">
      <c r="A91" s="11">
        <v>90.0</v>
      </c>
      <c r="B91" s="11" t="s">
        <v>291</v>
      </c>
      <c r="C91" s="11" t="s">
        <v>292</v>
      </c>
      <c r="D91" s="11">
        <v>2021.0</v>
      </c>
      <c r="E91" s="11" t="s">
        <v>293</v>
      </c>
      <c r="F91" s="11" t="s">
        <v>65</v>
      </c>
      <c r="G91" s="11" t="s">
        <v>39</v>
      </c>
      <c r="H91" s="11" t="s">
        <v>1224</v>
      </c>
      <c r="I91" s="4"/>
      <c r="J91" s="4"/>
      <c r="K91" s="4"/>
      <c r="L91" s="4"/>
      <c r="M91" s="4"/>
      <c r="N91" s="4"/>
      <c r="O91" s="4"/>
      <c r="P91" s="4"/>
      <c r="Q91" s="4"/>
      <c r="R91" s="4"/>
      <c r="S91" s="4"/>
      <c r="T91" s="4"/>
      <c r="U91" s="4"/>
      <c r="V91" s="4"/>
      <c r="W91" s="4"/>
      <c r="X91" s="4"/>
      <c r="Y91" s="4"/>
    </row>
    <row r="92">
      <c r="A92" s="12">
        <v>91.0</v>
      </c>
      <c r="B92" s="18" t="s">
        <v>294</v>
      </c>
      <c r="C92" s="11" t="s">
        <v>295</v>
      </c>
      <c r="D92" s="11">
        <v>2022.0</v>
      </c>
      <c r="E92" s="11" t="s">
        <v>212</v>
      </c>
      <c r="F92" s="11" t="s">
        <v>65</v>
      </c>
      <c r="G92" s="11" t="s">
        <v>49</v>
      </c>
      <c r="H92" s="11" t="s">
        <v>1225</v>
      </c>
      <c r="I92" s="4"/>
      <c r="J92" s="4"/>
      <c r="K92" s="4"/>
      <c r="L92" s="4"/>
      <c r="M92" s="4"/>
      <c r="N92" s="4"/>
      <c r="O92" s="4"/>
      <c r="P92" s="4"/>
      <c r="Q92" s="4"/>
      <c r="R92" s="4"/>
      <c r="S92" s="4"/>
      <c r="T92" s="4"/>
      <c r="U92" s="4"/>
      <c r="V92" s="4"/>
      <c r="W92" s="4"/>
      <c r="X92" s="4"/>
      <c r="Y92" s="4"/>
    </row>
    <row r="93">
      <c r="A93" s="11">
        <v>92.0</v>
      </c>
      <c r="B93" s="11" t="s">
        <v>296</v>
      </c>
      <c r="C93" s="11" t="s">
        <v>297</v>
      </c>
      <c r="D93" s="11">
        <v>2020.0</v>
      </c>
      <c r="E93" s="11" t="s">
        <v>192</v>
      </c>
      <c r="F93" s="11" t="s">
        <v>65</v>
      </c>
      <c r="G93" s="11" t="s">
        <v>49</v>
      </c>
      <c r="H93" s="11" t="s">
        <v>1224</v>
      </c>
      <c r="I93" s="4"/>
      <c r="J93" s="4"/>
      <c r="K93" s="4"/>
      <c r="L93" s="4"/>
      <c r="M93" s="4"/>
      <c r="N93" s="4"/>
      <c r="O93" s="4"/>
      <c r="P93" s="4"/>
      <c r="Q93" s="4"/>
      <c r="R93" s="4"/>
      <c r="S93" s="4"/>
      <c r="T93" s="4"/>
      <c r="U93" s="4"/>
      <c r="V93" s="4"/>
      <c r="W93" s="4"/>
      <c r="X93" s="4"/>
      <c r="Y93" s="4"/>
    </row>
    <row r="94">
      <c r="A94" s="11">
        <v>93.0</v>
      </c>
      <c r="B94" s="11" t="s">
        <v>298</v>
      </c>
      <c r="C94" s="11" t="s">
        <v>299</v>
      </c>
      <c r="D94" s="11">
        <v>2021.0</v>
      </c>
      <c r="E94" s="11" t="s">
        <v>300</v>
      </c>
      <c r="F94" s="11" t="s">
        <v>65</v>
      </c>
      <c r="G94" s="11" t="s">
        <v>49</v>
      </c>
      <c r="H94" s="11" t="s">
        <v>1224</v>
      </c>
      <c r="I94" s="4"/>
      <c r="J94" s="4"/>
      <c r="K94" s="4"/>
      <c r="L94" s="4"/>
      <c r="M94" s="4"/>
      <c r="N94" s="4"/>
      <c r="O94" s="4"/>
      <c r="P94" s="4"/>
      <c r="Q94" s="4"/>
      <c r="R94" s="4"/>
      <c r="S94" s="4"/>
      <c r="T94" s="4"/>
      <c r="U94" s="4"/>
      <c r="V94" s="4"/>
      <c r="W94" s="4"/>
      <c r="X94" s="4"/>
      <c r="Y94" s="4"/>
    </row>
    <row r="95">
      <c r="A95" s="12">
        <v>94.0</v>
      </c>
      <c r="B95" s="11" t="s">
        <v>301</v>
      </c>
      <c r="C95" s="11" t="s">
        <v>302</v>
      </c>
      <c r="D95" s="11">
        <v>2019.0</v>
      </c>
      <c r="E95" s="11" t="s">
        <v>192</v>
      </c>
      <c r="F95" s="11" t="s">
        <v>65</v>
      </c>
      <c r="G95" s="11" t="s">
        <v>49</v>
      </c>
      <c r="H95" s="11" t="s">
        <v>1224</v>
      </c>
      <c r="I95" s="4"/>
      <c r="J95" s="4"/>
      <c r="K95" s="4"/>
      <c r="L95" s="4"/>
      <c r="M95" s="4"/>
      <c r="N95" s="4"/>
      <c r="O95" s="4"/>
      <c r="P95" s="4"/>
      <c r="Q95" s="4"/>
      <c r="R95" s="4"/>
      <c r="S95" s="4"/>
      <c r="T95" s="4"/>
      <c r="U95" s="4"/>
      <c r="V95" s="4"/>
      <c r="W95" s="4"/>
      <c r="X95" s="4"/>
      <c r="Y95" s="4"/>
    </row>
    <row r="96">
      <c r="A96" s="11">
        <v>95.0</v>
      </c>
      <c r="B96" s="18" t="s">
        <v>303</v>
      </c>
      <c r="C96" s="11" t="s">
        <v>304</v>
      </c>
      <c r="D96" s="11">
        <v>2023.0</v>
      </c>
      <c r="E96" s="11" t="s">
        <v>118</v>
      </c>
      <c r="F96" s="11" t="s">
        <v>65</v>
      </c>
      <c r="G96" s="11" t="s">
        <v>49</v>
      </c>
      <c r="H96" s="11" t="s">
        <v>1225</v>
      </c>
      <c r="I96" s="4"/>
      <c r="J96" s="4"/>
      <c r="K96" s="4"/>
      <c r="L96" s="4"/>
      <c r="M96" s="4"/>
      <c r="N96" s="4"/>
      <c r="O96" s="4"/>
      <c r="P96" s="4"/>
      <c r="Q96" s="4"/>
      <c r="R96" s="4"/>
      <c r="S96" s="4"/>
      <c r="T96" s="4"/>
      <c r="U96" s="4"/>
      <c r="V96" s="4"/>
      <c r="W96" s="4"/>
      <c r="X96" s="4"/>
      <c r="Y96" s="4"/>
    </row>
    <row r="97">
      <c r="A97" s="11">
        <v>96.0</v>
      </c>
      <c r="B97" s="18" t="s">
        <v>305</v>
      </c>
      <c r="C97" s="11" t="s">
        <v>306</v>
      </c>
      <c r="D97" s="11">
        <v>2019.0</v>
      </c>
      <c r="E97" s="11" t="s">
        <v>307</v>
      </c>
      <c r="F97" s="11" t="s">
        <v>65</v>
      </c>
      <c r="G97" s="11" t="s">
        <v>39</v>
      </c>
      <c r="H97" s="11" t="s">
        <v>1225</v>
      </c>
      <c r="I97" s="4"/>
      <c r="J97" s="4"/>
      <c r="K97" s="4"/>
      <c r="L97" s="4"/>
      <c r="M97" s="4"/>
      <c r="N97" s="4"/>
      <c r="O97" s="4"/>
      <c r="P97" s="4"/>
      <c r="Q97" s="4"/>
      <c r="R97" s="4"/>
      <c r="S97" s="4"/>
      <c r="T97" s="4"/>
      <c r="U97" s="4"/>
      <c r="V97" s="4"/>
      <c r="W97" s="4"/>
      <c r="X97" s="4"/>
      <c r="Y97" s="4"/>
    </row>
    <row r="98">
      <c r="A98" s="12">
        <v>97.0</v>
      </c>
      <c r="B98" s="18" t="s">
        <v>308</v>
      </c>
      <c r="C98" s="11" t="s">
        <v>309</v>
      </c>
      <c r="D98" s="11">
        <v>2022.0</v>
      </c>
      <c r="E98" s="11" t="s">
        <v>310</v>
      </c>
      <c r="F98" s="11" t="s">
        <v>65</v>
      </c>
      <c r="G98" s="11" t="s">
        <v>49</v>
      </c>
      <c r="H98" s="11" t="s">
        <v>1225</v>
      </c>
      <c r="I98" s="4"/>
      <c r="J98" s="4"/>
      <c r="K98" s="4"/>
      <c r="L98" s="4"/>
      <c r="M98" s="4"/>
      <c r="N98" s="4"/>
      <c r="O98" s="4"/>
      <c r="P98" s="4"/>
      <c r="Q98" s="4"/>
      <c r="R98" s="4"/>
      <c r="S98" s="4"/>
      <c r="T98" s="4"/>
      <c r="U98" s="4"/>
      <c r="V98" s="4"/>
      <c r="W98" s="4"/>
      <c r="X98" s="4"/>
      <c r="Y98" s="4"/>
    </row>
    <row r="99">
      <c r="A99" s="11">
        <v>98.0</v>
      </c>
      <c r="B99" s="11" t="s">
        <v>311</v>
      </c>
      <c r="C99" s="11" t="s">
        <v>312</v>
      </c>
      <c r="D99" s="11">
        <v>2022.0</v>
      </c>
      <c r="E99" s="11" t="s">
        <v>313</v>
      </c>
      <c r="F99" s="11" t="s">
        <v>65</v>
      </c>
      <c r="G99" s="11" t="s">
        <v>49</v>
      </c>
      <c r="H99" s="11" t="s">
        <v>1224</v>
      </c>
      <c r="I99" s="4"/>
      <c r="J99" s="4"/>
      <c r="K99" s="4"/>
      <c r="L99" s="4"/>
      <c r="M99" s="4"/>
      <c r="N99" s="4"/>
      <c r="O99" s="4"/>
      <c r="P99" s="4"/>
      <c r="Q99" s="4"/>
      <c r="R99" s="4"/>
      <c r="S99" s="4"/>
      <c r="T99" s="4"/>
      <c r="U99" s="4"/>
      <c r="V99" s="4"/>
      <c r="W99" s="4"/>
      <c r="X99" s="4"/>
      <c r="Y99" s="4"/>
    </row>
    <row r="100">
      <c r="A100" s="11">
        <v>99.0</v>
      </c>
      <c r="B100" s="11" t="s">
        <v>314</v>
      </c>
      <c r="C100" s="11" t="s">
        <v>315</v>
      </c>
      <c r="D100" s="11">
        <v>2019.0</v>
      </c>
      <c r="E100" s="11" t="s">
        <v>316</v>
      </c>
      <c r="F100" s="11" t="s">
        <v>65</v>
      </c>
      <c r="G100" s="11" t="s">
        <v>49</v>
      </c>
      <c r="H100" s="11" t="s">
        <v>1224</v>
      </c>
      <c r="I100" s="4"/>
      <c r="J100" s="4"/>
      <c r="K100" s="4"/>
      <c r="L100" s="4"/>
      <c r="M100" s="4"/>
      <c r="N100" s="4"/>
      <c r="O100" s="4"/>
      <c r="P100" s="4"/>
      <c r="Q100" s="4"/>
      <c r="R100" s="4"/>
      <c r="S100" s="4"/>
      <c r="T100" s="4"/>
      <c r="U100" s="4"/>
      <c r="V100" s="4"/>
      <c r="W100" s="4"/>
      <c r="X100" s="4"/>
      <c r="Y100" s="4"/>
    </row>
    <row r="101">
      <c r="A101" s="12">
        <v>100.0</v>
      </c>
      <c r="B101" s="11" t="s">
        <v>317</v>
      </c>
      <c r="C101" s="11" t="s">
        <v>318</v>
      </c>
      <c r="D101" s="11">
        <v>2021.0</v>
      </c>
      <c r="E101" s="11" t="s">
        <v>319</v>
      </c>
      <c r="F101" s="11" t="s">
        <v>65</v>
      </c>
      <c r="G101" s="11" t="s">
        <v>39</v>
      </c>
      <c r="H101" s="11" t="s">
        <v>1224</v>
      </c>
      <c r="I101" s="4"/>
      <c r="J101" s="4"/>
      <c r="K101" s="4"/>
      <c r="L101" s="4"/>
      <c r="M101" s="4"/>
      <c r="N101" s="4"/>
      <c r="O101" s="4"/>
      <c r="P101" s="4"/>
      <c r="Q101" s="4"/>
      <c r="R101" s="4"/>
      <c r="S101" s="4"/>
      <c r="T101" s="4"/>
      <c r="U101" s="4"/>
      <c r="V101" s="4"/>
      <c r="W101" s="4"/>
      <c r="X101" s="4"/>
      <c r="Y101" s="4"/>
    </row>
    <row r="102">
      <c r="A102" s="11">
        <v>101.0</v>
      </c>
      <c r="B102" s="18" t="s">
        <v>320</v>
      </c>
      <c r="C102" s="11" t="s">
        <v>321</v>
      </c>
      <c r="D102" s="11">
        <v>2020.0</v>
      </c>
      <c r="E102" s="11" t="s">
        <v>322</v>
      </c>
      <c r="F102" s="11" t="s">
        <v>65</v>
      </c>
      <c r="G102" s="11" t="s">
        <v>39</v>
      </c>
      <c r="H102" s="11" t="s">
        <v>1225</v>
      </c>
      <c r="I102" s="4"/>
      <c r="J102" s="4"/>
      <c r="K102" s="4"/>
      <c r="L102" s="4"/>
      <c r="M102" s="4"/>
      <c r="N102" s="4"/>
      <c r="O102" s="4"/>
      <c r="P102" s="4"/>
      <c r="Q102" s="4"/>
      <c r="R102" s="4"/>
      <c r="S102" s="4"/>
      <c r="T102" s="4"/>
      <c r="U102" s="4"/>
      <c r="V102" s="4"/>
      <c r="W102" s="4"/>
      <c r="X102" s="4"/>
      <c r="Y102" s="4"/>
    </row>
    <row r="103">
      <c r="A103" s="11">
        <v>102.0</v>
      </c>
      <c r="B103" s="18" t="s">
        <v>323</v>
      </c>
      <c r="C103" s="11" t="s">
        <v>324</v>
      </c>
      <c r="D103" s="11">
        <v>2020.0</v>
      </c>
      <c r="E103" s="11" t="s">
        <v>192</v>
      </c>
      <c r="F103" s="11" t="s">
        <v>65</v>
      </c>
      <c r="G103" s="11" t="s">
        <v>49</v>
      </c>
      <c r="H103" s="11" t="s">
        <v>1225</v>
      </c>
      <c r="I103" s="4"/>
      <c r="J103" s="4"/>
      <c r="K103" s="4"/>
      <c r="L103" s="4"/>
      <c r="M103" s="4"/>
      <c r="N103" s="4"/>
      <c r="O103" s="4"/>
      <c r="P103" s="4"/>
      <c r="Q103" s="4"/>
      <c r="R103" s="4"/>
      <c r="S103" s="4"/>
      <c r="T103" s="4"/>
      <c r="U103" s="4"/>
      <c r="V103" s="4"/>
      <c r="W103" s="4"/>
      <c r="X103" s="4"/>
      <c r="Y103" s="4"/>
    </row>
    <row r="104">
      <c r="A104" s="12">
        <v>103.0</v>
      </c>
      <c r="B104" s="11" t="s">
        <v>325</v>
      </c>
      <c r="C104" s="11" t="s">
        <v>326</v>
      </c>
      <c r="D104" s="11">
        <v>2022.0</v>
      </c>
      <c r="E104" s="11" t="s">
        <v>327</v>
      </c>
      <c r="F104" s="11" t="s">
        <v>65</v>
      </c>
      <c r="G104" s="11" t="s">
        <v>49</v>
      </c>
      <c r="H104" s="11" t="s">
        <v>1224</v>
      </c>
      <c r="I104" s="4"/>
      <c r="J104" s="4"/>
      <c r="K104" s="4"/>
      <c r="L104" s="4"/>
      <c r="M104" s="4"/>
      <c r="N104" s="4"/>
      <c r="O104" s="4"/>
      <c r="P104" s="4"/>
      <c r="Q104" s="4"/>
      <c r="R104" s="4"/>
      <c r="S104" s="4"/>
      <c r="T104" s="4"/>
      <c r="U104" s="4"/>
      <c r="V104" s="4"/>
      <c r="W104" s="4"/>
      <c r="X104" s="4"/>
      <c r="Y104" s="4"/>
    </row>
    <row r="105">
      <c r="A105" s="11">
        <v>104.0</v>
      </c>
      <c r="B105" s="11" t="s">
        <v>328</v>
      </c>
      <c r="C105" s="11" t="s">
        <v>329</v>
      </c>
      <c r="D105" s="11">
        <v>2019.0</v>
      </c>
      <c r="E105" s="11" t="s">
        <v>330</v>
      </c>
      <c r="F105" s="11" t="s">
        <v>65</v>
      </c>
      <c r="G105" s="11" t="s">
        <v>39</v>
      </c>
      <c r="H105" s="11" t="s">
        <v>1224</v>
      </c>
      <c r="I105" s="4"/>
      <c r="J105" s="4"/>
      <c r="K105" s="4"/>
      <c r="L105" s="4"/>
      <c r="M105" s="4"/>
      <c r="N105" s="4"/>
      <c r="O105" s="4"/>
      <c r="P105" s="4"/>
      <c r="Q105" s="4"/>
      <c r="R105" s="4"/>
      <c r="S105" s="4"/>
      <c r="T105" s="4"/>
      <c r="U105" s="4"/>
      <c r="V105" s="4"/>
      <c r="W105" s="4"/>
      <c r="X105" s="4"/>
      <c r="Y105" s="4"/>
    </row>
    <row r="106">
      <c r="A106" s="11">
        <v>105.0</v>
      </c>
      <c r="B106" s="18" t="s">
        <v>331</v>
      </c>
      <c r="C106" s="11" t="s">
        <v>332</v>
      </c>
      <c r="D106" s="11">
        <v>2018.0</v>
      </c>
      <c r="E106" s="11" t="s">
        <v>224</v>
      </c>
      <c r="F106" s="11" t="s">
        <v>65</v>
      </c>
      <c r="G106" s="11" t="s">
        <v>49</v>
      </c>
      <c r="H106" s="11" t="s">
        <v>1225</v>
      </c>
      <c r="I106" s="4"/>
      <c r="J106" s="4"/>
      <c r="K106" s="4"/>
      <c r="L106" s="4"/>
      <c r="M106" s="4"/>
      <c r="N106" s="4"/>
      <c r="O106" s="4"/>
      <c r="P106" s="4"/>
      <c r="Q106" s="4"/>
      <c r="R106" s="4"/>
      <c r="S106" s="4"/>
      <c r="T106" s="4"/>
      <c r="U106" s="4"/>
      <c r="V106" s="4"/>
      <c r="W106" s="4"/>
      <c r="X106" s="4"/>
      <c r="Y106" s="4"/>
    </row>
    <row r="107">
      <c r="A107" s="12">
        <v>106.0</v>
      </c>
      <c r="B107" s="11" t="s">
        <v>333</v>
      </c>
      <c r="C107" s="11" t="s">
        <v>334</v>
      </c>
      <c r="D107" s="11">
        <v>2018.0</v>
      </c>
      <c r="E107" s="11" t="s">
        <v>335</v>
      </c>
      <c r="F107" s="11" t="s">
        <v>65</v>
      </c>
      <c r="G107" s="11" t="s">
        <v>49</v>
      </c>
      <c r="H107" s="11" t="s">
        <v>1224</v>
      </c>
      <c r="I107" s="4"/>
      <c r="J107" s="4"/>
      <c r="K107" s="4"/>
      <c r="L107" s="4"/>
      <c r="M107" s="4"/>
      <c r="N107" s="4"/>
      <c r="O107" s="4"/>
      <c r="P107" s="4"/>
      <c r="Q107" s="4"/>
      <c r="R107" s="4"/>
      <c r="S107" s="4"/>
      <c r="T107" s="4"/>
      <c r="U107" s="4"/>
      <c r="V107" s="4"/>
      <c r="W107" s="4"/>
      <c r="X107" s="4"/>
      <c r="Y107" s="4"/>
    </row>
    <row r="108">
      <c r="A108" s="11">
        <v>107.0</v>
      </c>
      <c r="B108" s="11" t="s">
        <v>336</v>
      </c>
      <c r="C108" s="11" t="s">
        <v>337</v>
      </c>
      <c r="D108" s="11">
        <v>2019.0</v>
      </c>
      <c r="E108" s="11" t="s">
        <v>167</v>
      </c>
      <c r="F108" s="11" t="s">
        <v>65</v>
      </c>
      <c r="G108" s="11" t="s">
        <v>39</v>
      </c>
      <c r="H108" s="11" t="s">
        <v>1224</v>
      </c>
      <c r="I108" s="4"/>
      <c r="J108" s="4"/>
      <c r="K108" s="4"/>
      <c r="L108" s="4"/>
      <c r="M108" s="4"/>
      <c r="N108" s="4"/>
      <c r="O108" s="4"/>
      <c r="P108" s="4"/>
      <c r="Q108" s="4"/>
      <c r="R108" s="4"/>
      <c r="S108" s="4"/>
      <c r="T108" s="4"/>
      <c r="U108" s="4"/>
      <c r="V108" s="4"/>
      <c r="W108" s="4"/>
      <c r="X108" s="4"/>
      <c r="Y108" s="4"/>
    </row>
    <row r="109">
      <c r="A109" s="11">
        <v>108.0</v>
      </c>
      <c r="B109" s="11" t="s">
        <v>338</v>
      </c>
      <c r="C109" s="11" t="s">
        <v>339</v>
      </c>
      <c r="D109" s="11">
        <v>2019.0</v>
      </c>
      <c r="E109" s="11" t="s">
        <v>340</v>
      </c>
      <c r="F109" s="11" t="s">
        <v>65</v>
      </c>
      <c r="G109" s="11" t="s">
        <v>39</v>
      </c>
      <c r="H109" s="11" t="s">
        <v>1224</v>
      </c>
      <c r="I109" s="4"/>
      <c r="J109" s="4"/>
      <c r="K109" s="4"/>
      <c r="L109" s="4"/>
      <c r="M109" s="4"/>
      <c r="N109" s="4"/>
      <c r="O109" s="4"/>
      <c r="P109" s="4"/>
      <c r="Q109" s="4"/>
      <c r="R109" s="4"/>
      <c r="S109" s="4"/>
      <c r="T109" s="4"/>
      <c r="U109" s="4"/>
      <c r="V109" s="4"/>
      <c r="W109" s="4"/>
      <c r="X109" s="4"/>
      <c r="Y109" s="4"/>
    </row>
    <row r="110">
      <c r="A110" s="12">
        <v>109.0</v>
      </c>
      <c r="B110" s="11" t="s">
        <v>341</v>
      </c>
      <c r="C110" s="11" t="s">
        <v>342</v>
      </c>
      <c r="D110" s="11">
        <v>2018.0</v>
      </c>
      <c r="E110" s="11" t="s">
        <v>343</v>
      </c>
      <c r="F110" s="11" t="s">
        <v>65</v>
      </c>
      <c r="G110" s="11" t="s">
        <v>49</v>
      </c>
      <c r="H110" s="11" t="s">
        <v>1224</v>
      </c>
      <c r="I110" s="4"/>
      <c r="J110" s="4"/>
      <c r="K110" s="4"/>
      <c r="L110" s="4"/>
      <c r="M110" s="4"/>
      <c r="N110" s="4"/>
      <c r="O110" s="4"/>
      <c r="P110" s="4"/>
      <c r="Q110" s="4"/>
      <c r="R110" s="4"/>
      <c r="S110" s="4"/>
      <c r="T110" s="4"/>
      <c r="U110" s="4"/>
      <c r="V110" s="4"/>
      <c r="W110" s="4"/>
      <c r="X110" s="4"/>
      <c r="Y110" s="4"/>
    </row>
    <row r="111">
      <c r="A111" s="11">
        <v>110.0</v>
      </c>
      <c r="B111" s="11" t="s">
        <v>344</v>
      </c>
      <c r="C111" s="11" t="s">
        <v>345</v>
      </c>
      <c r="D111" s="11">
        <v>2019.0</v>
      </c>
      <c r="E111" s="11" t="s">
        <v>346</v>
      </c>
      <c r="F111" s="11" t="s">
        <v>65</v>
      </c>
      <c r="G111" s="11" t="s">
        <v>39</v>
      </c>
      <c r="H111" s="11" t="s">
        <v>1224</v>
      </c>
      <c r="I111" s="4"/>
      <c r="J111" s="4"/>
      <c r="K111" s="4"/>
      <c r="L111" s="4"/>
      <c r="M111" s="4"/>
      <c r="N111" s="4"/>
      <c r="O111" s="4"/>
      <c r="P111" s="4"/>
      <c r="Q111" s="4"/>
      <c r="R111" s="4"/>
      <c r="S111" s="4"/>
      <c r="T111" s="4"/>
      <c r="U111" s="4"/>
      <c r="V111" s="4"/>
      <c r="W111" s="4"/>
      <c r="X111" s="4"/>
      <c r="Y111" s="4"/>
    </row>
    <row r="112">
      <c r="A112" s="11">
        <v>111.0</v>
      </c>
      <c r="B112" s="11" t="s">
        <v>347</v>
      </c>
      <c r="C112" s="11" t="s">
        <v>348</v>
      </c>
      <c r="D112" s="11">
        <v>2019.0</v>
      </c>
      <c r="E112" s="11" t="s">
        <v>245</v>
      </c>
      <c r="F112" s="11" t="s">
        <v>65</v>
      </c>
      <c r="G112" s="11" t="s">
        <v>39</v>
      </c>
      <c r="H112" s="11" t="s">
        <v>1224</v>
      </c>
      <c r="I112" s="4"/>
      <c r="J112" s="4"/>
      <c r="K112" s="4"/>
      <c r="L112" s="4"/>
      <c r="M112" s="4"/>
      <c r="N112" s="4"/>
      <c r="O112" s="4"/>
      <c r="P112" s="4"/>
      <c r="Q112" s="4"/>
      <c r="R112" s="4"/>
      <c r="S112" s="4"/>
      <c r="T112" s="4"/>
      <c r="U112" s="4"/>
      <c r="V112" s="4"/>
      <c r="W112" s="4"/>
      <c r="X112" s="4"/>
      <c r="Y112" s="4"/>
    </row>
    <row r="113">
      <c r="A113" s="12">
        <v>112.0</v>
      </c>
      <c r="B113" s="11" t="s">
        <v>349</v>
      </c>
      <c r="C113" s="11" t="s">
        <v>350</v>
      </c>
      <c r="D113" s="11">
        <v>2019.0</v>
      </c>
      <c r="E113" s="11" t="s">
        <v>351</v>
      </c>
      <c r="F113" s="11" t="s">
        <v>65</v>
      </c>
      <c r="G113" s="11" t="s">
        <v>49</v>
      </c>
      <c r="H113" s="11" t="s">
        <v>1224</v>
      </c>
      <c r="I113" s="4"/>
      <c r="J113" s="4"/>
      <c r="K113" s="4"/>
      <c r="L113" s="4"/>
      <c r="M113" s="4"/>
      <c r="N113" s="4"/>
      <c r="O113" s="4"/>
      <c r="P113" s="4"/>
      <c r="Q113" s="4"/>
      <c r="R113" s="4"/>
      <c r="S113" s="4"/>
      <c r="T113" s="4"/>
      <c r="U113" s="4"/>
      <c r="V113" s="4"/>
      <c r="W113" s="4"/>
      <c r="X113" s="4"/>
      <c r="Y113" s="4"/>
    </row>
    <row r="114">
      <c r="A114" s="11">
        <v>113.0</v>
      </c>
      <c r="B114" s="11" t="s">
        <v>352</v>
      </c>
      <c r="C114" s="11" t="s">
        <v>353</v>
      </c>
      <c r="D114" s="11">
        <v>2018.0</v>
      </c>
      <c r="E114" s="11" t="s">
        <v>354</v>
      </c>
      <c r="F114" s="11" t="s">
        <v>65</v>
      </c>
      <c r="G114" s="11" t="s">
        <v>49</v>
      </c>
      <c r="H114" s="11" t="s">
        <v>1224</v>
      </c>
      <c r="I114" s="4"/>
      <c r="J114" s="4"/>
      <c r="K114" s="4"/>
      <c r="L114" s="4"/>
      <c r="M114" s="4"/>
      <c r="N114" s="4"/>
      <c r="O114" s="4"/>
      <c r="P114" s="4"/>
      <c r="Q114" s="4"/>
      <c r="R114" s="4"/>
      <c r="S114" s="4"/>
      <c r="T114" s="4"/>
      <c r="U114" s="4"/>
      <c r="V114" s="4"/>
      <c r="W114" s="4"/>
      <c r="X114" s="4"/>
      <c r="Y114" s="4"/>
    </row>
    <row r="115">
      <c r="A115" s="11">
        <v>114.0</v>
      </c>
      <c r="B115" s="11" t="s">
        <v>355</v>
      </c>
      <c r="C115" s="11" t="s">
        <v>356</v>
      </c>
      <c r="D115" s="11">
        <v>2018.0</v>
      </c>
      <c r="E115" s="11" t="s">
        <v>357</v>
      </c>
      <c r="F115" s="11" t="s">
        <v>65</v>
      </c>
      <c r="G115" s="11" t="s">
        <v>39</v>
      </c>
      <c r="H115" s="11" t="s">
        <v>1224</v>
      </c>
      <c r="I115" s="4"/>
      <c r="J115" s="4"/>
      <c r="K115" s="4"/>
      <c r="L115" s="4"/>
      <c r="M115" s="4"/>
      <c r="N115" s="4"/>
      <c r="O115" s="4"/>
      <c r="P115" s="4"/>
      <c r="Q115" s="4"/>
      <c r="R115" s="4"/>
      <c r="S115" s="4"/>
      <c r="T115" s="4"/>
      <c r="U115" s="4"/>
      <c r="V115" s="4"/>
      <c r="W115" s="4"/>
      <c r="X115" s="4"/>
      <c r="Y115" s="4"/>
    </row>
    <row r="116">
      <c r="A116" s="12">
        <v>115.0</v>
      </c>
      <c r="B116" s="18" t="s">
        <v>358</v>
      </c>
      <c r="C116" s="11" t="s">
        <v>359</v>
      </c>
      <c r="D116" s="11">
        <v>2019.0</v>
      </c>
      <c r="E116" s="11" t="s">
        <v>221</v>
      </c>
      <c r="F116" s="11" t="s">
        <v>65</v>
      </c>
      <c r="G116" s="11" t="s">
        <v>49</v>
      </c>
      <c r="H116" s="11" t="s">
        <v>1225</v>
      </c>
      <c r="I116" s="4"/>
      <c r="J116" s="4"/>
      <c r="K116" s="4"/>
      <c r="L116" s="4"/>
      <c r="M116" s="4"/>
      <c r="N116" s="4"/>
      <c r="O116" s="4"/>
      <c r="P116" s="4"/>
      <c r="Q116" s="4"/>
      <c r="R116" s="4"/>
      <c r="S116" s="4"/>
      <c r="T116" s="4"/>
      <c r="U116" s="4"/>
      <c r="V116" s="4"/>
      <c r="W116" s="4"/>
      <c r="X116" s="4"/>
      <c r="Y116" s="4"/>
    </row>
    <row r="117">
      <c r="A117" s="11">
        <v>116.0</v>
      </c>
      <c r="B117" s="11" t="s">
        <v>360</v>
      </c>
      <c r="C117" s="11" t="s">
        <v>361</v>
      </c>
      <c r="D117" s="11">
        <v>2018.0</v>
      </c>
      <c r="E117" s="11" t="s">
        <v>330</v>
      </c>
      <c r="F117" s="11" t="s">
        <v>65</v>
      </c>
      <c r="G117" s="11" t="s">
        <v>39</v>
      </c>
      <c r="H117" s="11" t="s">
        <v>1224</v>
      </c>
      <c r="I117" s="4"/>
      <c r="J117" s="4"/>
      <c r="K117" s="4"/>
      <c r="L117" s="4"/>
      <c r="M117" s="4"/>
      <c r="N117" s="4"/>
      <c r="O117" s="4"/>
      <c r="P117" s="4"/>
      <c r="Q117" s="4"/>
      <c r="R117" s="4"/>
      <c r="S117" s="4"/>
      <c r="T117" s="4"/>
      <c r="U117" s="4"/>
      <c r="V117" s="4"/>
      <c r="W117" s="4"/>
      <c r="X117" s="4"/>
      <c r="Y117" s="4"/>
    </row>
    <row r="118">
      <c r="A118" s="11">
        <v>117.0</v>
      </c>
      <c r="B118" s="11" t="s">
        <v>362</v>
      </c>
      <c r="C118" s="11" t="s">
        <v>363</v>
      </c>
      <c r="D118" s="11">
        <v>2018.0</v>
      </c>
      <c r="E118" s="11" t="s">
        <v>364</v>
      </c>
      <c r="F118" s="11" t="s">
        <v>65</v>
      </c>
      <c r="G118" s="11" t="s">
        <v>39</v>
      </c>
      <c r="H118" s="11" t="s">
        <v>1224</v>
      </c>
      <c r="I118" s="4"/>
      <c r="J118" s="4"/>
      <c r="K118" s="4"/>
      <c r="L118" s="4"/>
      <c r="M118" s="4"/>
      <c r="N118" s="4"/>
      <c r="O118" s="4"/>
      <c r="P118" s="4"/>
      <c r="Q118" s="4"/>
      <c r="R118" s="4"/>
      <c r="S118" s="4"/>
      <c r="T118" s="4"/>
      <c r="U118" s="4"/>
      <c r="V118" s="4"/>
      <c r="W118" s="4"/>
      <c r="X118" s="4"/>
      <c r="Y118" s="4"/>
    </row>
    <row r="119">
      <c r="A119" s="12">
        <v>118.0</v>
      </c>
      <c r="B119" s="11" t="s">
        <v>365</v>
      </c>
      <c r="C119" s="11" t="s">
        <v>366</v>
      </c>
      <c r="D119" s="11">
        <v>2018.0</v>
      </c>
      <c r="E119" s="11" t="s">
        <v>367</v>
      </c>
      <c r="F119" s="11" t="s">
        <v>65</v>
      </c>
      <c r="G119" s="11" t="s">
        <v>39</v>
      </c>
      <c r="H119" s="11" t="s">
        <v>1224</v>
      </c>
      <c r="I119" s="4"/>
      <c r="J119" s="4"/>
      <c r="K119" s="4"/>
      <c r="L119" s="4"/>
      <c r="M119" s="4"/>
      <c r="N119" s="4"/>
      <c r="O119" s="4"/>
      <c r="P119" s="4"/>
      <c r="Q119" s="4"/>
      <c r="R119" s="4"/>
      <c r="S119" s="4"/>
      <c r="T119" s="4"/>
      <c r="U119" s="4"/>
      <c r="V119" s="4"/>
      <c r="W119" s="4"/>
      <c r="X119" s="4"/>
      <c r="Y119" s="4"/>
    </row>
    <row r="120">
      <c r="A120" s="11">
        <v>119.0</v>
      </c>
      <c r="B120" s="11" t="s">
        <v>368</v>
      </c>
      <c r="C120" s="11" t="s">
        <v>369</v>
      </c>
      <c r="D120" s="11">
        <v>2018.0</v>
      </c>
      <c r="E120" s="11" t="s">
        <v>121</v>
      </c>
      <c r="F120" s="11" t="s">
        <v>65</v>
      </c>
      <c r="G120" s="11" t="s">
        <v>39</v>
      </c>
      <c r="H120" s="11" t="s">
        <v>1224</v>
      </c>
      <c r="I120" s="4"/>
      <c r="J120" s="4"/>
      <c r="K120" s="4"/>
      <c r="L120" s="4"/>
      <c r="M120" s="4"/>
      <c r="N120" s="4"/>
      <c r="O120" s="4"/>
      <c r="P120" s="4"/>
      <c r="Q120" s="4"/>
      <c r="R120" s="4"/>
      <c r="S120" s="4"/>
      <c r="T120" s="4"/>
      <c r="U120" s="4"/>
      <c r="V120" s="4"/>
      <c r="W120" s="4"/>
      <c r="X120" s="4"/>
      <c r="Y120" s="4"/>
    </row>
    <row r="121">
      <c r="A121" s="11">
        <v>120.0</v>
      </c>
      <c r="B121" s="11" t="s">
        <v>370</v>
      </c>
      <c r="C121" s="11" t="s">
        <v>371</v>
      </c>
      <c r="D121" s="11">
        <v>2019.0</v>
      </c>
      <c r="E121" s="11" t="s">
        <v>192</v>
      </c>
      <c r="F121" s="11" t="s">
        <v>65</v>
      </c>
      <c r="G121" s="11" t="s">
        <v>49</v>
      </c>
      <c r="H121" s="11" t="s">
        <v>1224</v>
      </c>
      <c r="I121" s="4"/>
      <c r="J121" s="4"/>
      <c r="K121" s="4"/>
      <c r="L121" s="4"/>
      <c r="M121" s="4"/>
      <c r="N121" s="4"/>
      <c r="O121" s="4"/>
      <c r="P121" s="4"/>
      <c r="Q121" s="4"/>
      <c r="R121" s="4"/>
      <c r="S121" s="4"/>
      <c r="T121" s="4"/>
      <c r="U121" s="4"/>
      <c r="V121" s="4"/>
      <c r="W121" s="4"/>
      <c r="X121" s="4"/>
      <c r="Y121" s="4"/>
    </row>
    <row r="122">
      <c r="A122" s="12">
        <v>121.0</v>
      </c>
      <c r="B122" s="11" t="s">
        <v>372</v>
      </c>
      <c r="C122" s="11" t="s">
        <v>373</v>
      </c>
      <c r="D122" s="11">
        <v>2016.0</v>
      </c>
      <c r="E122" s="11" t="s">
        <v>374</v>
      </c>
      <c r="F122" s="11" t="s">
        <v>65</v>
      </c>
      <c r="G122" s="11" t="s">
        <v>49</v>
      </c>
      <c r="H122" s="11" t="s">
        <v>1224</v>
      </c>
      <c r="I122" s="4"/>
      <c r="J122" s="4"/>
      <c r="K122" s="4"/>
      <c r="L122" s="4"/>
      <c r="M122" s="4"/>
      <c r="N122" s="4"/>
      <c r="O122" s="4"/>
      <c r="P122" s="4"/>
      <c r="Q122" s="4"/>
      <c r="R122" s="4"/>
      <c r="S122" s="4"/>
      <c r="T122" s="4"/>
      <c r="U122" s="4"/>
      <c r="V122" s="4"/>
      <c r="W122" s="4"/>
      <c r="X122" s="4"/>
      <c r="Y122" s="4"/>
    </row>
    <row r="123">
      <c r="A123" s="11">
        <v>122.0</v>
      </c>
      <c r="B123" s="11" t="s">
        <v>375</v>
      </c>
      <c r="C123" s="11" t="s">
        <v>376</v>
      </c>
      <c r="D123" s="11">
        <v>2018.0</v>
      </c>
      <c r="E123" s="11" t="s">
        <v>377</v>
      </c>
      <c r="F123" s="11" t="s">
        <v>65</v>
      </c>
      <c r="G123" s="11" t="s">
        <v>39</v>
      </c>
      <c r="H123" s="11" t="s">
        <v>1224</v>
      </c>
      <c r="I123" s="4"/>
      <c r="J123" s="4"/>
      <c r="K123" s="4"/>
      <c r="L123" s="4"/>
      <c r="M123" s="4"/>
      <c r="N123" s="4"/>
      <c r="O123" s="4"/>
      <c r="P123" s="4"/>
      <c r="Q123" s="4"/>
      <c r="R123" s="4"/>
      <c r="S123" s="4"/>
      <c r="T123" s="4"/>
      <c r="U123" s="4"/>
      <c r="V123" s="4"/>
      <c r="W123" s="4"/>
      <c r="X123" s="4"/>
      <c r="Y123" s="4"/>
    </row>
    <row r="124">
      <c r="A124" s="11">
        <v>123.0</v>
      </c>
      <c r="B124" s="11" t="s">
        <v>378</v>
      </c>
      <c r="C124" s="11" t="s">
        <v>379</v>
      </c>
      <c r="D124" s="11">
        <v>2017.0</v>
      </c>
      <c r="E124" s="11" t="s">
        <v>158</v>
      </c>
      <c r="F124" s="11" t="s">
        <v>65</v>
      </c>
      <c r="G124" s="11" t="s">
        <v>39</v>
      </c>
      <c r="H124" s="11" t="s">
        <v>1224</v>
      </c>
      <c r="I124" s="4"/>
      <c r="J124" s="4"/>
      <c r="K124" s="4"/>
      <c r="L124" s="4"/>
      <c r="M124" s="4"/>
      <c r="N124" s="4"/>
      <c r="O124" s="4"/>
      <c r="P124" s="4"/>
      <c r="Q124" s="4"/>
      <c r="R124" s="4"/>
      <c r="S124" s="4"/>
      <c r="T124" s="4"/>
      <c r="U124" s="4"/>
      <c r="V124" s="4"/>
      <c r="W124" s="4"/>
      <c r="X124" s="4"/>
      <c r="Y124" s="4"/>
    </row>
    <row r="125">
      <c r="A125" s="12">
        <v>124.0</v>
      </c>
      <c r="B125" s="11" t="s">
        <v>380</v>
      </c>
      <c r="C125" s="11" t="s">
        <v>381</v>
      </c>
      <c r="D125" s="11">
        <v>2016.0</v>
      </c>
      <c r="E125" s="11" t="s">
        <v>343</v>
      </c>
      <c r="F125" s="11" t="s">
        <v>65</v>
      </c>
      <c r="G125" s="11" t="s">
        <v>49</v>
      </c>
      <c r="H125" s="11" t="s">
        <v>1224</v>
      </c>
      <c r="I125" s="4"/>
      <c r="J125" s="4"/>
      <c r="K125" s="4"/>
      <c r="L125" s="4"/>
      <c r="M125" s="4"/>
      <c r="N125" s="4"/>
      <c r="O125" s="4"/>
      <c r="P125" s="4"/>
      <c r="Q125" s="4"/>
      <c r="R125" s="4"/>
      <c r="S125" s="4"/>
      <c r="T125" s="4"/>
      <c r="U125" s="4"/>
      <c r="V125" s="4"/>
      <c r="W125" s="4"/>
      <c r="X125" s="4"/>
      <c r="Y125" s="4"/>
    </row>
    <row r="126">
      <c r="A126" s="11">
        <v>125.0</v>
      </c>
      <c r="B126" s="11" t="s">
        <v>382</v>
      </c>
      <c r="C126" s="11" t="s">
        <v>383</v>
      </c>
      <c r="D126" s="11">
        <v>2018.0</v>
      </c>
      <c r="E126" s="11" t="s">
        <v>335</v>
      </c>
      <c r="F126" s="11" t="s">
        <v>65</v>
      </c>
      <c r="G126" s="11" t="s">
        <v>49</v>
      </c>
      <c r="H126" s="11" t="s">
        <v>1224</v>
      </c>
      <c r="I126" s="4"/>
      <c r="J126" s="4"/>
      <c r="K126" s="4"/>
      <c r="L126" s="4"/>
      <c r="M126" s="4"/>
      <c r="N126" s="4"/>
      <c r="O126" s="4"/>
      <c r="P126" s="4"/>
      <c r="Q126" s="4"/>
      <c r="R126" s="4"/>
      <c r="S126" s="4"/>
      <c r="T126" s="4"/>
      <c r="U126" s="4"/>
      <c r="V126" s="4"/>
      <c r="W126" s="4"/>
      <c r="X126" s="4"/>
      <c r="Y126" s="4"/>
    </row>
    <row r="127">
      <c r="A127" s="11">
        <v>126.0</v>
      </c>
      <c r="B127" s="11" t="s">
        <v>384</v>
      </c>
      <c r="C127" s="11" t="s">
        <v>385</v>
      </c>
      <c r="D127" s="11">
        <v>2017.0</v>
      </c>
      <c r="E127" s="11" t="s">
        <v>386</v>
      </c>
      <c r="F127" s="11" t="s">
        <v>65</v>
      </c>
      <c r="G127" s="11" t="s">
        <v>49</v>
      </c>
      <c r="H127" s="11" t="s">
        <v>1224</v>
      </c>
      <c r="I127" s="4"/>
      <c r="J127" s="4"/>
      <c r="K127" s="4"/>
      <c r="L127" s="4"/>
      <c r="M127" s="4"/>
      <c r="N127" s="4"/>
      <c r="O127" s="4"/>
      <c r="P127" s="4"/>
      <c r="Q127" s="4"/>
      <c r="R127" s="4"/>
      <c r="S127" s="4"/>
      <c r="T127" s="4"/>
      <c r="U127" s="4"/>
      <c r="V127" s="4"/>
      <c r="W127" s="4"/>
      <c r="X127" s="4"/>
      <c r="Y127" s="4"/>
    </row>
    <row r="128">
      <c r="A128" s="12">
        <v>127.0</v>
      </c>
      <c r="B128" s="11" t="s">
        <v>387</v>
      </c>
      <c r="C128" s="11" t="s">
        <v>388</v>
      </c>
      <c r="D128" s="11">
        <v>2019.0</v>
      </c>
      <c r="E128" s="11" t="s">
        <v>100</v>
      </c>
      <c r="F128" s="11" t="s">
        <v>65</v>
      </c>
      <c r="G128" s="11" t="s">
        <v>49</v>
      </c>
      <c r="H128" s="11" t="s">
        <v>1224</v>
      </c>
      <c r="I128" s="4"/>
      <c r="J128" s="4"/>
      <c r="K128" s="4"/>
      <c r="L128" s="4"/>
      <c r="M128" s="4"/>
      <c r="N128" s="4"/>
      <c r="O128" s="4"/>
      <c r="P128" s="4"/>
      <c r="Q128" s="4"/>
      <c r="R128" s="4"/>
      <c r="S128" s="4"/>
      <c r="T128" s="4"/>
      <c r="U128" s="4"/>
      <c r="V128" s="4"/>
      <c r="W128" s="4"/>
      <c r="X128" s="4"/>
      <c r="Y128" s="4"/>
    </row>
    <row r="129">
      <c r="A129" s="11">
        <v>128.0</v>
      </c>
      <c r="B129" s="11" t="s">
        <v>389</v>
      </c>
      <c r="C129" s="11" t="s">
        <v>390</v>
      </c>
      <c r="D129" s="11">
        <v>2018.0</v>
      </c>
      <c r="E129" s="11" t="s">
        <v>391</v>
      </c>
      <c r="F129" s="11" t="s">
        <v>65</v>
      </c>
      <c r="G129" s="11" t="s">
        <v>49</v>
      </c>
      <c r="H129" s="11" t="s">
        <v>1224</v>
      </c>
      <c r="I129" s="4"/>
      <c r="J129" s="4"/>
      <c r="K129" s="4"/>
      <c r="L129" s="4"/>
      <c r="M129" s="4"/>
      <c r="N129" s="4"/>
      <c r="O129" s="4"/>
      <c r="P129" s="4"/>
      <c r="Q129" s="4"/>
      <c r="R129" s="4"/>
      <c r="S129" s="4"/>
      <c r="T129" s="4"/>
      <c r="U129" s="4"/>
      <c r="V129" s="4"/>
      <c r="W129" s="4"/>
      <c r="X129" s="4"/>
      <c r="Y129" s="4"/>
    </row>
    <row r="130">
      <c r="A130" s="11">
        <v>129.0</v>
      </c>
      <c r="B130" s="11" t="s">
        <v>392</v>
      </c>
      <c r="C130" s="11" t="s">
        <v>393</v>
      </c>
      <c r="D130" s="11">
        <v>2017.0</v>
      </c>
      <c r="E130" s="11" t="s">
        <v>394</v>
      </c>
      <c r="F130" s="11" t="s">
        <v>65</v>
      </c>
      <c r="G130" s="11" t="s">
        <v>39</v>
      </c>
      <c r="H130" s="11" t="s">
        <v>1224</v>
      </c>
      <c r="I130" s="4"/>
      <c r="J130" s="4"/>
      <c r="K130" s="4"/>
      <c r="L130" s="4"/>
      <c r="M130" s="4"/>
      <c r="N130" s="4"/>
      <c r="O130" s="4"/>
      <c r="P130" s="4"/>
      <c r="Q130" s="4"/>
      <c r="R130" s="4"/>
      <c r="S130" s="4"/>
      <c r="T130" s="4"/>
      <c r="U130" s="4"/>
      <c r="V130" s="4"/>
      <c r="W130" s="4"/>
      <c r="X130" s="4"/>
      <c r="Y130" s="4"/>
    </row>
    <row r="131">
      <c r="A131" s="12">
        <v>130.0</v>
      </c>
      <c r="B131" s="11" t="s">
        <v>395</v>
      </c>
      <c r="C131" s="11" t="s">
        <v>396</v>
      </c>
      <c r="D131" s="11">
        <v>2017.0</v>
      </c>
      <c r="E131" s="11" t="s">
        <v>77</v>
      </c>
      <c r="F131" s="11" t="s">
        <v>65</v>
      </c>
      <c r="G131" s="11" t="s">
        <v>49</v>
      </c>
      <c r="H131" s="11" t="s">
        <v>1224</v>
      </c>
      <c r="I131" s="4"/>
      <c r="J131" s="4"/>
      <c r="K131" s="4"/>
      <c r="L131" s="4"/>
      <c r="M131" s="4"/>
      <c r="N131" s="4"/>
      <c r="O131" s="4"/>
      <c r="P131" s="4"/>
      <c r="Q131" s="4"/>
      <c r="R131" s="4"/>
      <c r="S131" s="4"/>
      <c r="T131" s="4"/>
      <c r="U131" s="4"/>
      <c r="V131" s="4"/>
      <c r="W131" s="4"/>
      <c r="X131" s="4"/>
      <c r="Y131" s="4"/>
    </row>
    <row r="132">
      <c r="A132" s="11">
        <v>131.0</v>
      </c>
      <c r="B132" s="11" t="s">
        <v>397</v>
      </c>
      <c r="C132" s="11" t="s">
        <v>398</v>
      </c>
      <c r="D132" s="11">
        <v>2017.0</v>
      </c>
      <c r="E132" s="11" t="s">
        <v>399</v>
      </c>
      <c r="F132" s="11" t="s">
        <v>65</v>
      </c>
      <c r="G132" s="11" t="s">
        <v>39</v>
      </c>
      <c r="H132" s="11" t="s">
        <v>1224</v>
      </c>
      <c r="I132" s="4"/>
      <c r="J132" s="4"/>
      <c r="K132" s="4"/>
      <c r="L132" s="4"/>
      <c r="M132" s="4"/>
      <c r="N132" s="4"/>
      <c r="O132" s="4"/>
      <c r="P132" s="4"/>
      <c r="Q132" s="4"/>
      <c r="R132" s="4"/>
      <c r="S132" s="4"/>
      <c r="T132" s="4"/>
      <c r="U132" s="4"/>
      <c r="V132" s="4"/>
      <c r="W132" s="4"/>
      <c r="X132" s="4"/>
      <c r="Y132" s="4"/>
    </row>
    <row r="133">
      <c r="A133" s="11">
        <v>132.0</v>
      </c>
      <c r="B133" s="11" t="s">
        <v>400</v>
      </c>
      <c r="C133" s="11" t="s">
        <v>401</v>
      </c>
      <c r="D133" s="11">
        <v>2017.0</v>
      </c>
      <c r="E133" s="11" t="s">
        <v>402</v>
      </c>
      <c r="F133" s="11" t="s">
        <v>65</v>
      </c>
      <c r="G133" s="11" t="s">
        <v>39</v>
      </c>
      <c r="H133" s="11" t="s">
        <v>1224</v>
      </c>
      <c r="I133" s="4"/>
      <c r="J133" s="4"/>
      <c r="K133" s="4"/>
      <c r="L133" s="4"/>
      <c r="M133" s="4"/>
      <c r="N133" s="4"/>
      <c r="O133" s="4"/>
      <c r="P133" s="4"/>
      <c r="Q133" s="4"/>
      <c r="R133" s="4"/>
      <c r="S133" s="4"/>
      <c r="T133" s="4"/>
      <c r="U133" s="4"/>
      <c r="V133" s="4"/>
      <c r="W133" s="4"/>
      <c r="X133" s="4"/>
      <c r="Y133" s="4"/>
    </row>
    <row r="134">
      <c r="A134" s="12">
        <v>133.0</v>
      </c>
      <c r="B134" s="11" t="s">
        <v>1226</v>
      </c>
      <c r="C134" s="11" t="s">
        <v>404</v>
      </c>
      <c r="D134" s="11">
        <v>2017.0</v>
      </c>
      <c r="E134" s="11" t="s">
        <v>405</v>
      </c>
      <c r="F134" s="11" t="s">
        <v>65</v>
      </c>
      <c r="G134" s="11" t="s">
        <v>49</v>
      </c>
      <c r="H134" s="11" t="s">
        <v>1224</v>
      </c>
      <c r="I134" s="4"/>
      <c r="J134" s="4"/>
      <c r="K134" s="4"/>
      <c r="L134" s="4"/>
      <c r="M134" s="4"/>
      <c r="N134" s="4"/>
      <c r="O134" s="4"/>
      <c r="P134" s="4"/>
      <c r="Q134" s="4"/>
      <c r="R134" s="4"/>
      <c r="S134" s="4"/>
      <c r="T134" s="4"/>
      <c r="U134" s="4"/>
      <c r="V134" s="4"/>
      <c r="W134" s="4"/>
      <c r="X134" s="4"/>
      <c r="Y134" s="4"/>
    </row>
    <row r="135">
      <c r="A135" s="11">
        <v>134.0</v>
      </c>
      <c r="B135" s="11" t="s">
        <v>406</v>
      </c>
      <c r="C135" s="11" t="s">
        <v>407</v>
      </c>
      <c r="D135" s="11">
        <v>2017.0</v>
      </c>
      <c r="E135" s="11" t="s">
        <v>408</v>
      </c>
      <c r="F135" s="11" t="s">
        <v>65</v>
      </c>
      <c r="G135" s="11" t="s">
        <v>39</v>
      </c>
      <c r="H135" s="11" t="s">
        <v>1224</v>
      </c>
      <c r="I135" s="4"/>
      <c r="J135" s="4"/>
      <c r="K135" s="4"/>
      <c r="L135" s="4"/>
      <c r="M135" s="4"/>
      <c r="N135" s="4"/>
      <c r="O135" s="4"/>
      <c r="P135" s="4"/>
      <c r="Q135" s="4"/>
      <c r="R135" s="4"/>
      <c r="S135" s="4"/>
      <c r="T135" s="4"/>
      <c r="U135" s="4"/>
      <c r="V135" s="4"/>
      <c r="W135" s="4"/>
      <c r="X135" s="4"/>
      <c r="Y135" s="4"/>
    </row>
    <row r="136">
      <c r="A136" s="11">
        <v>135.0</v>
      </c>
      <c r="B136" s="11" t="s">
        <v>409</v>
      </c>
      <c r="C136" s="11" t="s">
        <v>410</v>
      </c>
      <c r="D136" s="11">
        <v>2017.0</v>
      </c>
      <c r="E136" s="11" t="s">
        <v>411</v>
      </c>
      <c r="F136" s="11" t="s">
        <v>65</v>
      </c>
      <c r="G136" s="11" t="s">
        <v>39</v>
      </c>
      <c r="H136" s="11" t="s">
        <v>1224</v>
      </c>
      <c r="I136" s="4"/>
      <c r="J136" s="4"/>
      <c r="K136" s="4"/>
      <c r="L136" s="4"/>
      <c r="M136" s="4"/>
      <c r="N136" s="4"/>
      <c r="O136" s="4"/>
      <c r="P136" s="4"/>
      <c r="Q136" s="4"/>
      <c r="R136" s="4"/>
      <c r="S136" s="4"/>
      <c r="T136" s="4"/>
      <c r="U136" s="4"/>
      <c r="V136" s="4"/>
      <c r="W136" s="4"/>
      <c r="X136" s="4"/>
      <c r="Y136" s="4"/>
    </row>
    <row r="137">
      <c r="A137" s="12">
        <v>136.0</v>
      </c>
      <c r="B137" s="11" t="s">
        <v>412</v>
      </c>
      <c r="C137" s="11" t="s">
        <v>413</v>
      </c>
      <c r="D137" s="11">
        <v>2017.0</v>
      </c>
      <c r="E137" s="11" t="s">
        <v>414</v>
      </c>
      <c r="F137" s="11" t="s">
        <v>65</v>
      </c>
      <c r="G137" s="11" t="s">
        <v>39</v>
      </c>
      <c r="H137" s="11" t="s">
        <v>1224</v>
      </c>
      <c r="I137" s="4"/>
      <c r="J137" s="4"/>
      <c r="K137" s="4"/>
      <c r="L137" s="4"/>
      <c r="M137" s="4"/>
      <c r="N137" s="4"/>
      <c r="O137" s="4"/>
      <c r="P137" s="4"/>
      <c r="Q137" s="4"/>
      <c r="R137" s="4"/>
      <c r="S137" s="4"/>
      <c r="T137" s="4"/>
      <c r="U137" s="4"/>
      <c r="V137" s="4"/>
      <c r="W137" s="4"/>
      <c r="X137" s="4"/>
      <c r="Y137" s="4"/>
    </row>
    <row r="138">
      <c r="A138" s="11">
        <v>137.0</v>
      </c>
      <c r="B138" s="11" t="s">
        <v>415</v>
      </c>
      <c r="C138" s="11" t="s">
        <v>416</v>
      </c>
      <c r="D138" s="11">
        <v>2017.0</v>
      </c>
      <c r="E138" s="11" t="s">
        <v>316</v>
      </c>
      <c r="F138" s="11" t="s">
        <v>65</v>
      </c>
      <c r="G138" s="11" t="s">
        <v>49</v>
      </c>
      <c r="H138" s="11" t="s">
        <v>1224</v>
      </c>
      <c r="I138" s="4"/>
      <c r="J138" s="4"/>
      <c r="K138" s="4"/>
      <c r="L138" s="4"/>
      <c r="M138" s="4"/>
      <c r="N138" s="4"/>
      <c r="O138" s="4"/>
      <c r="P138" s="4"/>
      <c r="Q138" s="4"/>
      <c r="R138" s="4"/>
      <c r="S138" s="4"/>
      <c r="T138" s="4"/>
      <c r="U138" s="4"/>
      <c r="V138" s="4"/>
      <c r="W138" s="4"/>
      <c r="X138" s="4"/>
      <c r="Y138" s="4"/>
    </row>
    <row r="139">
      <c r="A139" s="11">
        <v>138.0</v>
      </c>
      <c r="B139" s="11" t="s">
        <v>417</v>
      </c>
      <c r="C139" s="11" t="s">
        <v>418</v>
      </c>
      <c r="D139" s="11">
        <v>2015.0</v>
      </c>
      <c r="E139" s="11" t="s">
        <v>419</v>
      </c>
      <c r="F139" s="11" t="s">
        <v>65</v>
      </c>
      <c r="G139" s="11" t="s">
        <v>49</v>
      </c>
      <c r="H139" s="11" t="s">
        <v>1224</v>
      </c>
      <c r="I139" s="4"/>
      <c r="J139" s="4"/>
      <c r="K139" s="4"/>
      <c r="L139" s="4"/>
      <c r="M139" s="4"/>
      <c r="N139" s="4"/>
      <c r="O139" s="4"/>
      <c r="P139" s="4"/>
      <c r="Q139" s="4"/>
      <c r="R139" s="4"/>
      <c r="S139" s="4"/>
      <c r="T139" s="4"/>
      <c r="U139" s="4"/>
      <c r="V139" s="4"/>
      <c r="W139" s="4"/>
      <c r="X139" s="4"/>
      <c r="Y139" s="4"/>
    </row>
    <row r="140">
      <c r="A140" s="12">
        <v>139.0</v>
      </c>
      <c r="B140" s="11" t="s">
        <v>420</v>
      </c>
      <c r="C140" s="11" t="s">
        <v>421</v>
      </c>
      <c r="D140" s="11">
        <v>2016.0</v>
      </c>
      <c r="E140" s="11" t="s">
        <v>422</v>
      </c>
      <c r="F140" s="11" t="s">
        <v>65</v>
      </c>
      <c r="G140" s="11" t="s">
        <v>49</v>
      </c>
      <c r="H140" s="11" t="s">
        <v>1224</v>
      </c>
      <c r="I140" s="4"/>
      <c r="J140" s="4"/>
      <c r="K140" s="4"/>
      <c r="L140" s="4"/>
      <c r="M140" s="4"/>
      <c r="N140" s="4"/>
      <c r="O140" s="4"/>
      <c r="P140" s="4"/>
      <c r="Q140" s="4"/>
      <c r="R140" s="4"/>
      <c r="S140" s="4"/>
      <c r="T140" s="4"/>
      <c r="U140" s="4"/>
      <c r="V140" s="4"/>
      <c r="W140" s="4"/>
      <c r="X140" s="4"/>
      <c r="Y140" s="4"/>
    </row>
    <row r="141">
      <c r="A141" s="11">
        <v>140.0</v>
      </c>
      <c r="B141" s="11" t="s">
        <v>423</v>
      </c>
      <c r="C141" s="11" t="s">
        <v>424</v>
      </c>
      <c r="D141" s="11">
        <v>2016.0</v>
      </c>
      <c r="E141" s="11" t="s">
        <v>425</v>
      </c>
      <c r="F141" s="11" t="s">
        <v>65</v>
      </c>
      <c r="G141" s="11" t="s">
        <v>49</v>
      </c>
      <c r="H141" s="11" t="s">
        <v>1224</v>
      </c>
      <c r="I141" s="4"/>
      <c r="J141" s="4"/>
      <c r="K141" s="4"/>
      <c r="L141" s="4"/>
      <c r="M141" s="4"/>
      <c r="N141" s="4"/>
      <c r="O141" s="4"/>
      <c r="P141" s="4"/>
      <c r="Q141" s="4"/>
      <c r="R141" s="4"/>
      <c r="S141" s="4"/>
      <c r="T141" s="4"/>
      <c r="U141" s="4"/>
      <c r="V141" s="4"/>
      <c r="W141" s="4"/>
      <c r="X141" s="4"/>
      <c r="Y141" s="4"/>
    </row>
    <row r="142">
      <c r="A142" s="11">
        <v>141.0</v>
      </c>
      <c r="B142" s="11" t="s">
        <v>426</v>
      </c>
      <c r="C142" s="11" t="s">
        <v>427</v>
      </c>
      <c r="D142" s="11">
        <v>2016.0</v>
      </c>
      <c r="E142" s="11" t="s">
        <v>100</v>
      </c>
      <c r="F142" s="11" t="s">
        <v>65</v>
      </c>
      <c r="G142" s="11" t="s">
        <v>49</v>
      </c>
      <c r="H142" s="11" t="s">
        <v>1224</v>
      </c>
      <c r="I142" s="4"/>
      <c r="J142" s="4"/>
      <c r="K142" s="4"/>
      <c r="L142" s="4"/>
      <c r="M142" s="4"/>
      <c r="N142" s="4"/>
      <c r="O142" s="4"/>
      <c r="P142" s="4"/>
      <c r="Q142" s="4"/>
      <c r="R142" s="4"/>
      <c r="S142" s="4"/>
      <c r="T142" s="4"/>
      <c r="U142" s="4"/>
      <c r="V142" s="4"/>
      <c r="W142" s="4"/>
      <c r="X142" s="4"/>
      <c r="Y142" s="4"/>
    </row>
    <row r="143">
      <c r="A143" s="12">
        <v>142.0</v>
      </c>
      <c r="B143" s="11" t="s">
        <v>428</v>
      </c>
      <c r="C143" s="11" t="s">
        <v>429</v>
      </c>
      <c r="D143" s="11">
        <v>2015.0</v>
      </c>
      <c r="E143" s="11" t="s">
        <v>430</v>
      </c>
      <c r="F143" s="11" t="s">
        <v>65</v>
      </c>
      <c r="G143" s="11" t="s">
        <v>39</v>
      </c>
      <c r="H143" s="11" t="s">
        <v>1224</v>
      </c>
      <c r="I143" s="4"/>
      <c r="J143" s="4"/>
      <c r="K143" s="4"/>
      <c r="L143" s="4"/>
      <c r="M143" s="4"/>
      <c r="N143" s="4"/>
      <c r="O143" s="4"/>
      <c r="P143" s="4"/>
      <c r="Q143" s="4"/>
      <c r="R143" s="4"/>
      <c r="S143" s="4"/>
      <c r="T143" s="4"/>
      <c r="U143" s="4"/>
      <c r="V143" s="4"/>
      <c r="W143" s="4"/>
      <c r="X143" s="4"/>
      <c r="Y143" s="4"/>
    </row>
    <row r="144">
      <c r="A144" s="11">
        <v>143.0</v>
      </c>
      <c r="B144" s="11" t="s">
        <v>431</v>
      </c>
      <c r="C144" s="11" t="s">
        <v>432</v>
      </c>
      <c r="D144" s="11">
        <v>2016.0</v>
      </c>
      <c r="E144" s="11" t="s">
        <v>433</v>
      </c>
      <c r="F144" s="11" t="s">
        <v>65</v>
      </c>
      <c r="G144" s="11" t="s">
        <v>39</v>
      </c>
      <c r="H144" s="11" t="s">
        <v>1224</v>
      </c>
      <c r="I144" s="4"/>
      <c r="J144" s="4"/>
      <c r="K144" s="4"/>
      <c r="L144" s="4"/>
      <c r="M144" s="4"/>
      <c r="N144" s="4"/>
      <c r="O144" s="4"/>
      <c r="P144" s="4"/>
      <c r="Q144" s="4"/>
      <c r="R144" s="4"/>
      <c r="S144" s="4"/>
      <c r="T144" s="4"/>
      <c r="U144" s="4"/>
      <c r="V144" s="4"/>
      <c r="W144" s="4"/>
      <c r="X144" s="4"/>
      <c r="Y144" s="4"/>
    </row>
    <row r="145">
      <c r="A145" s="11">
        <v>144.0</v>
      </c>
      <c r="B145" s="11" t="s">
        <v>434</v>
      </c>
      <c r="C145" s="16" t="s">
        <v>435</v>
      </c>
      <c r="D145" s="11">
        <v>2025.0</v>
      </c>
      <c r="E145" s="11" t="s">
        <v>436</v>
      </c>
      <c r="F145" s="11" t="s">
        <v>437</v>
      </c>
      <c r="G145" s="11" t="s">
        <v>49</v>
      </c>
      <c r="H145" s="11" t="s">
        <v>1224</v>
      </c>
      <c r="I145" s="4"/>
      <c r="J145" s="4"/>
      <c r="K145" s="4"/>
      <c r="L145" s="4"/>
      <c r="M145" s="4"/>
      <c r="N145" s="4"/>
      <c r="O145" s="4"/>
      <c r="P145" s="4"/>
      <c r="Q145" s="4"/>
      <c r="R145" s="4"/>
      <c r="S145" s="4"/>
      <c r="T145" s="4"/>
      <c r="U145" s="4"/>
      <c r="V145" s="4"/>
      <c r="W145" s="4"/>
      <c r="X145" s="4"/>
      <c r="Y145" s="4"/>
    </row>
    <row r="146">
      <c r="A146" s="12">
        <v>145.0</v>
      </c>
      <c r="B146" s="11" t="s">
        <v>438</v>
      </c>
      <c r="C146" s="16" t="s">
        <v>439</v>
      </c>
      <c r="D146" s="11">
        <v>2025.0</v>
      </c>
      <c r="E146" s="11" t="s">
        <v>440</v>
      </c>
      <c r="F146" s="11" t="s">
        <v>437</v>
      </c>
      <c r="G146" s="11" t="s">
        <v>49</v>
      </c>
      <c r="H146" s="11" t="s">
        <v>1224</v>
      </c>
      <c r="I146" s="4"/>
      <c r="J146" s="4"/>
      <c r="K146" s="4"/>
      <c r="L146" s="4"/>
      <c r="M146" s="4"/>
      <c r="N146" s="4"/>
      <c r="O146" s="4"/>
      <c r="P146" s="4"/>
      <c r="Q146" s="4"/>
      <c r="R146" s="4"/>
      <c r="S146" s="4"/>
      <c r="T146" s="4"/>
      <c r="U146" s="4"/>
      <c r="V146" s="4"/>
      <c r="W146" s="4"/>
      <c r="X146" s="4"/>
      <c r="Y146" s="4"/>
    </row>
    <row r="147">
      <c r="A147" s="11">
        <v>146.0</v>
      </c>
      <c r="B147" s="11" t="s">
        <v>441</v>
      </c>
      <c r="C147" s="16" t="s">
        <v>442</v>
      </c>
      <c r="D147" s="11">
        <v>2025.0</v>
      </c>
      <c r="E147" s="11" t="s">
        <v>443</v>
      </c>
      <c r="F147" s="11" t="s">
        <v>437</v>
      </c>
      <c r="G147" s="11" t="s">
        <v>49</v>
      </c>
      <c r="H147" s="11" t="s">
        <v>1224</v>
      </c>
      <c r="I147" s="4"/>
      <c r="J147" s="4"/>
      <c r="K147" s="4"/>
      <c r="L147" s="4"/>
      <c r="M147" s="4"/>
      <c r="N147" s="4"/>
      <c r="O147" s="4"/>
      <c r="P147" s="4"/>
      <c r="Q147" s="4"/>
      <c r="R147" s="4"/>
      <c r="S147" s="4"/>
      <c r="T147" s="4"/>
      <c r="U147" s="4"/>
      <c r="V147" s="4"/>
      <c r="W147" s="4"/>
      <c r="X147" s="4"/>
      <c r="Y147" s="4"/>
    </row>
    <row r="148">
      <c r="A148" s="11">
        <v>147.0</v>
      </c>
      <c r="B148" s="18" t="s">
        <v>444</v>
      </c>
      <c r="C148" s="16" t="s">
        <v>445</v>
      </c>
      <c r="D148" s="11">
        <v>2021.0</v>
      </c>
      <c r="E148" s="11" t="s">
        <v>446</v>
      </c>
      <c r="F148" s="11" t="s">
        <v>437</v>
      </c>
      <c r="G148" s="11" t="s">
        <v>49</v>
      </c>
      <c r="H148" s="11" t="s">
        <v>1225</v>
      </c>
      <c r="I148" s="4"/>
      <c r="J148" s="4"/>
      <c r="K148" s="4"/>
      <c r="L148" s="4"/>
      <c r="M148" s="4"/>
      <c r="N148" s="4"/>
      <c r="O148" s="4"/>
      <c r="P148" s="4"/>
      <c r="Q148" s="4"/>
      <c r="R148" s="4"/>
      <c r="S148" s="4"/>
      <c r="T148" s="4"/>
      <c r="U148" s="4"/>
      <c r="V148" s="4"/>
      <c r="W148" s="4"/>
      <c r="X148" s="4"/>
      <c r="Y148" s="4"/>
    </row>
    <row r="149">
      <c r="A149" s="12">
        <v>148.0</v>
      </c>
      <c r="B149" s="11" t="s">
        <v>447</v>
      </c>
      <c r="C149" s="16" t="s">
        <v>448</v>
      </c>
      <c r="D149" s="11">
        <v>2020.0</v>
      </c>
      <c r="E149" s="11" t="s">
        <v>449</v>
      </c>
      <c r="F149" s="11" t="s">
        <v>437</v>
      </c>
      <c r="G149" s="11" t="s">
        <v>49</v>
      </c>
      <c r="H149" s="11" t="s">
        <v>1224</v>
      </c>
      <c r="I149" s="4"/>
      <c r="J149" s="4"/>
      <c r="K149" s="4"/>
      <c r="L149" s="4"/>
      <c r="M149" s="4"/>
      <c r="N149" s="4"/>
      <c r="O149" s="4"/>
      <c r="P149" s="4"/>
      <c r="Q149" s="4"/>
      <c r="R149" s="4"/>
      <c r="S149" s="4"/>
      <c r="T149" s="4"/>
      <c r="U149" s="4"/>
      <c r="V149" s="4"/>
      <c r="W149" s="4"/>
      <c r="X149" s="4"/>
      <c r="Y149" s="4"/>
    </row>
    <row r="150">
      <c r="A150" s="11">
        <v>149.0</v>
      </c>
      <c r="B150" s="11" t="s">
        <v>450</v>
      </c>
      <c r="C150" s="16" t="s">
        <v>451</v>
      </c>
      <c r="D150" s="11">
        <v>2024.0</v>
      </c>
      <c r="E150" s="11" t="s">
        <v>452</v>
      </c>
      <c r="F150" s="11" t="s">
        <v>437</v>
      </c>
      <c r="G150" s="11" t="s">
        <v>49</v>
      </c>
      <c r="H150" s="11" t="s">
        <v>1224</v>
      </c>
      <c r="I150" s="4"/>
      <c r="J150" s="4"/>
      <c r="K150" s="4"/>
      <c r="L150" s="4"/>
      <c r="M150" s="4"/>
      <c r="N150" s="4"/>
      <c r="O150" s="4"/>
      <c r="P150" s="4"/>
      <c r="Q150" s="4"/>
      <c r="R150" s="4"/>
      <c r="S150" s="4"/>
      <c r="T150" s="4"/>
      <c r="U150" s="4"/>
      <c r="V150" s="4"/>
      <c r="W150" s="4"/>
      <c r="X150" s="4"/>
      <c r="Y150" s="4"/>
    </row>
    <row r="151">
      <c r="A151" s="11">
        <v>150.0</v>
      </c>
      <c r="B151" s="11" t="s">
        <v>453</v>
      </c>
      <c r="C151" s="16" t="s">
        <v>454</v>
      </c>
      <c r="D151" s="11">
        <v>2024.0</v>
      </c>
      <c r="E151" s="11" t="s">
        <v>455</v>
      </c>
      <c r="F151" s="11" t="s">
        <v>437</v>
      </c>
      <c r="G151" s="11" t="s">
        <v>49</v>
      </c>
      <c r="H151" s="11" t="s">
        <v>1224</v>
      </c>
      <c r="I151" s="4"/>
      <c r="J151" s="4"/>
      <c r="K151" s="4"/>
      <c r="L151" s="4"/>
      <c r="M151" s="4"/>
      <c r="N151" s="4"/>
      <c r="O151" s="4"/>
      <c r="P151" s="4"/>
      <c r="Q151" s="4"/>
      <c r="R151" s="4"/>
      <c r="S151" s="4"/>
      <c r="T151" s="4"/>
      <c r="U151" s="4"/>
      <c r="V151" s="4"/>
      <c r="W151" s="4"/>
      <c r="X151" s="4"/>
      <c r="Y151" s="4"/>
    </row>
    <row r="152">
      <c r="A152" s="12">
        <v>151.0</v>
      </c>
      <c r="B152" s="11" t="s">
        <v>456</v>
      </c>
      <c r="C152" s="16" t="s">
        <v>457</v>
      </c>
      <c r="D152" s="11">
        <v>2025.0</v>
      </c>
      <c r="E152" s="11" t="s">
        <v>458</v>
      </c>
      <c r="F152" s="11" t="s">
        <v>437</v>
      </c>
      <c r="G152" s="11" t="s">
        <v>49</v>
      </c>
      <c r="H152" s="11" t="s">
        <v>1224</v>
      </c>
      <c r="I152" s="4"/>
      <c r="J152" s="4"/>
      <c r="K152" s="4"/>
      <c r="L152" s="4"/>
      <c r="M152" s="4"/>
      <c r="N152" s="4"/>
      <c r="O152" s="4"/>
      <c r="P152" s="4"/>
      <c r="Q152" s="4"/>
      <c r="R152" s="4"/>
      <c r="S152" s="4"/>
      <c r="T152" s="4"/>
      <c r="U152" s="4"/>
      <c r="V152" s="4"/>
      <c r="W152" s="4"/>
      <c r="X152" s="4"/>
      <c r="Y152" s="4"/>
    </row>
    <row r="153">
      <c r="A153" s="11">
        <v>152.0</v>
      </c>
      <c r="B153" s="11" t="s">
        <v>459</v>
      </c>
      <c r="C153" s="16" t="s">
        <v>460</v>
      </c>
      <c r="D153" s="11">
        <v>2025.0</v>
      </c>
      <c r="E153" s="11" t="s">
        <v>461</v>
      </c>
      <c r="F153" s="11" t="s">
        <v>437</v>
      </c>
      <c r="G153" s="11" t="s">
        <v>49</v>
      </c>
      <c r="H153" s="11" t="s">
        <v>1224</v>
      </c>
      <c r="I153" s="4"/>
      <c r="J153" s="4"/>
      <c r="K153" s="4"/>
      <c r="L153" s="4"/>
      <c r="M153" s="4"/>
      <c r="N153" s="4"/>
      <c r="O153" s="4"/>
      <c r="P153" s="4"/>
      <c r="Q153" s="4"/>
      <c r="R153" s="4"/>
      <c r="S153" s="4"/>
      <c r="T153" s="4"/>
      <c r="U153" s="4"/>
      <c r="V153" s="4"/>
      <c r="W153" s="4"/>
      <c r="X153" s="4"/>
      <c r="Y153" s="4"/>
    </row>
    <row r="154">
      <c r="A154" s="11">
        <v>153.0</v>
      </c>
      <c r="B154" s="11" t="s">
        <v>462</v>
      </c>
      <c r="C154" s="16" t="s">
        <v>463</v>
      </c>
      <c r="D154" s="11">
        <v>2020.0</v>
      </c>
      <c r="E154" s="11" t="s">
        <v>464</v>
      </c>
      <c r="F154" s="11" t="s">
        <v>437</v>
      </c>
      <c r="G154" s="11" t="s">
        <v>49</v>
      </c>
      <c r="H154" s="11" t="s">
        <v>1224</v>
      </c>
      <c r="I154" s="4"/>
      <c r="J154" s="4"/>
      <c r="K154" s="4"/>
      <c r="L154" s="4"/>
      <c r="M154" s="4"/>
      <c r="N154" s="4"/>
      <c r="O154" s="4"/>
      <c r="P154" s="4"/>
      <c r="Q154" s="4"/>
      <c r="R154" s="4"/>
      <c r="S154" s="4"/>
      <c r="T154" s="4"/>
      <c r="U154" s="4"/>
      <c r="V154" s="4"/>
      <c r="W154" s="4"/>
      <c r="X154" s="4"/>
      <c r="Y154" s="4"/>
    </row>
    <row r="155">
      <c r="A155" s="12">
        <v>154.0</v>
      </c>
      <c r="B155" s="11" t="s">
        <v>465</v>
      </c>
      <c r="C155" s="16" t="s">
        <v>466</v>
      </c>
      <c r="D155" s="11">
        <v>2023.0</v>
      </c>
      <c r="E155" s="11" t="s">
        <v>467</v>
      </c>
      <c r="F155" s="11" t="s">
        <v>437</v>
      </c>
      <c r="G155" s="11" t="s">
        <v>49</v>
      </c>
      <c r="H155" s="11" t="s">
        <v>1224</v>
      </c>
      <c r="I155" s="4"/>
      <c r="J155" s="4"/>
      <c r="K155" s="4"/>
      <c r="L155" s="4"/>
      <c r="M155" s="4"/>
      <c r="N155" s="4"/>
      <c r="O155" s="4"/>
      <c r="P155" s="4"/>
      <c r="Q155" s="4"/>
      <c r="R155" s="4"/>
      <c r="S155" s="4"/>
      <c r="T155" s="4"/>
      <c r="U155" s="4"/>
      <c r="V155" s="4"/>
      <c r="W155" s="4"/>
      <c r="X155" s="4"/>
      <c r="Y155" s="4"/>
    </row>
    <row r="156">
      <c r="A156" s="11">
        <v>155.0</v>
      </c>
      <c r="B156" s="11" t="s">
        <v>468</v>
      </c>
      <c r="C156" s="16" t="s">
        <v>469</v>
      </c>
      <c r="D156" s="11">
        <v>2024.0</v>
      </c>
      <c r="E156" s="11" t="s">
        <v>470</v>
      </c>
      <c r="F156" s="11" t="s">
        <v>437</v>
      </c>
      <c r="G156" s="11" t="s">
        <v>49</v>
      </c>
      <c r="H156" s="11" t="s">
        <v>1224</v>
      </c>
      <c r="I156" s="4"/>
      <c r="J156" s="4"/>
      <c r="K156" s="4"/>
      <c r="L156" s="4"/>
      <c r="M156" s="4"/>
      <c r="N156" s="4"/>
      <c r="O156" s="4"/>
      <c r="P156" s="4"/>
      <c r="Q156" s="4"/>
      <c r="R156" s="4"/>
      <c r="S156" s="4"/>
      <c r="T156" s="4"/>
      <c r="U156" s="4"/>
      <c r="V156" s="4"/>
      <c r="W156" s="4"/>
      <c r="X156" s="4"/>
      <c r="Y156" s="4"/>
    </row>
    <row r="157">
      <c r="A157" s="11">
        <v>156.0</v>
      </c>
      <c r="B157" s="11" t="s">
        <v>471</v>
      </c>
      <c r="C157" s="16" t="s">
        <v>472</v>
      </c>
      <c r="D157" s="11">
        <v>2025.0</v>
      </c>
      <c r="E157" s="11" t="s">
        <v>473</v>
      </c>
      <c r="F157" s="11" t="s">
        <v>437</v>
      </c>
      <c r="G157" s="11" t="s">
        <v>49</v>
      </c>
      <c r="H157" s="11" t="s">
        <v>1224</v>
      </c>
      <c r="I157" s="4"/>
      <c r="J157" s="4"/>
      <c r="K157" s="4"/>
      <c r="L157" s="4"/>
      <c r="M157" s="4"/>
      <c r="N157" s="4"/>
      <c r="O157" s="4"/>
      <c r="P157" s="4"/>
      <c r="Q157" s="4"/>
      <c r="R157" s="4"/>
      <c r="S157" s="4"/>
      <c r="T157" s="4"/>
      <c r="U157" s="4"/>
      <c r="V157" s="4"/>
      <c r="W157" s="4"/>
      <c r="X157" s="4"/>
      <c r="Y157" s="4"/>
    </row>
    <row r="158">
      <c r="A158" s="12">
        <v>157.0</v>
      </c>
      <c r="B158" s="11" t="s">
        <v>474</v>
      </c>
      <c r="C158" s="16" t="s">
        <v>475</v>
      </c>
      <c r="D158" s="11">
        <v>2023.0</v>
      </c>
      <c r="E158" s="11" t="s">
        <v>476</v>
      </c>
      <c r="F158" s="11" t="s">
        <v>437</v>
      </c>
      <c r="G158" s="11" t="s">
        <v>49</v>
      </c>
      <c r="H158" s="11" t="s">
        <v>1224</v>
      </c>
      <c r="I158" s="4"/>
      <c r="J158" s="4"/>
      <c r="K158" s="4"/>
      <c r="L158" s="4"/>
      <c r="M158" s="4"/>
      <c r="N158" s="4"/>
      <c r="O158" s="4"/>
      <c r="P158" s="4"/>
      <c r="Q158" s="4"/>
      <c r="R158" s="4"/>
      <c r="S158" s="4"/>
      <c r="T158" s="4"/>
      <c r="U158" s="4"/>
      <c r="V158" s="4"/>
      <c r="W158" s="4"/>
      <c r="X158" s="4"/>
      <c r="Y158" s="4"/>
    </row>
    <row r="159">
      <c r="A159" s="11">
        <v>158.0</v>
      </c>
      <c r="B159" s="11" t="s">
        <v>477</v>
      </c>
      <c r="C159" s="16" t="s">
        <v>478</v>
      </c>
      <c r="D159" s="11">
        <v>2015.0</v>
      </c>
      <c r="E159" s="11" t="s">
        <v>443</v>
      </c>
      <c r="F159" s="11" t="s">
        <v>437</v>
      </c>
      <c r="G159" s="11" t="s">
        <v>49</v>
      </c>
      <c r="H159" s="11" t="s">
        <v>1224</v>
      </c>
      <c r="I159" s="4"/>
      <c r="J159" s="4"/>
      <c r="K159" s="4"/>
      <c r="L159" s="4"/>
      <c r="M159" s="4"/>
      <c r="N159" s="4"/>
      <c r="O159" s="4"/>
      <c r="P159" s="4"/>
      <c r="Q159" s="4"/>
      <c r="R159" s="4"/>
      <c r="S159" s="4"/>
      <c r="T159" s="4"/>
      <c r="U159" s="4"/>
      <c r="V159" s="4"/>
      <c r="W159" s="4"/>
      <c r="X159" s="4"/>
      <c r="Y159" s="4"/>
    </row>
    <row r="160">
      <c r="A160" s="11">
        <v>159.0</v>
      </c>
      <c r="B160" s="11" t="s">
        <v>479</v>
      </c>
      <c r="C160" s="16" t="s">
        <v>480</v>
      </c>
      <c r="D160" s="11">
        <v>2022.0</v>
      </c>
      <c r="E160" s="11" t="s">
        <v>481</v>
      </c>
      <c r="F160" s="11" t="s">
        <v>437</v>
      </c>
      <c r="G160" s="11" t="s">
        <v>49</v>
      </c>
      <c r="H160" s="11" t="s">
        <v>1224</v>
      </c>
      <c r="I160" s="4"/>
      <c r="J160" s="4"/>
      <c r="K160" s="4"/>
      <c r="L160" s="4"/>
      <c r="M160" s="4"/>
      <c r="N160" s="4"/>
      <c r="O160" s="4"/>
      <c r="P160" s="4"/>
      <c r="Q160" s="4"/>
      <c r="R160" s="4"/>
      <c r="S160" s="4"/>
      <c r="T160" s="4"/>
      <c r="U160" s="4"/>
      <c r="V160" s="4"/>
      <c r="W160" s="4"/>
      <c r="X160" s="4"/>
      <c r="Y160" s="4"/>
    </row>
    <row r="161">
      <c r="A161" s="12">
        <v>160.0</v>
      </c>
      <c r="B161" s="18" t="s">
        <v>482</v>
      </c>
      <c r="C161" s="16" t="s">
        <v>483</v>
      </c>
      <c r="D161" s="11">
        <v>2025.0</v>
      </c>
      <c r="E161" s="11" t="s">
        <v>484</v>
      </c>
      <c r="F161" s="11" t="s">
        <v>437</v>
      </c>
      <c r="G161" s="11" t="s">
        <v>49</v>
      </c>
      <c r="H161" s="11" t="s">
        <v>1225</v>
      </c>
      <c r="I161" s="4"/>
      <c r="J161" s="4"/>
      <c r="K161" s="4"/>
      <c r="L161" s="4"/>
      <c r="M161" s="4"/>
      <c r="N161" s="4"/>
      <c r="O161" s="4"/>
      <c r="P161" s="4"/>
      <c r="Q161" s="4"/>
      <c r="R161" s="4"/>
      <c r="S161" s="4"/>
      <c r="T161" s="4"/>
      <c r="U161" s="4"/>
      <c r="V161" s="4"/>
      <c r="W161" s="4"/>
      <c r="X161" s="4"/>
      <c r="Y161" s="4"/>
    </row>
    <row r="162">
      <c r="A162" s="11">
        <v>161.0</v>
      </c>
      <c r="B162" s="11" t="s">
        <v>485</v>
      </c>
      <c r="C162" s="16" t="s">
        <v>486</v>
      </c>
      <c r="D162" s="11">
        <v>2022.0</v>
      </c>
      <c r="E162" s="11" t="s">
        <v>449</v>
      </c>
      <c r="F162" s="11" t="s">
        <v>437</v>
      </c>
      <c r="G162" s="11" t="s">
        <v>49</v>
      </c>
      <c r="H162" s="11" t="s">
        <v>1224</v>
      </c>
      <c r="I162" s="4"/>
      <c r="J162" s="4"/>
      <c r="K162" s="4"/>
      <c r="L162" s="4"/>
      <c r="M162" s="4"/>
      <c r="N162" s="4"/>
      <c r="O162" s="4"/>
      <c r="P162" s="4"/>
      <c r="Q162" s="4"/>
      <c r="R162" s="4"/>
      <c r="S162" s="4"/>
      <c r="T162" s="4"/>
      <c r="U162" s="4"/>
      <c r="V162" s="4"/>
      <c r="W162" s="4"/>
      <c r="X162" s="4"/>
      <c r="Y162" s="4"/>
    </row>
    <row r="163">
      <c r="A163" s="11">
        <v>162.0</v>
      </c>
      <c r="B163" s="11" t="s">
        <v>487</v>
      </c>
      <c r="C163" s="16" t="s">
        <v>488</v>
      </c>
      <c r="D163" s="11">
        <v>2024.0</v>
      </c>
      <c r="E163" s="11" t="s">
        <v>489</v>
      </c>
      <c r="F163" s="11" t="s">
        <v>437</v>
      </c>
      <c r="G163" s="11" t="s">
        <v>49</v>
      </c>
      <c r="H163" s="11" t="s">
        <v>1224</v>
      </c>
      <c r="I163" s="4"/>
      <c r="J163" s="4"/>
      <c r="K163" s="4"/>
      <c r="L163" s="4"/>
      <c r="M163" s="4"/>
      <c r="N163" s="4"/>
      <c r="O163" s="4"/>
      <c r="P163" s="4"/>
      <c r="Q163" s="4"/>
      <c r="R163" s="4"/>
      <c r="S163" s="4"/>
      <c r="T163" s="4"/>
      <c r="U163" s="4"/>
      <c r="V163" s="4"/>
      <c r="W163" s="4"/>
      <c r="X163" s="4"/>
      <c r="Y163" s="4"/>
    </row>
    <row r="164">
      <c r="A164" s="12">
        <v>163.0</v>
      </c>
      <c r="B164" s="11" t="s">
        <v>490</v>
      </c>
      <c r="C164" s="16" t="s">
        <v>491</v>
      </c>
      <c r="D164" s="11">
        <v>2025.0</v>
      </c>
      <c r="E164" s="11" t="s">
        <v>473</v>
      </c>
      <c r="F164" s="11" t="s">
        <v>437</v>
      </c>
      <c r="G164" s="11" t="s">
        <v>49</v>
      </c>
      <c r="H164" s="11" t="s">
        <v>1224</v>
      </c>
      <c r="I164" s="4"/>
      <c r="J164" s="4"/>
      <c r="K164" s="4"/>
      <c r="L164" s="4"/>
      <c r="M164" s="4"/>
      <c r="N164" s="4"/>
      <c r="O164" s="4"/>
      <c r="P164" s="4"/>
      <c r="Q164" s="4"/>
      <c r="R164" s="4"/>
      <c r="S164" s="4"/>
      <c r="T164" s="4"/>
      <c r="U164" s="4"/>
      <c r="V164" s="4"/>
      <c r="W164" s="4"/>
      <c r="X164" s="4"/>
      <c r="Y164" s="4"/>
    </row>
    <row r="165">
      <c r="A165" s="11">
        <v>164.0</v>
      </c>
      <c r="B165" s="11" t="s">
        <v>492</v>
      </c>
      <c r="C165" s="16" t="s">
        <v>493</v>
      </c>
      <c r="D165" s="11">
        <v>2023.0</v>
      </c>
      <c r="E165" s="11" t="s">
        <v>449</v>
      </c>
      <c r="F165" s="11" t="s">
        <v>437</v>
      </c>
      <c r="G165" s="11" t="s">
        <v>49</v>
      </c>
      <c r="H165" s="11" t="s">
        <v>1224</v>
      </c>
      <c r="I165" s="4"/>
      <c r="J165" s="4"/>
      <c r="K165" s="4"/>
      <c r="L165" s="4"/>
      <c r="M165" s="4"/>
      <c r="N165" s="4"/>
      <c r="O165" s="4"/>
      <c r="P165" s="4"/>
      <c r="Q165" s="4"/>
      <c r="R165" s="4"/>
      <c r="S165" s="4"/>
      <c r="T165" s="4"/>
      <c r="U165" s="4"/>
      <c r="V165" s="4"/>
      <c r="W165" s="4"/>
      <c r="X165" s="4"/>
      <c r="Y165" s="4"/>
    </row>
    <row r="166">
      <c r="A166" s="11">
        <v>165.0</v>
      </c>
      <c r="B166" s="11" t="s">
        <v>494</v>
      </c>
      <c r="C166" s="16" t="s">
        <v>495</v>
      </c>
      <c r="D166" s="11">
        <v>2025.0</v>
      </c>
      <c r="E166" s="11" t="s">
        <v>443</v>
      </c>
      <c r="F166" s="11" t="s">
        <v>437</v>
      </c>
      <c r="G166" s="11" t="s">
        <v>49</v>
      </c>
      <c r="H166" s="11" t="s">
        <v>1224</v>
      </c>
      <c r="I166" s="4"/>
      <c r="J166" s="4"/>
      <c r="K166" s="4"/>
      <c r="L166" s="4"/>
      <c r="M166" s="4"/>
      <c r="N166" s="4"/>
      <c r="O166" s="4"/>
      <c r="P166" s="4"/>
      <c r="Q166" s="4"/>
      <c r="R166" s="4"/>
      <c r="S166" s="4"/>
      <c r="T166" s="4"/>
      <c r="U166" s="4"/>
      <c r="V166" s="4"/>
      <c r="W166" s="4"/>
      <c r="X166" s="4"/>
      <c r="Y166" s="4"/>
    </row>
    <row r="167">
      <c r="A167" s="12">
        <v>166.0</v>
      </c>
      <c r="B167" s="11" t="s">
        <v>496</v>
      </c>
      <c r="C167" s="16" t="s">
        <v>497</v>
      </c>
      <c r="D167" s="11">
        <v>2023.0</v>
      </c>
      <c r="E167" s="11" t="s">
        <v>498</v>
      </c>
      <c r="F167" s="11" t="s">
        <v>437</v>
      </c>
      <c r="G167" s="11" t="s">
        <v>49</v>
      </c>
      <c r="H167" s="11" t="s">
        <v>1224</v>
      </c>
      <c r="I167" s="4"/>
      <c r="J167" s="4"/>
      <c r="K167" s="4"/>
      <c r="L167" s="4"/>
      <c r="M167" s="4"/>
      <c r="N167" s="4"/>
      <c r="O167" s="4"/>
      <c r="P167" s="4"/>
      <c r="Q167" s="4"/>
      <c r="R167" s="4"/>
      <c r="S167" s="4"/>
      <c r="T167" s="4"/>
      <c r="U167" s="4"/>
      <c r="V167" s="4"/>
      <c r="W167" s="4"/>
      <c r="X167" s="4"/>
      <c r="Y167" s="4"/>
    </row>
    <row r="168">
      <c r="A168" s="11">
        <v>167.0</v>
      </c>
      <c r="B168" s="11" t="s">
        <v>499</v>
      </c>
      <c r="C168" s="16" t="s">
        <v>500</v>
      </c>
      <c r="D168" s="11">
        <v>2025.0</v>
      </c>
      <c r="E168" s="11" t="s">
        <v>473</v>
      </c>
      <c r="F168" s="11" t="s">
        <v>437</v>
      </c>
      <c r="G168" s="11" t="s">
        <v>49</v>
      </c>
      <c r="H168" s="11" t="s">
        <v>1224</v>
      </c>
      <c r="I168" s="4"/>
      <c r="J168" s="4"/>
      <c r="K168" s="4"/>
      <c r="L168" s="4"/>
      <c r="M168" s="4"/>
      <c r="N168" s="4"/>
      <c r="O168" s="4"/>
      <c r="P168" s="4"/>
      <c r="Q168" s="4"/>
      <c r="R168" s="4"/>
      <c r="S168" s="4"/>
      <c r="T168" s="4"/>
      <c r="U168" s="4"/>
      <c r="V168" s="4"/>
      <c r="W168" s="4"/>
      <c r="X168" s="4"/>
      <c r="Y168" s="4"/>
    </row>
    <row r="169">
      <c r="A169" s="11">
        <v>168.0</v>
      </c>
      <c r="B169" s="11" t="s">
        <v>501</v>
      </c>
      <c r="C169" s="16" t="s">
        <v>502</v>
      </c>
      <c r="D169" s="11">
        <v>2025.0</v>
      </c>
      <c r="E169" s="11" t="s">
        <v>503</v>
      </c>
      <c r="F169" s="11" t="s">
        <v>437</v>
      </c>
      <c r="G169" s="11" t="s">
        <v>49</v>
      </c>
      <c r="H169" s="11" t="s">
        <v>1224</v>
      </c>
      <c r="I169" s="4"/>
      <c r="J169" s="4"/>
      <c r="K169" s="4"/>
      <c r="L169" s="4"/>
      <c r="M169" s="4"/>
      <c r="N169" s="4"/>
      <c r="O169" s="4"/>
      <c r="P169" s="4"/>
      <c r="Q169" s="4"/>
      <c r="R169" s="4"/>
      <c r="S169" s="4"/>
      <c r="T169" s="4"/>
      <c r="U169" s="4"/>
      <c r="V169" s="4"/>
      <c r="W169" s="4"/>
      <c r="X169" s="4"/>
      <c r="Y169" s="4"/>
    </row>
    <row r="170">
      <c r="A170" s="12">
        <v>169.0</v>
      </c>
      <c r="B170" s="11" t="s">
        <v>504</v>
      </c>
      <c r="C170" s="16" t="s">
        <v>505</v>
      </c>
      <c r="D170" s="11">
        <v>2024.0</v>
      </c>
      <c r="E170" s="11" t="s">
        <v>449</v>
      </c>
      <c r="F170" s="11" t="s">
        <v>437</v>
      </c>
      <c r="G170" s="11" t="s">
        <v>49</v>
      </c>
      <c r="H170" s="11" t="s">
        <v>1224</v>
      </c>
      <c r="I170" s="4"/>
      <c r="J170" s="4"/>
      <c r="K170" s="4"/>
      <c r="L170" s="4"/>
      <c r="M170" s="4"/>
      <c r="N170" s="4"/>
      <c r="O170" s="4"/>
      <c r="P170" s="4"/>
      <c r="Q170" s="4"/>
      <c r="R170" s="4"/>
      <c r="S170" s="4"/>
      <c r="T170" s="4"/>
      <c r="U170" s="4"/>
      <c r="V170" s="4"/>
      <c r="W170" s="4"/>
      <c r="X170" s="4"/>
      <c r="Y170" s="4"/>
    </row>
    <row r="171">
      <c r="A171" s="11">
        <v>7.0</v>
      </c>
      <c r="B171" s="11" t="s">
        <v>506</v>
      </c>
      <c r="C171" s="16" t="s">
        <v>507</v>
      </c>
      <c r="D171" s="11">
        <v>2018.0</v>
      </c>
      <c r="E171" s="11" t="s">
        <v>508</v>
      </c>
      <c r="F171" s="11" t="s">
        <v>437</v>
      </c>
      <c r="G171" s="11" t="s">
        <v>49</v>
      </c>
      <c r="H171" s="11" t="s">
        <v>1224</v>
      </c>
      <c r="I171" s="4"/>
      <c r="J171" s="4"/>
      <c r="K171" s="4"/>
      <c r="L171" s="4"/>
      <c r="M171" s="4"/>
      <c r="N171" s="4"/>
      <c r="O171" s="4"/>
      <c r="P171" s="4"/>
      <c r="Q171" s="4"/>
      <c r="R171" s="4"/>
      <c r="S171" s="4"/>
      <c r="T171" s="4"/>
      <c r="U171" s="4"/>
      <c r="V171" s="4"/>
      <c r="W171" s="4"/>
      <c r="X171" s="4"/>
      <c r="Y171" s="4"/>
    </row>
    <row r="172">
      <c r="A172" s="11">
        <v>171.0</v>
      </c>
      <c r="B172" s="11" t="s">
        <v>509</v>
      </c>
      <c r="C172" s="16" t="s">
        <v>510</v>
      </c>
      <c r="D172" s="11">
        <v>2020.0</v>
      </c>
      <c r="E172" s="11" t="s">
        <v>511</v>
      </c>
      <c r="F172" s="11" t="s">
        <v>437</v>
      </c>
      <c r="G172" s="11" t="s">
        <v>49</v>
      </c>
      <c r="H172" s="11" t="s">
        <v>1224</v>
      </c>
      <c r="I172" s="4"/>
      <c r="J172" s="4"/>
      <c r="K172" s="4"/>
      <c r="L172" s="4"/>
      <c r="M172" s="4"/>
      <c r="N172" s="4"/>
      <c r="O172" s="4"/>
      <c r="P172" s="4"/>
      <c r="Q172" s="4"/>
      <c r="R172" s="4"/>
      <c r="S172" s="4"/>
      <c r="T172" s="4"/>
      <c r="U172" s="4"/>
      <c r="V172" s="4"/>
      <c r="W172" s="4"/>
      <c r="X172" s="4"/>
      <c r="Y172" s="4"/>
    </row>
    <row r="173">
      <c r="A173" s="12">
        <v>172.0</v>
      </c>
      <c r="B173" s="11" t="s">
        <v>512</v>
      </c>
      <c r="C173" s="16" t="s">
        <v>513</v>
      </c>
      <c r="D173" s="11">
        <v>2019.0</v>
      </c>
      <c r="E173" s="11" t="s">
        <v>489</v>
      </c>
      <c r="F173" s="11" t="s">
        <v>437</v>
      </c>
      <c r="G173" s="11" t="s">
        <v>49</v>
      </c>
      <c r="H173" s="11" t="s">
        <v>1224</v>
      </c>
      <c r="I173" s="4"/>
      <c r="J173" s="4"/>
      <c r="K173" s="4"/>
      <c r="L173" s="4"/>
      <c r="M173" s="4"/>
      <c r="N173" s="4"/>
      <c r="O173" s="4"/>
      <c r="P173" s="4"/>
      <c r="Q173" s="4"/>
      <c r="R173" s="4"/>
      <c r="S173" s="4"/>
      <c r="T173" s="4"/>
      <c r="U173" s="4"/>
      <c r="V173" s="4"/>
      <c r="W173" s="4"/>
      <c r="X173" s="4"/>
      <c r="Y173" s="4"/>
    </row>
    <row r="174">
      <c r="A174" s="11">
        <v>173.0</v>
      </c>
      <c r="B174" s="11" t="s">
        <v>514</v>
      </c>
      <c r="C174" s="16" t="s">
        <v>515</v>
      </c>
      <c r="D174" s="11">
        <v>2025.0</v>
      </c>
      <c r="E174" s="11" t="s">
        <v>440</v>
      </c>
      <c r="F174" s="11" t="s">
        <v>437</v>
      </c>
      <c r="G174" s="11" t="s">
        <v>49</v>
      </c>
      <c r="H174" s="11" t="s">
        <v>1224</v>
      </c>
      <c r="I174" s="4"/>
      <c r="J174" s="4"/>
      <c r="K174" s="4"/>
      <c r="L174" s="4"/>
      <c r="M174" s="4"/>
      <c r="N174" s="4"/>
      <c r="O174" s="4"/>
      <c r="P174" s="4"/>
      <c r="Q174" s="4"/>
      <c r="R174" s="4"/>
      <c r="S174" s="4"/>
      <c r="T174" s="4"/>
      <c r="U174" s="4"/>
      <c r="V174" s="4"/>
      <c r="W174" s="4"/>
      <c r="X174" s="4"/>
      <c r="Y174" s="4"/>
    </row>
    <row r="175">
      <c r="A175" s="11">
        <v>174.0</v>
      </c>
      <c r="B175" s="11" t="s">
        <v>516</v>
      </c>
      <c r="C175" s="16" t="s">
        <v>517</v>
      </c>
      <c r="D175" s="11">
        <v>2025.0</v>
      </c>
      <c r="E175" s="11" t="s">
        <v>518</v>
      </c>
      <c r="F175" s="11" t="s">
        <v>437</v>
      </c>
      <c r="G175" s="11" t="s">
        <v>49</v>
      </c>
      <c r="H175" s="11" t="s">
        <v>1224</v>
      </c>
      <c r="I175" s="4"/>
      <c r="J175" s="4"/>
      <c r="K175" s="4"/>
      <c r="L175" s="4"/>
      <c r="M175" s="4"/>
      <c r="N175" s="4"/>
      <c r="O175" s="4"/>
      <c r="P175" s="4"/>
      <c r="Q175" s="4"/>
      <c r="R175" s="4"/>
      <c r="S175" s="4"/>
      <c r="T175" s="4"/>
      <c r="U175" s="4"/>
      <c r="V175" s="4"/>
      <c r="W175" s="4"/>
      <c r="X175" s="4"/>
      <c r="Y175" s="4"/>
    </row>
    <row r="176">
      <c r="A176" s="12">
        <v>175.0</v>
      </c>
      <c r="B176" s="11" t="s">
        <v>519</v>
      </c>
      <c r="C176" s="16" t="s">
        <v>520</v>
      </c>
      <c r="D176" s="11">
        <v>2021.0</v>
      </c>
      <c r="E176" s="11" t="s">
        <v>521</v>
      </c>
      <c r="F176" s="11" t="s">
        <v>437</v>
      </c>
      <c r="G176" s="11" t="s">
        <v>49</v>
      </c>
      <c r="H176" s="11" t="s">
        <v>1224</v>
      </c>
      <c r="I176" s="4"/>
      <c r="J176" s="4"/>
      <c r="K176" s="4"/>
      <c r="L176" s="4"/>
      <c r="M176" s="4"/>
      <c r="N176" s="4"/>
      <c r="O176" s="4"/>
      <c r="P176" s="4"/>
      <c r="Q176" s="4"/>
      <c r="R176" s="4"/>
      <c r="S176" s="4"/>
      <c r="T176" s="4"/>
      <c r="U176" s="4"/>
      <c r="V176" s="4"/>
      <c r="W176" s="4"/>
      <c r="X176" s="4"/>
      <c r="Y176" s="4"/>
    </row>
    <row r="177">
      <c r="A177" s="11">
        <v>176.0</v>
      </c>
      <c r="B177" s="11" t="s">
        <v>522</v>
      </c>
      <c r="C177" s="16" t="s">
        <v>523</v>
      </c>
      <c r="D177" s="11">
        <v>2025.0</v>
      </c>
      <c r="E177" s="11" t="s">
        <v>524</v>
      </c>
      <c r="F177" s="11" t="s">
        <v>437</v>
      </c>
      <c r="G177" s="11" t="s">
        <v>49</v>
      </c>
      <c r="H177" s="11" t="s">
        <v>1224</v>
      </c>
      <c r="I177" s="4"/>
      <c r="J177" s="4"/>
      <c r="K177" s="4"/>
      <c r="L177" s="4"/>
      <c r="M177" s="4"/>
      <c r="N177" s="4"/>
      <c r="O177" s="4"/>
      <c r="P177" s="4"/>
      <c r="Q177" s="4"/>
      <c r="R177" s="4"/>
      <c r="S177" s="4"/>
      <c r="T177" s="4"/>
      <c r="U177" s="4"/>
      <c r="V177" s="4"/>
      <c r="W177" s="4"/>
      <c r="X177" s="4"/>
      <c r="Y177" s="4"/>
    </row>
    <row r="178">
      <c r="A178" s="11">
        <v>177.0</v>
      </c>
      <c r="B178" s="11" t="s">
        <v>525</v>
      </c>
      <c r="C178" s="16" t="s">
        <v>526</v>
      </c>
      <c r="D178" s="11">
        <v>2024.0</v>
      </c>
      <c r="E178" s="11" t="s">
        <v>527</v>
      </c>
      <c r="F178" s="11" t="s">
        <v>437</v>
      </c>
      <c r="G178" s="11" t="s">
        <v>49</v>
      </c>
      <c r="H178" s="11" t="s">
        <v>1224</v>
      </c>
      <c r="I178" s="4"/>
      <c r="J178" s="4"/>
      <c r="K178" s="4"/>
      <c r="L178" s="4"/>
      <c r="M178" s="4"/>
      <c r="N178" s="4"/>
      <c r="O178" s="4"/>
      <c r="P178" s="4"/>
      <c r="Q178" s="4"/>
      <c r="R178" s="4"/>
      <c r="S178" s="4"/>
      <c r="T178" s="4"/>
      <c r="U178" s="4"/>
      <c r="V178" s="4"/>
      <c r="W178" s="4"/>
      <c r="X178" s="4"/>
      <c r="Y178" s="4"/>
    </row>
    <row r="179">
      <c r="A179" s="12">
        <v>178.0</v>
      </c>
      <c r="B179" s="11" t="s">
        <v>528</v>
      </c>
      <c r="C179" s="16" t="s">
        <v>529</v>
      </c>
      <c r="D179" s="11">
        <v>2025.0</v>
      </c>
      <c r="E179" s="11" t="s">
        <v>530</v>
      </c>
      <c r="F179" s="11" t="s">
        <v>437</v>
      </c>
      <c r="G179" s="11" t="s">
        <v>49</v>
      </c>
      <c r="H179" s="11" t="s">
        <v>1224</v>
      </c>
      <c r="I179" s="4"/>
      <c r="J179" s="4"/>
      <c r="K179" s="4"/>
      <c r="L179" s="4"/>
      <c r="M179" s="4"/>
      <c r="N179" s="4"/>
      <c r="O179" s="4"/>
      <c r="P179" s="4"/>
      <c r="Q179" s="4"/>
      <c r="R179" s="4"/>
      <c r="S179" s="4"/>
      <c r="T179" s="4"/>
      <c r="U179" s="4"/>
      <c r="V179" s="4"/>
      <c r="W179" s="4"/>
      <c r="X179" s="4"/>
      <c r="Y179" s="4"/>
    </row>
    <row r="180">
      <c r="A180" s="11">
        <v>179.0</v>
      </c>
      <c r="B180" s="11" t="s">
        <v>531</v>
      </c>
      <c r="C180" s="16" t="s">
        <v>532</v>
      </c>
      <c r="D180" s="11">
        <v>2025.0</v>
      </c>
      <c r="E180" s="11" t="s">
        <v>533</v>
      </c>
      <c r="F180" s="11" t="s">
        <v>437</v>
      </c>
      <c r="G180" s="11" t="s">
        <v>49</v>
      </c>
      <c r="H180" s="11" t="s">
        <v>1224</v>
      </c>
      <c r="I180" s="4"/>
      <c r="J180" s="4"/>
      <c r="K180" s="4"/>
      <c r="L180" s="4"/>
      <c r="M180" s="4"/>
      <c r="N180" s="4"/>
      <c r="O180" s="4"/>
      <c r="P180" s="4"/>
      <c r="Q180" s="4"/>
      <c r="R180" s="4"/>
      <c r="S180" s="4"/>
      <c r="T180" s="4"/>
      <c r="U180" s="4"/>
      <c r="V180" s="4"/>
      <c r="W180" s="4"/>
      <c r="X180" s="4"/>
      <c r="Y180" s="4"/>
    </row>
    <row r="181">
      <c r="A181" s="11">
        <v>180.0</v>
      </c>
      <c r="B181" s="18" t="s">
        <v>534</v>
      </c>
      <c r="C181" s="16" t="s">
        <v>535</v>
      </c>
      <c r="D181" s="11">
        <v>2024.0</v>
      </c>
      <c r="E181" s="11" t="s">
        <v>536</v>
      </c>
      <c r="F181" s="11" t="s">
        <v>437</v>
      </c>
      <c r="G181" s="11" t="s">
        <v>49</v>
      </c>
      <c r="H181" s="11" t="s">
        <v>1225</v>
      </c>
      <c r="I181" s="4"/>
      <c r="J181" s="4"/>
      <c r="K181" s="4"/>
      <c r="L181" s="4"/>
      <c r="M181" s="4"/>
      <c r="N181" s="4"/>
      <c r="O181" s="4"/>
      <c r="P181" s="4"/>
      <c r="Q181" s="4"/>
      <c r="R181" s="4"/>
      <c r="S181" s="4"/>
      <c r="T181" s="4"/>
      <c r="U181" s="4"/>
      <c r="V181" s="4"/>
      <c r="W181" s="4"/>
      <c r="X181" s="4"/>
      <c r="Y181" s="4"/>
    </row>
    <row r="182">
      <c r="A182" s="12">
        <v>181.0</v>
      </c>
      <c r="B182" s="11" t="s">
        <v>537</v>
      </c>
      <c r="C182" s="16" t="s">
        <v>538</v>
      </c>
      <c r="D182" s="11">
        <v>2024.0</v>
      </c>
      <c r="E182" s="11" t="s">
        <v>539</v>
      </c>
      <c r="F182" s="11" t="s">
        <v>437</v>
      </c>
      <c r="G182" s="11" t="s">
        <v>49</v>
      </c>
      <c r="H182" s="11" t="s">
        <v>1224</v>
      </c>
      <c r="I182" s="4"/>
      <c r="J182" s="4"/>
      <c r="K182" s="4"/>
      <c r="L182" s="4"/>
      <c r="M182" s="4"/>
      <c r="N182" s="4"/>
      <c r="O182" s="4"/>
      <c r="P182" s="4"/>
      <c r="Q182" s="4"/>
      <c r="R182" s="4"/>
      <c r="S182" s="4"/>
      <c r="T182" s="4"/>
      <c r="U182" s="4"/>
      <c r="V182" s="4"/>
      <c r="W182" s="4"/>
      <c r="X182" s="4"/>
      <c r="Y182" s="4"/>
    </row>
    <row r="183">
      <c r="A183" s="11">
        <v>182.0</v>
      </c>
      <c r="B183" s="11" t="s">
        <v>540</v>
      </c>
      <c r="C183" s="16" t="s">
        <v>541</v>
      </c>
      <c r="D183" s="11">
        <v>2024.0</v>
      </c>
      <c r="E183" s="11" t="s">
        <v>542</v>
      </c>
      <c r="F183" s="11" t="s">
        <v>437</v>
      </c>
      <c r="G183" s="11" t="s">
        <v>49</v>
      </c>
      <c r="H183" s="11" t="s">
        <v>1224</v>
      </c>
      <c r="I183" s="4"/>
      <c r="J183" s="4"/>
      <c r="K183" s="4"/>
      <c r="L183" s="4"/>
      <c r="M183" s="4"/>
      <c r="N183" s="4"/>
      <c r="O183" s="4"/>
      <c r="P183" s="4"/>
      <c r="Q183" s="4"/>
      <c r="R183" s="4"/>
      <c r="S183" s="4"/>
      <c r="T183" s="4"/>
      <c r="U183" s="4"/>
      <c r="V183" s="4"/>
      <c r="W183" s="4"/>
      <c r="X183" s="4"/>
      <c r="Y183" s="4"/>
    </row>
    <row r="184">
      <c r="A184" s="11">
        <v>183.0</v>
      </c>
      <c r="B184" s="11" t="s">
        <v>543</v>
      </c>
      <c r="C184" s="16" t="s">
        <v>544</v>
      </c>
      <c r="D184" s="11">
        <v>2017.0</v>
      </c>
      <c r="E184" s="11" t="s">
        <v>545</v>
      </c>
      <c r="F184" s="11" t="s">
        <v>437</v>
      </c>
      <c r="G184" s="11" t="s">
        <v>49</v>
      </c>
      <c r="H184" s="11" t="s">
        <v>1224</v>
      </c>
      <c r="I184" s="4"/>
      <c r="J184" s="4"/>
      <c r="K184" s="4"/>
      <c r="L184" s="4"/>
      <c r="M184" s="4"/>
      <c r="N184" s="4"/>
      <c r="O184" s="4"/>
      <c r="P184" s="4"/>
      <c r="Q184" s="4"/>
      <c r="R184" s="4"/>
      <c r="S184" s="4"/>
      <c r="T184" s="4"/>
      <c r="U184" s="4"/>
      <c r="V184" s="4"/>
      <c r="W184" s="4"/>
      <c r="X184" s="4"/>
      <c r="Y184" s="4"/>
    </row>
    <row r="185">
      <c r="A185" s="12">
        <v>184.0</v>
      </c>
      <c r="B185" s="11" t="s">
        <v>546</v>
      </c>
      <c r="C185" s="16" t="s">
        <v>547</v>
      </c>
      <c r="D185" s="11">
        <v>2025.0</v>
      </c>
      <c r="E185" s="11" t="s">
        <v>548</v>
      </c>
      <c r="F185" s="11" t="s">
        <v>437</v>
      </c>
      <c r="G185" s="11" t="s">
        <v>49</v>
      </c>
      <c r="H185" s="11" t="s">
        <v>1224</v>
      </c>
      <c r="I185" s="4"/>
      <c r="J185" s="4"/>
      <c r="K185" s="4"/>
      <c r="L185" s="4"/>
      <c r="M185" s="4"/>
      <c r="N185" s="4"/>
      <c r="O185" s="4"/>
      <c r="P185" s="4"/>
      <c r="Q185" s="4"/>
      <c r="R185" s="4"/>
      <c r="S185" s="4"/>
      <c r="T185" s="4"/>
      <c r="U185" s="4"/>
      <c r="V185" s="4"/>
      <c r="W185" s="4"/>
      <c r="X185" s="4"/>
      <c r="Y185" s="4"/>
    </row>
    <row r="186">
      <c r="A186" s="11">
        <v>185.0</v>
      </c>
      <c r="B186" s="11" t="s">
        <v>549</v>
      </c>
      <c r="C186" s="16" t="s">
        <v>550</v>
      </c>
      <c r="D186" s="11">
        <v>2025.0</v>
      </c>
      <c r="E186" s="11" t="s">
        <v>551</v>
      </c>
      <c r="F186" s="11" t="s">
        <v>437</v>
      </c>
      <c r="G186" s="11" t="s">
        <v>49</v>
      </c>
      <c r="H186" s="11" t="s">
        <v>1224</v>
      </c>
      <c r="I186" s="4"/>
      <c r="J186" s="4"/>
      <c r="K186" s="4"/>
      <c r="L186" s="4"/>
      <c r="M186" s="4"/>
      <c r="N186" s="4"/>
      <c r="O186" s="4"/>
      <c r="P186" s="4"/>
      <c r="Q186" s="4"/>
      <c r="R186" s="4"/>
      <c r="S186" s="4"/>
      <c r="T186" s="4"/>
      <c r="U186" s="4"/>
      <c r="V186" s="4"/>
      <c r="W186" s="4"/>
      <c r="X186" s="4"/>
      <c r="Y186" s="4"/>
    </row>
    <row r="187">
      <c r="A187" s="11">
        <v>186.0</v>
      </c>
      <c r="B187" s="11" t="s">
        <v>552</v>
      </c>
      <c r="C187" s="16" t="s">
        <v>553</v>
      </c>
      <c r="D187" s="11">
        <v>2025.0</v>
      </c>
      <c r="E187" s="11" t="s">
        <v>554</v>
      </c>
      <c r="F187" s="11" t="s">
        <v>437</v>
      </c>
      <c r="G187" s="11" t="s">
        <v>49</v>
      </c>
      <c r="H187" s="11" t="s">
        <v>1224</v>
      </c>
      <c r="I187" s="4"/>
      <c r="J187" s="4"/>
      <c r="K187" s="4"/>
      <c r="L187" s="4"/>
      <c r="M187" s="4"/>
      <c r="N187" s="4"/>
      <c r="O187" s="4"/>
      <c r="P187" s="4"/>
      <c r="Q187" s="4"/>
      <c r="R187" s="4"/>
      <c r="S187" s="4"/>
      <c r="T187" s="4"/>
      <c r="U187" s="4"/>
      <c r="V187" s="4"/>
      <c r="W187" s="4"/>
      <c r="X187" s="4"/>
      <c r="Y187" s="4"/>
    </row>
    <row r="188">
      <c r="A188" s="12">
        <v>187.0</v>
      </c>
      <c r="B188" s="11" t="s">
        <v>555</v>
      </c>
      <c r="C188" s="16" t="s">
        <v>556</v>
      </c>
      <c r="D188" s="11">
        <v>2025.0</v>
      </c>
      <c r="E188" s="11" t="s">
        <v>557</v>
      </c>
      <c r="F188" s="11" t="s">
        <v>437</v>
      </c>
      <c r="G188" s="11" t="s">
        <v>49</v>
      </c>
      <c r="H188" s="11" t="s">
        <v>1224</v>
      </c>
      <c r="I188" s="4"/>
      <c r="J188" s="4"/>
      <c r="K188" s="4"/>
      <c r="L188" s="4"/>
      <c r="M188" s="4"/>
      <c r="N188" s="4"/>
      <c r="O188" s="4"/>
      <c r="P188" s="4"/>
      <c r="Q188" s="4"/>
      <c r="R188" s="4"/>
      <c r="S188" s="4"/>
      <c r="T188" s="4"/>
      <c r="U188" s="4"/>
      <c r="V188" s="4"/>
      <c r="W188" s="4"/>
      <c r="X188" s="4"/>
      <c r="Y188" s="4"/>
    </row>
    <row r="189">
      <c r="A189" s="11">
        <v>188.0</v>
      </c>
      <c r="B189" s="11" t="s">
        <v>558</v>
      </c>
      <c r="C189" s="16" t="s">
        <v>559</v>
      </c>
      <c r="D189" s="11">
        <v>2021.0</v>
      </c>
      <c r="E189" s="11" t="s">
        <v>467</v>
      </c>
      <c r="F189" s="11" t="s">
        <v>437</v>
      </c>
      <c r="G189" s="11" t="s">
        <v>49</v>
      </c>
      <c r="H189" s="11" t="s">
        <v>1224</v>
      </c>
      <c r="I189" s="4"/>
      <c r="J189" s="4"/>
      <c r="K189" s="4"/>
      <c r="L189" s="4"/>
      <c r="M189" s="4"/>
      <c r="N189" s="4"/>
      <c r="O189" s="4"/>
      <c r="P189" s="4"/>
      <c r="Q189" s="4"/>
      <c r="R189" s="4"/>
      <c r="S189" s="4"/>
      <c r="T189" s="4"/>
      <c r="U189" s="4"/>
      <c r="V189" s="4"/>
      <c r="W189" s="4"/>
      <c r="X189" s="4"/>
      <c r="Y189" s="4"/>
    </row>
    <row r="190">
      <c r="A190" s="11">
        <v>189.0</v>
      </c>
      <c r="B190" s="11" t="s">
        <v>560</v>
      </c>
      <c r="C190" s="16" t="s">
        <v>561</v>
      </c>
      <c r="D190" s="11">
        <v>2025.0</v>
      </c>
      <c r="E190" s="11" t="s">
        <v>562</v>
      </c>
      <c r="F190" s="11" t="s">
        <v>437</v>
      </c>
      <c r="G190" s="11" t="s">
        <v>49</v>
      </c>
      <c r="H190" s="11" t="s">
        <v>1224</v>
      </c>
      <c r="I190" s="4"/>
      <c r="J190" s="4"/>
      <c r="K190" s="4"/>
      <c r="L190" s="4"/>
      <c r="M190" s="4"/>
      <c r="N190" s="4"/>
      <c r="O190" s="4"/>
      <c r="P190" s="4"/>
      <c r="Q190" s="4"/>
      <c r="R190" s="4"/>
      <c r="S190" s="4"/>
      <c r="T190" s="4"/>
      <c r="U190" s="4"/>
      <c r="V190" s="4"/>
      <c r="W190" s="4"/>
      <c r="X190" s="4"/>
      <c r="Y190" s="4"/>
    </row>
    <row r="191">
      <c r="A191" s="12">
        <v>190.0</v>
      </c>
      <c r="B191" s="18" t="s">
        <v>563</v>
      </c>
      <c r="C191" s="6" t="s">
        <v>564</v>
      </c>
      <c r="D191" s="11">
        <v>2024.0</v>
      </c>
      <c r="E191" s="11" t="s">
        <v>565</v>
      </c>
      <c r="F191" s="11" t="s">
        <v>14</v>
      </c>
      <c r="G191" s="11" t="s">
        <v>49</v>
      </c>
      <c r="H191" s="11" t="s">
        <v>1225</v>
      </c>
      <c r="I191" s="4"/>
      <c r="J191" s="4"/>
      <c r="K191" s="4"/>
      <c r="L191" s="4"/>
      <c r="M191" s="4"/>
      <c r="N191" s="4"/>
      <c r="O191" s="4"/>
      <c r="P191" s="4"/>
      <c r="Q191" s="4"/>
      <c r="R191" s="4"/>
      <c r="S191" s="4"/>
      <c r="T191" s="4"/>
      <c r="U191" s="4"/>
      <c r="V191" s="4"/>
      <c r="W191" s="4"/>
      <c r="X191" s="4"/>
      <c r="Y191" s="4"/>
    </row>
    <row r="192">
      <c r="A192" s="11">
        <v>191.0</v>
      </c>
      <c r="B192" s="11" t="s">
        <v>566</v>
      </c>
      <c r="C192" s="6" t="s">
        <v>567</v>
      </c>
      <c r="D192" s="11">
        <v>2020.0</v>
      </c>
      <c r="E192" s="11" t="s">
        <v>568</v>
      </c>
      <c r="F192" s="11" t="s">
        <v>14</v>
      </c>
      <c r="G192" s="11" t="s">
        <v>39</v>
      </c>
      <c r="H192" s="11" t="s">
        <v>1224</v>
      </c>
      <c r="I192" s="4"/>
      <c r="J192" s="4"/>
      <c r="K192" s="4"/>
      <c r="L192" s="4"/>
      <c r="M192" s="4"/>
      <c r="N192" s="4"/>
      <c r="O192" s="4"/>
      <c r="P192" s="4"/>
      <c r="Q192" s="4"/>
      <c r="R192" s="4"/>
      <c r="S192" s="4"/>
      <c r="T192" s="4"/>
      <c r="U192" s="4"/>
      <c r="V192" s="4"/>
      <c r="W192" s="4"/>
      <c r="X192" s="4"/>
      <c r="Y192" s="4"/>
    </row>
    <row r="193">
      <c r="A193" s="11">
        <v>192.0</v>
      </c>
      <c r="B193" s="11" t="s">
        <v>569</v>
      </c>
      <c r="C193" s="6" t="s">
        <v>570</v>
      </c>
      <c r="D193" s="11">
        <v>2022.0</v>
      </c>
      <c r="E193" s="11" t="s">
        <v>571</v>
      </c>
      <c r="F193" s="11" t="s">
        <v>14</v>
      </c>
      <c r="G193" s="11" t="s">
        <v>39</v>
      </c>
      <c r="H193" s="11" t="s">
        <v>1224</v>
      </c>
      <c r="I193" s="4"/>
      <c r="J193" s="4"/>
      <c r="K193" s="4"/>
      <c r="L193" s="4"/>
      <c r="M193" s="4"/>
      <c r="N193" s="4"/>
      <c r="O193" s="4"/>
      <c r="P193" s="4"/>
      <c r="Q193" s="4"/>
      <c r="R193" s="4"/>
      <c r="S193" s="4"/>
      <c r="T193" s="4"/>
      <c r="U193" s="4"/>
      <c r="V193" s="4"/>
      <c r="W193" s="4"/>
      <c r="X193" s="4"/>
      <c r="Y193" s="4"/>
    </row>
    <row r="194">
      <c r="A194" s="12">
        <v>193.0</v>
      </c>
      <c r="B194" s="11" t="s">
        <v>572</v>
      </c>
      <c r="C194" s="6" t="s">
        <v>573</v>
      </c>
      <c r="D194" s="11">
        <v>2019.0</v>
      </c>
      <c r="E194" s="11" t="s">
        <v>574</v>
      </c>
      <c r="F194" s="11" t="s">
        <v>14</v>
      </c>
      <c r="G194" s="11" t="s">
        <v>49</v>
      </c>
      <c r="H194" s="11" t="s">
        <v>1224</v>
      </c>
      <c r="I194" s="4"/>
      <c r="J194" s="4"/>
      <c r="K194" s="4"/>
      <c r="L194" s="4"/>
      <c r="M194" s="4"/>
      <c r="N194" s="4"/>
      <c r="O194" s="4"/>
      <c r="P194" s="4"/>
      <c r="Q194" s="4"/>
      <c r="R194" s="4"/>
      <c r="S194" s="4"/>
      <c r="T194" s="4"/>
      <c r="U194" s="4"/>
      <c r="V194" s="4"/>
      <c r="W194" s="4"/>
      <c r="X194" s="4"/>
      <c r="Y194" s="4"/>
    </row>
    <row r="195">
      <c r="A195" s="11">
        <v>194.0</v>
      </c>
      <c r="B195" s="11" t="s">
        <v>575</v>
      </c>
      <c r="C195" s="6" t="s">
        <v>576</v>
      </c>
      <c r="D195" s="11">
        <v>2018.0</v>
      </c>
      <c r="E195" s="11" t="s">
        <v>577</v>
      </c>
      <c r="F195" s="11" t="s">
        <v>14</v>
      </c>
      <c r="G195" s="11" t="s">
        <v>39</v>
      </c>
      <c r="H195" s="11" t="s">
        <v>1224</v>
      </c>
      <c r="I195" s="4"/>
      <c r="J195" s="4"/>
      <c r="K195" s="4"/>
      <c r="L195" s="4"/>
      <c r="M195" s="4"/>
      <c r="N195" s="4"/>
      <c r="O195" s="4"/>
      <c r="P195" s="4"/>
      <c r="Q195" s="4"/>
      <c r="R195" s="4"/>
      <c r="S195" s="4"/>
      <c r="T195" s="4"/>
      <c r="U195" s="4"/>
      <c r="V195" s="4"/>
      <c r="W195" s="4"/>
      <c r="X195" s="4"/>
      <c r="Y195" s="4"/>
    </row>
    <row r="196">
      <c r="A196" s="11">
        <v>195.0</v>
      </c>
      <c r="B196" s="11" t="s">
        <v>578</v>
      </c>
      <c r="C196" s="6" t="s">
        <v>579</v>
      </c>
      <c r="D196" s="11">
        <v>2018.0</v>
      </c>
      <c r="E196" s="11" t="s">
        <v>580</v>
      </c>
      <c r="F196" s="11" t="s">
        <v>14</v>
      </c>
      <c r="G196" s="11" t="s">
        <v>49</v>
      </c>
      <c r="H196" s="11" t="s">
        <v>1224</v>
      </c>
      <c r="I196" s="4"/>
      <c r="J196" s="4"/>
      <c r="K196" s="4"/>
      <c r="L196" s="4"/>
      <c r="M196" s="4"/>
      <c r="N196" s="4"/>
      <c r="O196" s="4"/>
      <c r="P196" s="4"/>
      <c r="Q196" s="4"/>
      <c r="R196" s="4"/>
      <c r="S196" s="4"/>
      <c r="T196" s="4"/>
      <c r="U196" s="4"/>
      <c r="V196" s="4"/>
      <c r="W196" s="4"/>
      <c r="X196" s="4"/>
      <c r="Y196" s="4"/>
    </row>
    <row r="197">
      <c r="A197" s="12">
        <v>196.0</v>
      </c>
      <c r="B197" s="11" t="s">
        <v>581</v>
      </c>
      <c r="C197" s="6" t="s">
        <v>582</v>
      </c>
      <c r="D197" s="11">
        <v>2018.0</v>
      </c>
      <c r="E197" s="11" t="s">
        <v>583</v>
      </c>
      <c r="F197" s="11" t="s">
        <v>14</v>
      </c>
      <c r="G197" s="11" t="s">
        <v>39</v>
      </c>
      <c r="H197" s="11" t="s">
        <v>1224</v>
      </c>
      <c r="I197" s="4"/>
      <c r="J197" s="4"/>
      <c r="K197" s="4"/>
      <c r="L197" s="4"/>
      <c r="M197" s="4"/>
      <c r="N197" s="4"/>
      <c r="O197" s="4"/>
      <c r="P197" s="4"/>
      <c r="Q197" s="4"/>
      <c r="R197" s="4"/>
      <c r="S197" s="4"/>
      <c r="T197" s="4"/>
      <c r="U197" s="4"/>
      <c r="V197" s="4"/>
      <c r="W197" s="4"/>
      <c r="X197" s="4"/>
      <c r="Y197" s="4"/>
    </row>
    <row r="198">
      <c r="A198" s="11">
        <v>197.0</v>
      </c>
      <c r="B198" s="11" t="s">
        <v>584</v>
      </c>
      <c r="C198" s="6" t="s">
        <v>585</v>
      </c>
      <c r="D198" s="11">
        <v>2017.0</v>
      </c>
      <c r="E198" s="11" t="s">
        <v>586</v>
      </c>
      <c r="F198" s="11" t="s">
        <v>14</v>
      </c>
      <c r="G198" s="11" t="s">
        <v>39</v>
      </c>
      <c r="H198" s="11" t="s">
        <v>1224</v>
      </c>
      <c r="I198" s="4"/>
      <c r="J198" s="4"/>
      <c r="K198" s="4"/>
      <c r="L198" s="4"/>
      <c r="M198" s="4"/>
      <c r="N198" s="4"/>
      <c r="O198" s="4"/>
      <c r="P198" s="4"/>
      <c r="Q198" s="4"/>
      <c r="R198" s="4"/>
      <c r="S198" s="4"/>
      <c r="T198" s="4"/>
      <c r="U198" s="4"/>
      <c r="V198" s="4"/>
      <c r="W198" s="4"/>
      <c r="X198" s="4"/>
      <c r="Y198" s="4"/>
    </row>
    <row r="199">
      <c r="A199" s="11">
        <v>198.0</v>
      </c>
      <c r="B199" s="11" t="s">
        <v>587</v>
      </c>
      <c r="C199" s="6" t="s">
        <v>588</v>
      </c>
      <c r="D199" s="11">
        <v>2021.0</v>
      </c>
      <c r="E199" s="11" t="s">
        <v>574</v>
      </c>
      <c r="F199" s="11" t="s">
        <v>14</v>
      </c>
      <c r="G199" s="11" t="s">
        <v>49</v>
      </c>
      <c r="H199" s="11" t="s">
        <v>1224</v>
      </c>
      <c r="I199" s="4"/>
      <c r="J199" s="4"/>
      <c r="K199" s="4"/>
      <c r="L199" s="4"/>
      <c r="M199" s="4"/>
      <c r="N199" s="4"/>
      <c r="O199" s="4"/>
      <c r="P199" s="4"/>
      <c r="Q199" s="4"/>
      <c r="R199" s="4"/>
      <c r="S199" s="4"/>
      <c r="T199" s="4"/>
      <c r="U199" s="4"/>
      <c r="V199" s="4"/>
      <c r="W199" s="4"/>
      <c r="X199" s="4"/>
      <c r="Y199" s="4"/>
    </row>
    <row r="200">
      <c r="A200" s="12">
        <v>199.0</v>
      </c>
      <c r="B200" s="11" t="s">
        <v>589</v>
      </c>
      <c r="C200" s="6" t="s">
        <v>590</v>
      </c>
      <c r="D200" s="11">
        <v>2024.0</v>
      </c>
      <c r="E200" s="11" t="s">
        <v>591</v>
      </c>
      <c r="F200" s="11" t="s">
        <v>14</v>
      </c>
      <c r="G200" s="11" t="s">
        <v>39</v>
      </c>
      <c r="H200" s="11" t="s">
        <v>1224</v>
      </c>
      <c r="I200" s="4"/>
      <c r="J200" s="4"/>
      <c r="K200" s="4"/>
      <c r="L200" s="4"/>
      <c r="M200" s="4"/>
      <c r="N200" s="4"/>
      <c r="O200" s="4"/>
      <c r="P200" s="4"/>
      <c r="Q200" s="4"/>
      <c r="R200" s="4"/>
      <c r="S200" s="4"/>
      <c r="T200" s="4"/>
      <c r="U200" s="4"/>
      <c r="V200" s="4"/>
      <c r="W200" s="4"/>
      <c r="X200" s="4"/>
      <c r="Y200" s="4"/>
    </row>
    <row r="201">
      <c r="A201" s="11">
        <v>200.0</v>
      </c>
      <c r="B201" s="11" t="s">
        <v>592</v>
      </c>
      <c r="C201" s="6" t="s">
        <v>593</v>
      </c>
      <c r="D201" s="11">
        <v>2025.0</v>
      </c>
      <c r="E201" s="11" t="s">
        <v>580</v>
      </c>
      <c r="F201" s="11" t="s">
        <v>14</v>
      </c>
      <c r="G201" s="11" t="s">
        <v>49</v>
      </c>
      <c r="H201" s="11" t="s">
        <v>1224</v>
      </c>
      <c r="I201" s="4"/>
      <c r="J201" s="4"/>
      <c r="K201" s="4"/>
      <c r="L201" s="4"/>
      <c r="M201" s="4"/>
      <c r="N201" s="4"/>
      <c r="O201" s="4"/>
      <c r="P201" s="4"/>
      <c r="Q201" s="4"/>
      <c r="R201" s="4"/>
      <c r="S201" s="4"/>
      <c r="T201" s="4"/>
      <c r="U201" s="4"/>
      <c r="V201" s="4"/>
      <c r="W201" s="4"/>
      <c r="X201" s="4"/>
      <c r="Y201" s="4"/>
    </row>
    <row r="202">
      <c r="A202" s="11">
        <v>201.0</v>
      </c>
      <c r="B202" s="11" t="s">
        <v>594</v>
      </c>
      <c r="C202" s="6" t="s">
        <v>595</v>
      </c>
      <c r="D202" s="11">
        <v>2025.0</v>
      </c>
      <c r="E202" s="11" t="s">
        <v>596</v>
      </c>
      <c r="F202" s="11" t="s">
        <v>14</v>
      </c>
      <c r="G202" s="11" t="s">
        <v>49</v>
      </c>
      <c r="H202" s="11" t="s">
        <v>1224</v>
      </c>
      <c r="I202" s="4"/>
      <c r="J202" s="4"/>
      <c r="K202" s="4"/>
      <c r="L202" s="4"/>
      <c r="M202" s="4"/>
      <c r="N202" s="4"/>
      <c r="O202" s="4"/>
      <c r="P202" s="4"/>
      <c r="Q202" s="4"/>
      <c r="R202" s="4"/>
      <c r="S202" s="4"/>
      <c r="T202" s="4"/>
      <c r="U202" s="4"/>
      <c r="V202" s="4"/>
      <c r="W202" s="4"/>
      <c r="X202" s="4"/>
      <c r="Y202" s="4"/>
    </row>
    <row r="203">
      <c r="A203" s="12">
        <v>202.0</v>
      </c>
      <c r="B203" s="11" t="s">
        <v>597</v>
      </c>
      <c r="C203" s="6" t="s">
        <v>598</v>
      </c>
      <c r="D203" s="11">
        <v>2024.0</v>
      </c>
      <c r="E203" s="11" t="s">
        <v>599</v>
      </c>
      <c r="F203" s="11" t="s">
        <v>14</v>
      </c>
      <c r="G203" s="11" t="s">
        <v>39</v>
      </c>
      <c r="H203" s="11" t="s">
        <v>1224</v>
      </c>
      <c r="I203" s="4"/>
      <c r="J203" s="4"/>
      <c r="K203" s="4"/>
      <c r="L203" s="4"/>
      <c r="M203" s="4"/>
      <c r="N203" s="4"/>
      <c r="O203" s="4"/>
      <c r="P203" s="4"/>
      <c r="Q203" s="4"/>
      <c r="R203" s="4"/>
      <c r="S203" s="4"/>
      <c r="T203" s="4"/>
      <c r="U203" s="4"/>
      <c r="V203" s="4"/>
      <c r="W203" s="4"/>
      <c r="X203" s="4"/>
      <c r="Y203" s="4"/>
    </row>
    <row r="204">
      <c r="A204" s="11">
        <v>203.0</v>
      </c>
      <c r="B204" s="11" t="s">
        <v>600</v>
      </c>
      <c r="C204" s="6" t="s">
        <v>601</v>
      </c>
      <c r="D204" s="11">
        <v>2023.0</v>
      </c>
      <c r="E204" s="11" t="s">
        <v>602</v>
      </c>
      <c r="F204" s="11" t="s">
        <v>14</v>
      </c>
      <c r="G204" s="11" t="s">
        <v>39</v>
      </c>
      <c r="H204" s="11" t="s">
        <v>1224</v>
      </c>
      <c r="I204" s="4"/>
      <c r="J204" s="4"/>
      <c r="K204" s="4"/>
      <c r="L204" s="4"/>
      <c r="M204" s="4"/>
      <c r="N204" s="4"/>
      <c r="O204" s="4"/>
      <c r="P204" s="4"/>
      <c r="Q204" s="4"/>
      <c r="R204" s="4"/>
      <c r="S204" s="4"/>
      <c r="T204" s="4"/>
      <c r="U204" s="4"/>
      <c r="V204" s="4"/>
      <c r="W204" s="4"/>
      <c r="X204" s="4"/>
      <c r="Y204" s="4"/>
    </row>
    <row r="205">
      <c r="A205" s="11">
        <v>204.0</v>
      </c>
      <c r="B205" s="11" t="s">
        <v>603</v>
      </c>
      <c r="C205" s="6" t="s">
        <v>604</v>
      </c>
      <c r="D205" s="11">
        <v>2020.0</v>
      </c>
      <c r="E205" s="11" t="s">
        <v>605</v>
      </c>
      <c r="F205" s="11" t="s">
        <v>14</v>
      </c>
      <c r="G205" s="11" t="s">
        <v>39</v>
      </c>
      <c r="H205" s="11" t="s">
        <v>1224</v>
      </c>
      <c r="I205" s="4"/>
      <c r="J205" s="4"/>
      <c r="K205" s="4"/>
      <c r="L205" s="4"/>
      <c r="M205" s="4"/>
      <c r="N205" s="4"/>
      <c r="O205" s="4"/>
      <c r="P205" s="4"/>
      <c r="Q205" s="4"/>
      <c r="R205" s="4"/>
      <c r="S205" s="4"/>
      <c r="T205" s="4"/>
      <c r="U205" s="4"/>
      <c r="V205" s="4"/>
      <c r="W205" s="4"/>
      <c r="X205" s="4"/>
      <c r="Y205" s="4"/>
    </row>
    <row r="206">
      <c r="A206" s="12">
        <v>205.0</v>
      </c>
      <c r="B206" s="11" t="s">
        <v>606</v>
      </c>
      <c r="C206" s="6" t="s">
        <v>607</v>
      </c>
      <c r="D206" s="11">
        <v>2025.0</v>
      </c>
      <c r="E206" s="11" t="s">
        <v>608</v>
      </c>
      <c r="F206" s="11" t="s">
        <v>14</v>
      </c>
      <c r="G206" s="11" t="s">
        <v>39</v>
      </c>
      <c r="H206" s="11" t="s">
        <v>1224</v>
      </c>
      <c r="I206" s="4"/>
      <c r="J206" s="4"/>
      <c r="K206" s="4"/>
      <c r="L206" s="4"/>
      <c r="M206" s="4"/>
      <c r="N206" s="4"/>
      <c r="O206" s="4"/>
      <c r="P206" s="4"/>
      <c r="Q206" s="4"/>
      <c r="R206" s="4"/>
      <c r="S206" s="4"/>
      <c r="T206" s="4"/>
      <c r="U206" s="4"/>
      <c r="V206" s="4"/>
      <c r="W206" s="4"/>
      <c r="X206" s="4"/>
      <c r="Y206" s="4"/>
    </row>
    <row r="207">
      <c r="A207" s="11">
        <v>206.0</v>
      </c>
      <c r="B207" s="11" t="s">
        <v>609</v>
      </c>
      <c r="C207" s="6" t="s">
        <v>610</v>
      </c>
      <c r="D207" s="11">
        <v>2021.0</v>
      </c>
      <c r="E207" s="11" t="s">
        <v>611</v>
      </c>
      <c r="F207" s="11" t="s">
        <v>14</v>
      </c>
      <c r="G207" s="11" t="s">
        <v>39</v>
      </c>
      <c r="H207" s="11" t="s">
        <v>1224</v>
      </c>
      <c r="I207" s="4"/>
      <c r="J207" s="4"/>
      <c r="K207" s="4"/>
      <c r="L207" s="4"/>
      <c r="M207" s="4"/>
      <c r="N207" s="4"/>
      <c r="O207" s="4"/>
      <c r="P207" s="4"/>
      <c r="Q207" s="4"/>
      <c r="R207" s="4"/>
      <c r="S207" s="4"/>
      <c r="T207" s="4"/>
      <c r="U207" s="4"/>
      <c r="V207" s="4"/>
      <c r="W207" s="4"/>
      <c r="X207" s="4"/>
      <c r="Y207" s="4"/>
    </row>
    <row r="208">
      <c r="A208" s="11">
        <v>207.0</v>
      </c>
      <c r="B208" s="11" t="s">
        <v>612</v>
      </c>
      <c r="C208" s="6" t="s">
        <v>613</v>
      </c>
      <c r="D208" s="11">
        <v>2024.0</v>
      </c>
      <c r="E208" s="11" t="s">
        <v>614</v>
      </c>
      <c r="F208" s="11" t="s">
        <v>14</v>
      </c>
      <c r="G208" s="11" t="s">
        <v>39</v>
      </c>
      <c r="H208" s="11" t="s">
        <v>1224</v>
      </c>
      <c r="I208" s="4"/>
      <c r="J208" s="4"/>
      <c r="K208" s="4"/>
      <c r="L208" s="4"/>
      <c r="M208" s="4"/>
      <c r="N208" s="4"/>
      <c r="O208" s="4"/>
      <c r="P208" s="4"/>
      <c r="Q208" s="4"/>
      <c r="R208" s="4"/>
      <c r="S208" s="4"/>
      <c r="T208" s="4"/>
      <c r="U208" s="4"/>
      <c r="V208" s="4"/>
      <c r="W208" s="4"/>
      <c r="X208" s="4"/>
      <c r="Y208" s="4"/>
    </row>
    <row r="209">
      <c r="A209" s="12">
        <v>208.0</v>
      </c>
      <c r="B209" s="11" t="s">
        <v>615</v>
      </c>
      <c r="C209" s="6" t="s">
        <v>616</v>
      </c>
      <c r="D209" s="11">
        <v>2021.0</v>
      </c>
      <c r="E209" s="11" t="s">
        <v>617</v>
      </c>
      <c r="F209" s="11" t="s">
        <v>14</v>
      </c>
      <c r="G209" s="11" t="s">
        <v>39</v>
      </c>
      <c r="H209" s="11" t="s">
        <v>1224</v>
      </c>
      <c r="I209" s="4"/>
      <c r="J209" s="4"/>
      <c r="K209" s="4"/>
      <c r="L209" s="4"/>
      <c r="M209" s="4"/>
      <c r="N209" s="4"/>
      <c r="O209" s="4"/>
      <c r="P209" s="4"/>
      <c r="Q209" s="4"/>
      <c r="R209" s="4"/>
      <c r="S209" s="4"/>
      <c r="T209" s="4"/>
      <c r="U209" s="4"/>
      <c r="V209" s="4"/>
      <c r="W209" s="4"/>
      <c r="X209" s="4"/>
      <c r="Y209" s="4"/>
    </row>
    <row r="210">
      <c r="A210" s="11">
        <v>209.0</v>
      </c>
      <c r="B210" s="11" t="s">
        <v>618</v>
      </c>
      <c r="C210" s="6" t="s">
        <v>619</v>
      </c>
      <c r="D210" s="11">
        <v>2022.0</v>
      </c>
      <c r="E210" s="11" t="s">
        <v>620</v>
      </c>
      <c r="F210" s="11" t="s">
        <v>14</v>
      </c>
      <c r="G210" s="11" t="s">
        <v>39</v>
      </c>
      <c r="H210" s="11" t="s">
        <v>1224</v>
      </c>
      <c r="I210" s="4"/>
      <c r="J210" s="4"/>
      <c r="K210" s="4"/>
      <c r="L210" s="4"/>
      <c r="M210" s="4"/>
      <c r="N210" s="4"/>
      <c r="O210" s="4"/>
      <c r="P210" s="4"/>
      <c r="Q210" s="4"/>
      <c r="R210" s="4"/>
      <c r="S210" s="4"/>
      <c r="T210" s="4"/>
      <c r="U210" s="4"/>
      <c r="V210" s="4"/>
      <c r="W210" s="4"/>
      <c r="X210" s="4"/>
      <c r="Y210" s="4"/>
    </row>
    <row r="211">
      <c r="A211" s="11">
        <v>210.0</v>
      </c>
      <c r="B211" s="11" t="s">
        <v>621</v>
      </c>
      <c r="C211" s="6" t="s">
        <v>622</v>
      </c>
      <c r="D211" s="11">
        <v>2017.0</v>
      </c>
      <c r="E211" s="11" t="s">
        <v>623</v>
      </c>
      <c r="F211" s="11" t="s">
        <v>14</v>
      </c>
      <c r="G211" s="11" t="s">
        <v>39</v>
      </c>
      <c r="H211" s="11" t="s">
        <v>1224</v>
      </c>
      <c r="I211" s="4"/>
      <c r="J211" s="4"/>
      <c r="K211" s="4"/>
      <c r="L211" s="4"/>
      <c r="M211" s="4"/>
      <c r="N211" s="4"/>
      <c r="O211" s="4"/>
      <c r="P211" s="4"/>
      <c r="Q211" s="4"/>
      <c r="R211" s="4"/>
      <c r="S211" s="4"/>
      <c r="T211" s="4"/>
      <c r="U211" s="4"/>
      <c r="V211" s="4"/>
      <c r="W211" s="4"/>
      <c r="X211" s="4"/>
      <c r="Y211" s="4"/>
    </row>
    <row r="212">
      <c r="A212" s="12">
        <v>211.0</v>
      </c>
      <c r="B212" s="11" t="s">
        <v>249</v>
      </c>
      <c r="C212" s="6" t="s">
        <v>624</v>
      </c>
      <c r="D212" s="11">
        <v>2021.0</v>
      </c>
      <c r="E212" s="11" t="s">
        <v>625</v>
      </c>
      <c r="F212" s="11" t="s">
        <v>14</v>
      </c>
      <c r="G212" s="11" t="s">
        <v>49</v>
      </c>
      <c r="H212" s="11" t="s">
        <v>1225</v>
      </c>
      <c r="I212" s="11" t="s">
        <v>1227</v>
      </c>
      <c r="J212" s="4"/>
      <c r="K212" s="4"/>
      <c r="L212" s="4"/>
      <c r="M212" s="4"/>
      <c r="N212" s="4"/>
      <c r="O212" s="4"/>
      <c r="P212" s="4"/>
      <c r="Q212" s="4"/>
      <c r="R212" s="4"/>
      <c r="S212" s="4"/>
      <c r="T212" s="4"/>
      <c r="U212" s="4"/>
      <c r="V212" s="4"/>
      <c r="W212" s="4"/>
      <c r="X212" s="4"/>
      <c r="Y212" s="4"/>
    </row>
    <row r="213">
      <c r="A213" s="11">
        <v>212.0</v>
      </c>
      <c r="B213" s="11" t="s">
        <v>626</v>
      </c>
      <c r="C213" s="6" t="s">
        <v>627</v>
      </c>
      <c r="D213" s="11">
        <v>2024.0</v>
      </c>
      <c r="E213" s="11" t="s">
        <v>625</v>
      </c>
      <c r="F213" s="11" t="s">
        <v>14</v>
      </c>
      <c r="G213" s="11" t="s">
        <v>49</v>
      </c>
      <c r="H213" s="11" t="s">
        <v>1224</v>
      </c>
      <c r="I213" s="4"/>
      <c r="J213" s="4"/>
      <c r="K213" s="4"/>
      <c r="L213" s="4"/>
      <c r="M213" s="4"/>
      <c r="N213" s="4"/>
      <c r="O213" s="4"/>
      <c r="P213" s="4"/>
      <c r="Q213" s="4"/>
      <c r="R213" s="4"/>
      <c r="S213" s="4"/>
      <c r="T213" s="4"/>
      <c r="U213" s="4"/>
      <c r="V213" s="4"/>
      <c r="W213" s="4"/>
      <c r="X213" s="4"/>
      <c r="Y213" s="4"/>
    </row>
    <row r="214">
      <c r="A214" s="11">
        <v>213.0</v>
      </c>
      <c r="B214" s="11" t="s">
        <v>628</v>
      </c>
      <c r="C214" s="6" t="s">
        <v>629</v>
      </c>
      <c r="D214" s="11">
        <v>2021.0</v>
      </c>
      <c r="E214" s="11" t="s">
        <v>630</v>
      </c>
      <c r="F214" s="11" t="s">
        <v>14</v>
      </c>
      <c r="G214" s="11" t="s">
        <v>39</v>
      </c>
      <c r="H214" s="11" t="s">
        <v>1224</v>
      </c>
      <c r="I214" s="4"/>
      <c r="J214" s="4"/>
      <c r="K214" s="4"/>
      <c r="L214" s="4"/>
      <c r="M214" s="4"/>
      <c r="N214" s="4"/>
      <c r="O214" s="4"/>
      <c r="P214" s="4"/>
      <c r="Q214" s="4"/>
      <c r="R214" s="4"/>
      <c r="S214" s="4"/>
      <c r="T214" s="4"/>
      <c r="U214" s="4"/>
      <c r="V214" s="4"/>
      <c r="W214" s="4"/>
      <c r="X214" s="4"/>
      <c r="Y214" s="4"/>
    </row>
    <row r="215">
      <c r="A215" s="12">
        <v>214.0</v>
      </c>
      <c r="B215" s="11" t="s">
        <v>631</v>
      </c>
      <c r="C215" s="6" t="s">
        <v>632</v>
      </c>
      <c r="D215" s="11">
        <v>2024.0</v>
      </c>
      <c r="E215" s="11" t="s">
        <v>580</v>
      </c>
      <c r="F215" s="11" t="s">
        <v>14</v>
      </c>
      <c r="G215" s="11" t="s">
        <v>49</v>
      </c>
      <c r="H215" s="11" t="s">
        <v>1224</v>
      </c>
      <c r="I215" s="4"/>
      <c r="J215" s="4"/>
      <c r="K215" s="4"/>
      <c r="L215" s="4"/>
      <c r="M215" s="4"/>
      <c r="N215" s="4"/>
      <c r="O215" s="4"/>
      <c r="P215" s="4"/>
      <c r="Q215" s="4"/>
      <c r="R215" s="4"/>
      <c r="S215" s="4"/>
      <c r="T215" s="4"/>
      <c r="U215" s="4"/>
      <c r="V215" s="4"/>
      <c r="W215" s="4"/>
      <c r="X215" s="4"/>
      <c r="Y215" s="4"/>
    </row>
    <row r="216">
      <c r="A216" s="11">
        <v>215.0</v>
      </c>
      <c r="B216" s="11" t="s">
        <v>633</v>
      </c>
      <c r="C216" s="6" t="s">
        <v>634</v>
      </c>
      <c r="D216" s="11">
        <v>2024.0</v>
      </c>
      <c r="E216" s="11" t="s">
        <v>580</v>
      </c>
      <c r="F216" s="11" t="s">
        <v>14</v>
      </c>
      <c r="G216" s="11" t="s">
        <v>49</v>
      </c>
      <c r="H216" s="11" t="s">
        <v>1224</v>
      </c>
      <c r="I216" s="4"/>
      <c r="J216" s="4"/>
      <c r="K216" s="4"/>
      <c r="L216" s="4"/>
      <c r="M216" s="4"/>
      <c r="N216" s="4"/>
      <c r="O216" s="4"/>
      <c r="P216" s="4"/>
      <c r="Q216" s="4"/>
      <c r="R216" s="4"/>
      <c r="S216" s="4"/>
      <c r="T216" s="4"/>
      <c r="U216" s="4"/>
      <c r="V216" s="4"/>
      <c r="W216" s="4"/>
      <c r="X216" s="4"/>
      <c r="Y216" s="4"/>
    </row>
    <row r="217">
      <c r="A217" s="11">
        <v>216.0</v>
      </c>
      <c r="B217" s="11" t="s">
        <v>635</v>
      </c>
      <c r="C217" s="6" t="s">
        <v>636</v>
      </c>
      <c r="D217" s="11">
        <v>2018.0</v>
      </c>
      <c r="E217" s="11" t="s">
        <v>637</v>
      </c>
      <c r="F217" s="11" t="s">
        <v>14</v>
      </c>
      <c r="G217" s="11" t="s">
        <v>39</v>
      </c>
      <c r="H217" s="11" t="s">
        <v>1224</v>
      </c>
      <c r="I217" s="4"/>
      <c r="J217" s="4"/>
      <c r="K217" s="4"/>
      <c r="L217" s="4"/>
      <c r="M217" s="4"/>
      <c r="N217" s="4"/>
      <c r="O217" s="4"/>
      <c r="P217" s="4"/>
      <c r="Q217" s="4"/>
      <c r="R217" s="4"/>
      <c r="S217" s="4"/>
      <c r="T217" s="4"/>
      <c r="U217" s="4"/>
      <c r="V217" s="4"/>
      <c r="W217" s="4"/>
      <c r="X217" s="4"/>
      <c r="Y217" s="4"/>
    </row>
    <row r="218">
      <c r="A218" s="12">
        <v>217.0</v>
      </c>
      <c r="B218" s="11" t="s">
        <v>638</v>
      </c>
      <c r="C218" s="6" t="s">
        <v>639</v>
      </c>
      <c r="D218" s="11">
        <v>2015.0</v>
      </c>
      <c r="E218" s="11" t="s">
        <v>640</v>
      </c>
      <c r="F218" s="11" t="s">
        <v>14</v>
      </c>
      <c r="G218" s="11" t="s">
        <v>39</v>
      </c>
      <c r="H218" s="11" t="s">
        <v>1224</v>
      </c>
      <c r="I218" s="4"/>
      <c r="J218" s="4"/>
      <c r="K218" s="4"/>
      <c r="L218" s="4"/>
      <c r="M218" s="4"/>
      <c r="N218" s="4"/>
      <c r="O218" s="4"/>
      <c r="P218" s="4"/>
      <c r="Q218" s="4"/>
      <c r="R218" s="4"/>
      <c r="S218" s="4"/>
      <c r="T218" s="4"/>
      <c r="U218" s="4"/>
      <c r="V218" s="4"/>
      <c r="W218" s="4"/>
      <c r="X218" s="4"/>
      <c r="Y218" s="4"/>
    </row>
    <row r="219">
      <c r="A219" s="11">
        <v>218.0</v>
      </c>
      <c r="B219" s="11" t="s">
        <v>641</v>
      </c>
      <c r="C219" s="6" t="s">
        <v>642</v>
      </c>
      <c r="D219" s="11">
        <v>2020.0</v>
      </c>
      <c r="E219" s="11" t="s">
        <v>643</v>
      </c>
      <c r="F219" s="11" t="s">
        <v>14</v>
      </c>
      <c r="G219" s="11" t="s">
        <v>39</v>
      </c>
      <c r="H219" s="11" t="s">
        <v>1224</v>
      </c>
      <c r="I219" s="4"/>
      <c r="J219" s="4"/>
      <c r="K219" s="4"/>
      <c r="L219" s="4"/>
      <c r="M219" s="4"/>
      <c r="N219" s="4"/>
      <c r="O219" s="4"/>
      <c r="P219" s="4"/>
      <c r="Q219" s="4"/>
      <c r="R219" s="4"/>
      <c r="S219" s="4"/>
      <c r="T219" s="4"/>
      <c r="U219" s="4"/>
      <c r="V219" s="4"/>
      <c r="W219" s="4"/>
      <c r="X219" s="4"/>
      <c r="Y219" s="4"/>
    </row>
    <row r="220">
      <c r="A220" s="11">
        <v>219.0</v>
      </c>
      <c r="B220" s="11" t="s">
        <v>644</v>
      </c>
      <c r="C220" s="6" t="s">
        <v>645</v>
      </c>
      <c r="D220" s="11">
        <v>2025.0</v>
      </c>
      <c r="E220" s="11" t="s">
        <v>646</v>
      </c>
      <c r="F220" s="11" t="s">
        <v>14</v>
      </c>
      <c r="G220" s="11" t="s">
        <v>39</v>
      </c>
      <c r="H220" s="11" t="s">
        <v>1224</v>
      </c>
      <c r="I220" s="4"/>
      <c r="J220" s="4"/>
      <c r="K220" s="4"/>
      <c r="L220" s="4"/>
      <c r="M220" s="4"/>
      <c r="N220" s="4"/>
      <c r="O220" s="4"/>
      <c r="P220" s="4"/>
      <c r="Q220" s="4"/>
      <c r="R220" s="4"/>
      <c r="S220" s="4"/>
      <c r="T220" s="4"/>
      <c r="U220" s="4"/>
      <c r="V220" s="4"/>
      <c r="W220" s="4"/>
      <c r="X220" s="4"/>
      <c r="Y220" s="4"/>
    </row>
    <row r="221">
      <c r="A221" s="12">
        <v>220.0</v>
      </c>
      <c r="B221" s="11" t="s">
        <v>647</v>
      </c>
      <c r="C221" s="6" t="s">
        <v>648</v>
      </c>
      <c r="D221" s="11">
        <v>2024.0</v>
      </c>
      <c r="E221" s="11" t="s">
        <v>649</v>
      </c>
      <c r="F221" s="11" t="s">
        <v>14</v>
      </c>
      <c r="G221" s="11" t="s">
        <v>49</v>
      </c>
      <c r="H221" s="11" t="s">
        <v>1224</v>
      </c>
      <c r="I221" s="4"/>
      <c r="J221" s="4"/>
      <c r="K221" s="4"/>
      <c r="L221" s="4"/>
      <c r="M221" s="4"/>
      <c r="N221" s="4"/>
      <c r="O221" s="4"/>
      <c r="P221" s="4"/>
      <c r="Q221" s="4"/>
      <c r="R221" s="4"/>
      <c r="S221" s="4"/>
      <c r="T221" s="4"/>
      <c r="U221" s="4"/>
      <c r="V221" s="4"/>
      <c r="W221" s="4"/>
      <c r="X221" s="4"/>
      <c r="Y221" s="4"/>
    </row>
    <row r="222">
      <c r="A222" s="11">
        <v>221.0</v>
      </c>
      <c r="B222" s="11" t="s">
        <v>650</v>
      </c>
      <c r="C222" s="6" t="s">
        <v>651</v>
      </c>
      <c r="D222" s="11">
        <v>2018.0</v>
      </c>
      <c r="E222" s="11" t="s">
        <v>580</v>
      </c>
      <c r="F222" s="11" t="s">
        <v>14</v>
      </c>
      <c r="G222" s="11" t="s">
        <v>49</v>
      </c>
      <c r="H222" s="11" t="s">
        <v>1224</v>
      </c>
      <c r="I222" s="4"/>
      <c r="J222" s="4"/>
      <c r="K222" s="4"/>
      <c r="L222" s="4"/>
      <c r="M222" s="4"/>
      <c r="N222" s="4"/>
      <c r="O222" s="4"/>
      <c r="P222" s="4"/>
      <c r="Q222" s="4"/>
      <c r="R222" s="4"/>
      <c r="S222" s="4"/>
      <c r="T222" s="4"/>
      <c r="U222" s="4"/>
      <c r="V222" s="4"/>
      <c r="W222" s="4"/>
      <c r="X222" s="4"/>
      <c r="Y222" s="4"/>
    </row>
    <row r="223">
      <c r="A223" s="11">
        <v>222.0</v>
      </c>
      <c r="B223" s="11" t="s">
        <v>652</v>
      </c>
      <c r="C223" s="6" t="s">
        <v>653</v>
      </c>
      <c r="D223" s="11">
        <v>2019.0</v>
      </c>
      <c r="E223" s="11" t="s">
        <v>580</v>
      </c>
      <c r="F223" s="11" t="s">
        <v>14</v>
      </c>
      <c r="G223" s="11" t="s">
        <v>49</v>
      </c>
      <c r="H223" s="11" t="s">
        <v>1224</v>
      </c>
      <c r="I223" s="4"/>
      <c r="J223" s="4"/>
      <c r="K223" s="4"/>
      <c r="L223" s="4"/>
      <c r="M223" s="4"/>
      <c r="N223" s="4"/>
      <c r="O223" s="4"/>
      <c r="P223" s="4"/>
      <c r="Q223" s="4"/>
      <c r="R223" s="4"/>
      <c r="S223" s="4"/>
      <c r="T223" s="4"/>
      <c r="U223" s="4"/>
      <c r="V223" s="4"/>
      <c r="W223" s="4"/>
      <c r="X223" s="4"/>
      <c r="Y223" s="4"/>
    </row>
    <row r="224">
      <c r="A224" s="12">
        <v>223.0</v>
      </c>
      <c r="B224" s="11" t="s">
        <v>654</v>
      </c>
      <c r="C224" s="6" t="s">
        <v>655</v>
      </c>
      <c r="D224" s="11">
        <v>2017.0</v>
      </c>
      <c r="E224" s="11" t="s">
        <v>656</v>
      </c>
      <c r="F224" s="11" t="s">
        <v>14</v>
      </c>
      <c r="G224" s="11" t="s">
        <v>39</v>
      </c>
      <c r="H224" s="11" t="s">
        <v>1224</v>
      </c>
      <c r="I224" s="4"/>
      <c r="J224" s="4"/>
      <c r="K224" s="4"/>
      <c r="L224" s="4"/>
      <c r="M224" s="4"/>
      <c r="N224" s="4"/>
      <c r="O224" s="4"/>
      <c r="P224" s="4"/>
      <c r="Q224" s="4"/>
      <c r="R224" s="4"/>
      <c r="S224" s="4"/>
      <c r="T224" s="4"/>
      <c r="U224" s="4"/>
      <c r="V224" s="4"/>
      <c r="W224" s="4"/>
      <c r="X224" s="4"/>
      <c r="Y224" s="4"/>
    </row>
    <row r="225">
      <c r="A225" s="11">
        <v>224.0</v>
      </c>
      <c r="B225" s="11" t="s">
        <v>657</v>
      </c>
      <c r="C225" s="6" t="s">
        <v>658</v>
      </c>
      <c r="D225" s="11">
        <v>2023.0</v>
      </c>
      <c r="E225" s="11" t="s">
        <v>659</v>
      </c>
      <c r="F225" s="11" t="s">
        <v>14</v>
      </c>
      <c r="G225" s="11" t="s">
        <v>39</v>
      </c>
      <c r="H225" s="11" t="s">
        <v>1224</v>
      </c>
      <c r="I225" s="4"/>
      <c r="J225" s="4"/>
      <c r="K225" s="4"/>
      <c r="L225" s="4"/>
      <c r="M225" s="4"/>
      <c r="N225" s="4"/>
      <c r="O225" s="4"/>
      <c r="P225" s="4"/>
      <c r="Q225" s="4"/>
      <c r="R225" s="4"/>
      <c r="S225" s="4"/>
      <c r="T225" s="4"/>
      <c r="U225" s="4"/>
      <c r="V225" s="4"/>
      <c r="W225" s="4"/>
      <c r="X225" s="4"/>
      <c r="Y225" s="4"/>
    </row>
    <row r="226">
      <c r="A226" s="11">
        <v>225.0</v>
      </c>
      <c r="B226" s="11" t="s">
        <v>660</v>
      </c>
      <c r="C226" s="6" t="s">
        <v>661</v>
      </c>
      <c r="D226" s="11">
        <v>2017.0</v>
      </c>
      <c r="E226" s="11" t="s">
        <v>574</v>
      </c>
      <c r="F226" s="11" t="s">
        <v>14</v>
      </c>
      <c r="G226" s="11" t="s">
        <v>49</v>
      </c>
      <c r="H226" s="11" t="s">
        <v>1224</v>
      </c>
      <c r="I226" s="4"/>
      <c r="J226" s="4"/>
      <c r="K226" s="4"/>
      <c r="L226" s="4"/>
      <c r="M226" s="4"/>
      <c r="N226" s="4"/>
      <c r="O226" s="4"/>
      <c r="P226" s="4"/>
      <c r="Q226" s="4"/>
      <c r="R226" s="4"/>
      <c r="S226" s="4"/>
      <c r="T226" s="4"/>
      <c r="U226" s="4"/>
      <c r="V226" s="4"/>
      <c r="W226" s="4"/>
      <c r="X226" s="4"/>
      <c r="Y226" s="4"/>
    </row>
    <row r="227">
      <c r="A227" s="12">
        <v>226.0</v>
      </c>
      <c r="B227" s="11" t="s">
        <v>662</v>
      </c>
      <c r="C227" s="6" t="s">
        <v>663</v>
      </c>
      <c r="D227" s="11">
        <v>2020.0</v>
      </c>
      <c r="E227" s="11" t="s">
        <v>664</v>
      </c>
      <c r="F227" s="11" t="s">
        <v>14</v>
      </c>
      <c r="G227" s="11" t="s">
        <v>49</v>
      </c>
      <c r="H227" s="11" t="s">
        <v>1224</v>
      </c>
      <c r="I227" s="4"/>
      <c r="J227" s="4"/>
      <c r="K227" s="4"/>
      <c r="L227" s="4"/>
      <c r="M227" s="4"/>
      <c r="N227" s="4"/>
      <c r="O227" s="4"/>
      <c r="P227" s="4"/>
      <c r="Q227" s="4"/>
      <c r="R227" s="4"/>
      <c r="S227" s="4"/>
      <c r="T227" s="4"/>
      <c r="U227" s="4"/>
      <c r="V227" s="4"/>
      <c r="W227" s="4"/>
      <c r="X227" s="4"/>
      <c r="Y227" s="4"/>
    </row>
    <row r="228">
      <c r="A228" s="11">
        <v>227.0</v>
      </c>
      <c r="B228" s="11" t="s">
        <v>665</v>
      </c>
      <c r="C228" s="6" t="s">
        <v>666</v>
      </c>
      <c r="D228" s="11">
        <v>2018.0</v>
      </c>
      <c r="E228" s="11" t="s">
        <v>596</v>
      </c>
      <c r="F228" s="11" t="s">
        <v>14</v>
      </c>
      <c r="G228" s="11" t="s">
        <v>49</v>
      </c>
      <c r="H228" s="11" t="s">
        <v>1224</v>
      </c>
      <c r="I228" s="4"/>
      <c r="J228" s="4"/>
      <c r="K228" s="4"/>
      <c r="L228" s="4"/>
      <c r="M228" s="4"/>
      <c r="N228" s="4"/>
      <c r="O228" s="4"/>
      <c r="P228" s="4"/>
      <c r="Q228" s="4"/>
      <c r="R228" s="4"/>
      <c r="S228" s="4"/>
      <c r="T228" s="4"/>
      <c r="U228" s="4"/>
      <c r="V228" s="4"/>
      <c r="W228" s="4"/>
      <c r="X228" s="4"/>
      <c r="Y228" s="4"/>
    </row>
    <row r="229">
      <c r="A229" s="11">
        <v>228.0</v>
      </c>
      <c r="B229" s="11" t="s">
        <v>667</v>
      </c>
      <c r="C229" s="6" t="s">
        <v>668</v>
      </c>
      <c r="D229" s="11">
        <v>2018.0</v>
      </c>
      <c r="E229" s="11" t="s">
        <v>669</v>
      </c>
      <c r="F229" s="11" t="s">
        <v>14</v>
      </c>
      <c r="G229" s="11" t="s">
        <v>39</v>
      </c>
      <c r="H229" s="11" t="s">
        <v>1224</v>
      </c>
      <c r="I229" s="4"/>
      <c r="J229" s="4"/>
      <c r="K229" s="4"/>
      <c r="L229" s="4"/>
      <c r="M229" s="4"/>
      <c r="N229" s="4"/>
      <c r="O229" s="4"/>
      <c r="P229" s="4"/>
      <c r="Q229" s="4"/>
      <c r="R229" s="4"/>
      <c r="S229" s="4"/>
      <c r="T229" s="4"/>
      <c r="U229" s="4"/>
      <c r="V229" s="4"/>
      <c r="W229" s="4"/>
      <c r="X229" s="4"/>
      <c r="Y229" s="4"/>
    </row>
    <row r="230">
      <c r="A230" s="12">
        <v>229.0</v>
      </c>
      <c r="B230" s="11" t="s">
        <v>670</v>
      </c>
      <c r="C230" s="6" t="s">
        <v>671</v>
      </c>
      <c r="D230" s="11">
        <v>2019.0</v>
      </c>
      <c r="E230" s="11" t="s">
        <v>672</v>
      </c>
      <c r="F230" s="11" t="s">
        <v>14</v>
      </c>
      <c r="G230" s="11" t="s">
        <v>39</v>
      </c>
      <c r="H230" s="11" t="s">
        <v>1224</v>
      </c>
      <c r="I230" s="4"/>
      <c r="J230" s="4"/>
      <c r="K230" s="4"/>
      <c r="L230" s="4"/>
      <c r="M230" s="4"/>
      <c r="N230" s="4"/>
      <c r="O230" s="4"/>
      <c r="P230" s="4"/>
      <c r="Q230" s="4"/>
      <c r="R230" s="4"/>
      <c r="S230" s="4"/>
      <c r="T230" s="4"/>
      <c r="U230" s="4"/>
      <c r="V230" s="4"/>
      <c r="W230" s="4"/>
      <c r="X230" s="4"/>
      <c r="Y230" s="4"/>
    </row>
    <row r="231">
      <c r="A231" s="11">
        <v>230.0</v>
      </c>
      <c r="B231" s="11" t="s">
        <v>673</v>
      </c>
      <c r="C231" s="6" t="s">
        <v>674</v>
      </c>
      <c r="D231" s="11">
        <v>2022.0</v>
      </c>
      <c r="E231" s="11" t="s">
        <v>675</v>
      </c>
      <c r="F231" s="11" t="s">
        <v>14</v>
      </c>
      <c r="G231" s="11" t="s">
        <v>39</v>
      </c>
      <c r="H231" s="11" t="s">
        <v>1224</v>
      </c>
      <c r="I231" s="4"/>
      <c r="J231" s="4"/>
      <c r="K231" s="4"/>
      <c r="L231" s="4"/>
      <c r="M231" s="4"/>
      <c r="N231" s="4"/>
      <c r="O231" s="4"/>
      <c r="P231" s="4"/>
      <c r="Q231" s="4"/>
      <c r="R231" s="4"/>
      <c r="S231" s="4"/>
      <c r="T231" s="4"/>
      <c r="U231" s="4"/>
      <c r="V231" s="4"/>
      <c r="W231" s="4"/>
      <c r="X231" s="4"/>
      <c r="Y231" s="4"/>
    </row>
    <row r="232">
      <c r="A232" s="11">
        <v>231.0</v>
      </c>
      <c r="B232" s="11" t="s">
        <v>676</v>
      </c>
      <c r="C232" s="6" t="s">
        <v>677</v>
      </c>
      <c r="D232" s="11">
        <v>2025.0</v>
      </c>
      <c r="E232" s="11" t="s">
        <v>678</v>
      </c>
      <c r="F232" s="11" t="s">
        <v>14</v>
      </c>
      <c r="G232" s="11" t="s">
        <v>39</v>
      </c>
      <c r="H232" s="11" t="s">
        <v>1224</v>
      </c>
      <c r="I232" s="4"/>
      <c r="J232" s="4"/>
      <c r="K232" s="4"/>
      <c r="L232" s="4"/>
      <c r="M232" s="4"/>
      <c r="N232" s="4"/>
      <c r="O232" s="4"/>
      <c r="P232" s="4"/>
      <c r="Q232" s="4"/>
      <c r="R232" s="4"/>
      <c r="S232" s="4"/>
      <c r="T232" s="4"/>
      <c r="U232" s="4"/>
      <c r="V232" s="4"/>
      <c r="W232" s="4"/>
      <c r="X232" s="4"/>
      <c r="Y232" s="4"/>
    </row>
    <row r="233">
      <c r="A233" s="12">
        <v>232.0</v>
      </c>
      <c r="B233" s="11" t="s">
        <v>679</v>
      </c>
      <c r="C233" s="6" t="s">
        <v>680</v>
      </c>
      <c r="D233" s="11">
        <v>2018.0</v>
      </c>
      <c r="E233" s="11" t="s">
        <v>580</v>
      </c>
      <c r="F233" s="11" t="s">
        <v>14</v>
      </c>
      <c r="G233" s="11" t="s">
        <v>49</v>
      </c>
      <c r="H233" s="11" t="s">
        <v>1224</v>
      </c>
      <c r="I233" s="4"/>
      <c r="J233" s="4"/>
      <c r="K233" s="4"/>
      <c r="L233" s="4"/>
      <c r="M233" s="4"/>
      <c r="N233" s="4"/>
      <c r="O233" s="4"/>
      <c r="P233" s="4"/>
      <c r="Q233" s="4"/>
      <c r="R233" s="4"/>
      <c r="S233" s="4"/>
      <c r="T233" s="4"/>
      <c r="U233" s="4"/>
      <c r="V233" s="4"/>
      <c r="W233" s="4"/>
      <c r="X233" s="4"/>
      <c r="Y233" s="4"/>
    </row>
    <row r="234">
      <c r="A234" s="11">
        <v>233.0</v>
      </c>
      <c r="B234" s="11" t="s">
        <v>681</v>
      </c>
      <c r="C234" s="6" t="s">
        <v>682</v>
      </c>
      <c r="D234" s="11">
        <v>2015.0</v>
      </c>
      <c r="E234" s="11" t="s">
        <v>683</v>
      </c>
      <c r="F234" s="11" t="s">
        <v>14</v>
      </c>
      <c r="G234" s="11" t="s">
        <v>39</v>
      </c>
      <c r="H234" s="11" t="s">
        <v>1224</v>
      </c>
      <c r="I234" s="4"/>
      <c r="J234" s="4"/>
      <c r="K234" s="4"/>
      <c r="L234" s="4"/>
      <c r="M234" s="4"/>
      <c r="N234" s="4"/>
      <c r="O234" s="4"/>
      <c r="P234" s="4"/>
      <c r="Q234" s="4"/>
      <c r="R234" s="4"/>
      <c r="S234" s="4"/>
      <c r="T234" s="4"/>
      <c r="U234" s="4"/>
      <c r="V234" s="4"/>
      <c r="W234" s="4"/>
      <c r="X234" s="4"/>
      <c r="Y234" s="4"/>
    </row>
    <row r="235">
      <c r="A235" s="11">
        <v>234.0</v>
      </c>
      <c r="B235" s="11" t="s">
        <v>684</v>
      </c>
      <c r="C235" s="6" t="s">
        <v>685</v>
      </c>
      <c r="D235" s="11">
        <v>2024.0</v>
      </c>
      <c r="E235" s="11" t="s">
        <v>580</v>
      </c>
      <c r="F235" s="11" t="s">
        <v>14</v>
      </c>
      <c r="G235" s="11" t="s">
        <v>49</v>
      </c>
      <c r="H235" s="11" t="s">
        <v>1224</v>
      </c>
      <c r="I235" s="4"/>
      <c r="J235" s="4"/>
      <c r="K235" s="4"/>
      <c r="L235" s="4"/>
      <c r="M235" s="4"/>
      <c r="N235" s="4"/>
      <c r="O235" s="4"/>
      <c r="P235" s="4"/>
      <c r="Q235" s="4"/>
      <c r="R235" s="4"/>
      <c r="S235" s="4"/>
      <c r="T235" s="4"/>
      <c r="U235" s="4"/>
      <c r="V235" s="4"/>
      <c r="W235" s="4"/>
      <c r="X235" s="4"/>
      <c r="Y235" s="4"/>
    </row>
    <row r="236">
      <c r="A236" s="12">
        <v>235.0</v>
      </c>
      <c r="B236" s="11" t="s">
        <v>686</v>
      </c>
      <c r="C236" s="6" t="s">
        <v>687</v>
      </c>
      <c r="D236" s="11">
        <v>2020.0</v>
      </c>
      <c r="E236" s="11" t="s">
        <v>688</v>
      </c>
      <c r="F236" s="11" t="s">
        <v>14</v>
      </c>
      <c r="G236" s="11" t="s">
        <v>39</v>
      </c>
      <c r="H236" s="11" t="s">
        <v>1224</v>
      </c>
      <c r="I236" s="4"/>
      <c r="J236" s="4"/>
      <c r="K236" s="4"/>
      <c r="L236" s="4"/>
      <c r="M236" s="4"/>
      <c r="N236" s="4"/>
      <c r="O236" s="4"/>
      <c r="P236" s="4"/>
      <c r="Q236" s="4"/>
      <c r="R236" s="4"/>
      <c r="S236" s="4"/>
      <c r="T236" s="4"/>
      <c r="U236" s="4"/>
      <c r="V236" s="4"/>
      <c r="W236" s="4"/>
      <c r="X236" s="4"/>
      <c r="Y236" s="4"/>
    </row>
    <row r="237">
      <c r="A237" s="11">
        <v>236.0</v>
      </c>
      <c r="B237" s="11" t="s">
        <v>689</v>
      </c>
      <c r="C237" s="6" t="s">
        <v>690</v>
      </c>
      <c r="D237" s="11">
        <v>2021.0</v>
      </c>
      <c r="E237" s="11" t="s">
        <v>691</v>
      </c>
      <c r="F237" s="11" t="s">
        <v>14</v>
      </c>
      <c r="G237" s="11" t="s">
        <v>39</v>
      </c>
      <c r="H237" s="11" t="s">
        <v>1224</v>
      </c>
      <c r="I237" s="4"/>
      <c r="J237" s="4"/>
      <c r="K237" s="4"/>
      <c r="L237" s="4"/>
      <c r="M237" s="4"/>
      <c r="N237" s="4"/>
      <c r="O237" s="4"/>
      <c r="P237" s="4"/>
      <c r="Q237" s="4"/>
      <c r="R237" s="4"/>
      <c r="S237" s="4"/>
      <c r="T237" s="4"/>
      <c r="U237" s="4"/>
      <c r="V237" s="4"/>
      <c r="W237" s="4"/>
      <c r="X237" s="4"/>
      <c r="Y237" s="4"/>
    </row>
    <row r="238">
      <c r="A238" s="11">
        <v>237.0</v>
      </c>
      <c r="B238" s="18" t="s">
        <v>692</v>
      </c>
      <c r="C238" s="6" t="s">
        <v>693</v>
      </c>
      <c r="D238" s="11">
        <v>2019.0</v>
      </c>
      <c r="E238" s="11" t="s">
        <v>694</v>
      </c>
      <c r="F238" s="11" t="s">
        <v>14</v>
      </c>
      <c r="G238" s="11" t="s">
        <v>49</v>
      </c>
      <c r="H238" s="11" t="s">
        <v>1225</v>
      </c>
      <c r="I238" s="4"/>
      <c r="J238" s="4"/>
      <c r="K238" s="4"/>
      <c r="L238" s="4"/>
      <c r="M238" s="4"/>
      <c r="N238" s="4"/>
      <c r="O238" s="4"/>
      <c r="P238" s="4"/>
      <c r="Q238" s="4"/>
      <c r="R238" s="4"/>
      <c r="S238" s="4"/>
      <c r="T238" s="4"/>
      <c r="U238" s="4"/>
      <c r="V238" s="4"/>
      <c r="W238" s="4"/>
      <c r="X238" s="4"/>
      <c r="Y238" s="4"/>
    </row>
    <row r="239">
      <c r="A239" s="12">
        <v>238.0</v>
      </c>
      <c r="B239" s="11" t="s">
        <v>695</v>
      </c>
      <c r="C239" s="6" t="s">
        <v>696</v>
      </c>
      <c r="D239" s="11">
        <v>2021.0</v>
      </c>
      <c r="E239" s="11" t="s">
        <v>574</v>
      </c>
      <c r="F239" s="11" t="s">
        <v>14</v>
      </c>
      <c r="G239" s="11" t="s">
        <v>49</v>
      </c>
      <c r="H239" s="11" t="s">
        <v>1224</v>
      </c>
      <c r="I239" s="4"/>
      <c r="J239" s="4"/>
      <c r="K239" s="4"/>
      <c r="L239" s="4"/>
      <c r="M239" s="4"/>
      <c r="N239" s="4"/>
      <c r="O239" s="4"/>
      <c r="P239" s="4"/>
      <c r="Q239" s="4"/>
      <c r="R239" s="4"/>
      <c r="S239" s="4"/>
      <c r="T239" s="4"/>
      <c r="U239" s="4"/>
      <c r="V239" s="4"/>
      <c r="W239" s="4"/>
      <c r="X239" s="4"/>
      <c r="Y239" s="4"/>
    </row>
    <row r="240">
      <c r="A240" s="11">
        <v>239.0</v>
      </c>
      <c r="B240" s="11" t="s">
        <v>697</v>
      </c>
      <c r="C240" s="6" t="s">
        <v>698</v>
      </c>
      <c r="D240" s="11">
        <v>2015.0</v>
      </c>
      <c r="E240" s="11" t="s">
        <v>699</v>
      </c>
      <c r="F240" s="11" t="s">
        <v>14</v>
      </c>
      <c r="G240" s="11" t="s">
        <v>39</v>
      </c>
      <c r="H240" s="11" t="s">
        <v>1224</v>
      </c>
      <c r="I240" s="4"/>
      <c r="J240" s="4"/>
      <c r="K240" s="4"/>
      <c r="L240" s="4"/>
      <c r="M240" s="4"/>
      <c r="N240" s="4"/>
      <c r="O240" s="4"/>
      <c r="P240" s="4"/>
      <c r="Q240" s="4"/>
      <c r="R240" s="4"/>
      <c r="S240" s="4"/>
      <c r="T240" s="4"/>
      <c r="U240" s="4"/>
      <c r="V240" s="4"/>
      <c r="W240" s="4"/>
      <c r="X240" s="4"/>
      <c r="Y240" s="4"/>
    </row>
    <row r="241">
      <c r="A241" s="11">
        <v>240.0</v>
      </c>
      <c r="B241" s="11" t="s">
        <v>700</v>
      </c>
      <c r="C241" s="6" t="s">
        <v>701</v>
      </c>
      <c r="D241" s="11">
        <v>2025.0</v>
      </c>
      <c r="E241" s="11" t="s">
        <v>574</v>
      </c>
      <c r="F241" s="11" t="s">
        <v>14</v>
      </c>
      <c r="G241" s="11" t="s">
        <v>49</v>
      </c>
      <c r="H241" s="11" t="s">
        <v>1224</v>
      </c>
      <c r="I241" s="4"/>
      <c r="J241" s="4"/>
      <c r="K241" s="4"/>
      <c r="L241" s="4"/>
      <c r="M241" s="4"/>
      <c r="N241" s="4"/>
      <c r="O241" s="4"/>
      <c r="P241" s="4"/>
      <c r="Q241" s="4"/>
      <c r="R241" s="4"/>
      <c r="S241" s="4"/>
      <c r="T241" s="4"/>
      <c r="U241" s="4"/>
      <c r="V241" s="4"/>
      <c r="W241" s="4"/>
      <c r="X241" s="4"/>
      <c r="Y241" s="4"/>
    </row>
    <row r="242">
      <c r="A242" s="12">
        <v>241.0</v>
      </c>
      <c r="B242" s="11" t="s">
        <v>702</v>
      </c>
      <c r="C242" s="6" t="s">
        <v>703</v>
      </c>
      <c r="D242" s="11">
        <v>2025.0</v>
      </c>
      <c r="E242" s="11" t="s">
        <v>574</v>
      </c>
      <c r="F242" s="11" t="s">
        <v>14</v>
      </c>
      <c r="G242" s="11" t="s">
        <v>49</v>
      </c>
      <c r="H242" s="11" t="s">
        <v>1224</v>
      </c>
      <c r="I242" s="4"/>
      <c r="J242" s="4"/>
      <c r="K242" s="4"/>
      <c r="L242" s="4"/>
      <c r="M242" s="4"/>
      <c r="N242" s="4"/>
      <c r="O242" s="4"/>
      <c r="P242" s="4"/>
      <c r="Q242" s="4"/>
      <c r="R242" s="4"/>
      <c r="S242" s="4"/>
      <c r="T242" s="4"/>
      <c r="U242" s="4"/>
      <c r="V242" s="4"/>
      <c r="W242" s="4"/>
      <c r="X242" s="4"/>
      <c r="Y242" s="4"/>
    </row>
    <row r="243">
      <c r="A243" s="11">
        <v>242.0</v>
      </c>
      <c r="B243" s="11" t="s">
        <v>704</v>
      </c>
      <c r="C243" s="6" t="s">
        <v>705</v>
      </c>
      <c r="D243" s="11">
        <v>2019.0</v>
      </c>
      <c r="E243" s="11" t="s">
        <v>706</v>
      </c>
      <c r="F243" s="11" t="s">
        <v>14</v>
      </c>
      <c r="G243" s="11" t="s">
        <v>39</v>
      </c>
      <c r="H243" s="11" t="s">
        <v>1224</v>
      </c>
      <c r="I243" s="4"/>
      <c r="J243" s="4"/>
      <c r="K243" s="4"/>
      <c r="L243" s="4"/>
      <c r="M243" s="4"/>
      <c r="N243" s="4"/>
      <c r="O243" s="4"/>
      <c r="P243" s="4"/>
      <c r="Q243" s="4"/>
      <c r="R243" s="4"/>
      <c r="S243" s="4"/>
      <c r="T243" s="4"/>
      <c r="U243" s="4"/>
      <c r="V243" s="4"/>
      <c r="W243" s="4"/>
      <c r="X243" s="4"/>
      <c r="Y243" s="4"/>
    </row>
    <row r="244">
      <c r="A244" s="11">
        <v>243.0</v>
      </c>
      <c r="B244" s="11" t="s">
        <v>707</v>
      </c>
      <c r="C244" s="6" t="s">
        <v>708</v>
      </c>
      <c r="D244" s="11">
        <v>2021.0</v>
      </c>
      <c r="E244" s="11" t="s">
        <v>706</v>
      </c>
      <c r="F244" s="11" t="s">
        <v>14</v>
      </c>
      <c r="G244" s="11" t="s">
        <v>39</v>
      </c>
      <c r="H244" s="11" t="s">
        <v>1224</v>
      </c>
      <c r="I244" s="4"/>
      <c r="J244" s="4"/>
      <c r="K244" s="4"/>
      <c r="L244" s="4"/>
      <c r="M244" s="4"/>
      <c r="N244" s="4"/>
      <c r="O244" s="4"/>
      <c r="P244" s="4"/>
      <c r="Q244" s="4"/>
      <c r="R244" s="4"/>
      <c r="S244" s="4"/>
      <c r="T244" s="4"/>
      <c r="U244" s="4"/>
      <c r="V244" s="4"/>
      <c r="W244" s="4"/>
      <c r="X244" s="4"/>
      <c r="Y244" s="4"/>
    </row>
    <row r="245">
      <c r="A245" s="12">
        <v>244.0</v>
      </c>
      <c r="B245" s="11" t="s">
        <v>709</v>
      </c>
      <c r="C245" s="6" t="s">
        <v>710</v>
      </c>
      <c r="D245" s="11">
        <v>2025.0</v>
      </c>
      <c r="E245" s="11" t="s">
        <v>574</v>
      </c>
      <c r="F245" s="11" t="s">
        <v>14</v>
      </c>
      <c r="G245" s="11" t="s">
        <v>49</v>
      </c>
      <c r="H245" s="11" t="s">
        <v>1224</v>
      </c>
      <c r="I245" s="4"/>
      <c r="J245" s="4"/>
      <c r="K245" s="4"/>
      <c r="L245" s="4"/>
      <c r="M245" s="4"/>
      <c r="N245" s="4"/>
      <c r="O245" s="4"/>
      <c r="P245" s="4"/>
      <c r="Q245" s="4"/>
      <c r="R245" s="4"/>
      <c r="S245" s="4"/>
      <c r="T245" s="4"/>
      <c r="U245" s="4"/>
      <c r="V245" s="4"/>
      <c r="W245" s="4"/>
      <c r="X245" s="4"/>
      <c r="Y245" s="4"/>
    </row>
    <row r="246">
      <c r="A246" s="11">
        <v>245.0</v>
      </c>
      <c r="B246" s="11" t="s">
        <v>711</v>
      </c>
      <c r="C246" s="6" t="s">
        <v>712</v>
      </c>
      <c r="D246" s="11">
        <v>2021.0</v>
      </c>
      <c r="E246" s="11" t="s">
        <v>713</v>
      </c>
      <c r="F246" s="11" t="s">
        <v>14</v>
      </c>
      <c r="G246" s="11" t="s">
        <v>39</v>
      </c>
      <c r="H246" s="11" t="s">
        <v>1224</v>
      </c>
      <c r="I246" s="4"/>
      <c r="J246" s="4"/>
      <c r="K246" s="4"/>
      <c r="L246" s="4"/>
      <c r="M246" s="4"/>
      <c r="N246" s="4"/>
      <c r="O246" s="4"/>
      <c r="P246" s="4"/>
      <c r="Q246" s="4"/>
      <c r="R246" s="4"/>
      <c r="S246" s="4"/>
      <c r="T246" s="4"/>
      <c r="U246" s="4"/>
      <c r="V246" s="4"/>
      <c r="W246" s="4"/>
      <c r="X246" s="4"/>
      <c r="Y246" s="4"/>
    </row>
    <row r="247">
      <c r="A247" s="11">
        <v>246.0</v>
      </c>
      <c r="B247" s="11" t="s">
        <v>714</v>
      </c>
      <c r="C247" s="6" t="s">
        <v>715</v>
      </c>
      <c r="D247" s="11">
        <v>2022.0</v>
      </c>
      <c r="E247" s="11" t="s">
        <v>716</v>
      </c>
      <c r="F247" s="11" t="s">
        <v>14</v>
      </c>
      <c r="G247" s="11" t="s">
        <v>39</v>
      </c>
      <c r="H247" s="11" t="s">
        <v>1224</v>
      </c>
      <c r="I247" s="4"/>
      <c r="J247" s="4"/>
      <c r="K247" s="4"/>
      <c r="L247" s="4"/>
      <c r="M247" s="4"/>
      <c r="N247" s="4"/>
      <c r="O247" s="4"/>
      <c r="P247" s="4"/>
      <c r="Q247" s="4"/>
      <c r="R247" s="4"/>
      <c r="S247" s="4"/>
      <c r="T247" s="4"/>
      <c r="U247" s="4"/>
      <c r="V247" s="4"/>
      <c r="W247" s="4"/>
      <c r="X247" s="4"/>
      <c r="Y247" s="4"/>
    </row>
    <row r="248">
      <c r="A248" s="12">
        <v>247.0</v>
      </c>
      <c r="B248" s="11" t="s">
        <v>717</v>
      </c>
      <c r="C248" s="6" t="s">
        <v>718</v>
      </c>
      <c r="D248" s="11">
        <v>2018.0</v>
      </c>
      <c r="E248" s="11" t="s">
        <v>719</v>
      </c>
      <c r="F248" s="11" t="s">
        <v>14</v>
      </c>
      <c r="G248" s="11" t="s">
        <v>39</v>
      </c>
      <c r="H248" s="11" t="s">
        <v>1224</v>
      </c>
      <c r="I248" s="4"/>
      <c r="J248" s="4"/>
      <c r="K248" s="4"/>
      <c r="L248" s="4"/>
      <c r="M248" s="4"/>
      <c r="N248" s="4"/>
      <c r="O248" s="4"/>
      <c r="P248" s="4"/>
      <c r="Q248" s="4"/>
      <c r="R248" s="4"/>
      <c r="S248" s="4"/>
      <c r="T248" s="4"/>
      <c r="U248" s="4"/>
      <c r="V248" s="4"/>
      <c r="W248" s="4"/>
      <c r="X248" s="4"/>
      <c r="Y248" s="4"/>
    </row>
    <row r="249">
      <c r="A249" s="11">
        <v>248.0</v>
      </c>
      <c r="B249" s="11" t="s">
        <v>720</v>
      </c>
      <c r="C249" s="6" t="s">
        <v>721</v>
      </c>
      <c r="D249" s="11">
        <v>2024.0</v>
      </c>
      <c r="E249" s="11" t="s">
        <v>580</v>
      </c>
      <c r="F249" s="11" t="s">
        <v>14</v>
      </c>
      <c r="G249" s="11" t="s">
        <v>49</v>
      </c>
      <c r="H249" s="11" t="s">
        <v>1224</v>
      </c>
      <c r="I249" s="4"/>
      <c r="J249" s="4"/>
      <c r="K249" s="4"/>
      <c r="L249" s="4"/>
      <c r="M249" s="4"/>
      <c r="N249" s="4"/>
      <c r="O249" s="4"/>
      <c r="P249" s="4"/>
      <c r="Q249" s="4"/>
      <c r="R249" s="4"/>
      <c r="S249" s="4"/>
      <c r="T249" s="4"/>
      <c r="U249" s="4"/>
      <c r="V249" s="4"/>
      <c r="W249" s="4"/>
      <c r="X249" s="4"/>
      <c r="Y249" s="4"/>
    </row>
    <row r="250">
      <c r="A250" s="11">
        <v>249.0</v>
      </c>
      <c r="B250" s="11" t="s">
        <v>722</v>
      </c>
      <c r="C250" s="6" t="s">
        <v>723</v>
      </c>
      <c r="D250" s="11">
        <v>2025.0</v>
      </c>
      <c r="E250" s="11" t="s">
        <v>574</v>
      </c>
      <c r="F250" s="11" t="s">
        <v>14</v>
      </c>
      <c r="G250" s="11" t="s">
        <v>49</v>
      </c>
      <c r="H250" s="11" t="s">
        <v>1224</v>
      </c>
      <c r="I250" s="4"/>
      <c r="J250" s="4"/>
      <c r="K250" s="4"/>
      <c r="L250" s="4"/>
      <c r="M250" s="4"/>
      <c r="N250" s="4"/>
      <c r="O250" s="4"/>
      <c r="P250" s="4"/>
      <c r="Q250" s="4"/>
      <c r="R250" s="4"/>
      <c r="S250" s="4"/>
      <c r="T250" s="4"/>
      <c r="U250" s="4"/>
      <c r="V250" s="4"/>
      <c r="W250" s="4"/>
      <c r="X250" s="4"/>
      <c r="Y250" s="4"/>
    </row>
    <row r="251">
      <c r="A251" s="12">
        <v>250.0</v>
      </c>
      <c r="B251" s="11" t="s">
        <v>724</v>
      </c>
      <c r="C251" s="6" t="s">
        <v>725</v>
      </c>
      <c r="D251" s="11">
        <v>2024.0</v>
      </c>
      <c r="E251" s="11" t="s">
        <v>726</v>
      </c>
      <c r="F251" s="11" t="s">
        <v>14</v>
      </c>
      <c r="G251" s="11" t="s">
        <v>39</v>
      </c>
      <c r="H251" s="11" t="s">
        <v>1224</v>
      </c>
      <c r="I251" s="4"/>
      <c r="J251" s="4"/>
      <c r="K251" s="4"/>
      <c r="L251" s="4"/>
      <c r="M251" s="4"/>
      <c r="N251" s="4"/>
      <c r="O251" s="4"/>
      <c r="P251" s="4"/>
      <c r="Q251" s="4"/>
      <c r="R251" s="4"/>
      <c r="S251" s="4"/>
      <c r="T251" s="4"/>
      <c r="U251" s="4"/>
      <c r="V251" s="4"/>
      <c r="W251" s="4"/>
      <c r="X251" s="4"/>
      <c r="Y251" s="4"/>
    </row>
    <row r="252">
      <c r="A252" s="11">
        <v>251.0</v>
      </c>
      <c r="B252" s="11" t="s">
        <v>727</v>
      </c>
      <c r="C252" s="6" t="s">
        <v>728</v>
      </c>
      <c r="D252" s="11">
        <v>2019.0</v>
      </c>
      <c r="E252" s="11" t="s">
        <v>580</v>
      </c>
      <c r="F252" s="11" t="s">
        <v>14</v>
      </c>
      <c r="G252" s="11" t="s">
        <v>49</v>
      </c>
      <c r="H252" s="11" t="s">
        <v>1224</v>
      </c>
      <c r="I252" s="4"/>
      <c r="J252" s="4"/>
      <c r="K252" s="4"/>
      <c r="L252" s="4"/>
      <c r="M252" s="4"/>
      <c r="N252" s="4"/>
      <c r="O252" s="4"/>
      <c r="P252" s="4"/>
      <c r="Q252" s="4"/>
      <c r="R252" s="4"/>
      <c r="S252" s="4"/>
      <c r="T252" s="4"/>
      <c r="U252" s="4"/>
      <c r="V252" s="4"/>
      <c r="W252" s="4"/>
      <c r="X252" s="4"/>
      <c r="Y252" s="4"/>
    </row>
    <row r="253">
      <c r="A253" s="11">
        <v>252.0</v>
      </c>
      <c r="B253" s="11" t="s">
        <v>729</v>
      </c>
      <c r="C253" s="6" t="s">
        <v>730</v>
      </c>
      <c r="D253" s="11">
        <v>2021.0</v>
      </c>
      <c r="E253" s="11" t="s">
        <v>574</v>
      </c>
      <c r="F253" s="11" t="s">
        <v>14</v>
      </c>
      <c r="G253" s="11" t="s">
        <v>49</v>
      </c>
      <c r="H253" s="11" t="s">
        <v>1224</v>
      </c>
      <c r="I253" s="4"/>
      <c r="J253" s="4"/>
      <c r="K253" s="4"/>
      <c r="L253" s="4"/>
      <c r="M253" s="4"/>
      <c r="N253" s="4"/>
      <c r="O253" s="4"/>
      <c r="P253" s="4"/>
      <c r="Q253" s="4"/>
      <c r="R253" s="4"/>
      <c r="S253" s="4"/>
      <c r="T253" s="4"/>
      <c r="U253" s="4"/>
      <c r="V253" s="4"/>
      <c r="W253" s="4"/>
      <c r="X253" s="4"/>
      <c r="Y253" s="4"/>
    </row>
    <row r="254">
      <c r="A254" s="12">
        <v>253.0</v>
      </c>
      <c r="B254" s="11" t="s">
        <v>731</v>
      </c>
      <c r="C254" s="6" t="s">
        <v>732</v>
      </c>
      <c r="D254" s="11">
        <v>2020.0</v>
      </c>
      <c r="E254" s="11" t="s">
        <v>574</v>
      </c>
      <c r="F254" s="11" t="s">
        <v>14</v>
      </c>
      <c r="G254" s="11" t="s">
        <v>49</v>
      </c>
      <c r="H254" s="11" t="s">
        <v>1224</v>
      </c>
      <c r="I254" s="4"/>
      <c r="J254" s="4"/>
      <c r="K254" s="4"/>
      <c r="L254" s="4"/>
      <c r="M254" s="4"/>
      <c r="N254" s="4"/>
      <c r="O254" s="4"/>
      <c r="P254" s="4"/>
      <c r="Q254" s="4"/>
      <c r="R254" s="4"/>
      <c r="S254" s="4"/>
      <c r="T254" s="4"/>
      <c r="U254" s="4"/>
      <c r="V254" s="4"/>
      <c r="W254" s="4"/>
      <c r="X254" s="4"/>
      <c r="Y254" s="4"/>
    </row>
    <row r="255">
      <c r="A255" s="11">
        <v>254.0</v>
      </c>
      <c r="B255" s="18" t="s">
        <v>733</v>
      </c>
      <c r="C255" s="6" t="s">
        <v>734</v>
      </c>
      <c r="D255" s="11">
        <v>2025.0</v>
      </c>
      <c r="E255" s="11" t="s">
        <v>596</v>
      </c>
      <c r="F255" s="11" t="s">
        <v>14</v>
      </c>
      <c r="G255" s="11" t="s">
        <v>49</v>
      </c>
      <c r="H255" s="11" t="s">
        <v>1225</v>
      </c>
      <c r="I255" s="4"/>
      <c r="J255" s="4"/>
      <c r="K255" s="4"/>
      <c r="L255" s="4"/>
      <c r="M255" s="4"/>
      <c r="N255" s="4"/>
      <c r="O255" s="4"/>
      <c r="P255" s="4"/>
      <c r="Q255" s="4"/>
      <c r="R255" s="4"/>
      <c r="S255" s="4"/>
      <c r="T255" s="4"/>
      <c r="U255" s="4"/>
      <c r="V255" s="4"/>
      <c r="W255" s="4"/>
      <c r="X255" s="4"/>
      <c r="Y255" s="4"/>
    </row>
    <row r="256">
      <c r="A256" s="11">
        <v>255.0</v>
      </c>
      <c r="B256" s="18" t="s">
        <v>735</v>
      </c>
      <c r="C256" s="6" t="s">
        <v>736</v>
      </c>
      <c r="D256" s="11">
        <v>2025.0</v>
      </c>
      <c r="E256" s="11" t="s">
        <v>737</v>
      </c>
      <c r="F256" s="11" t="s">
        <v>14</v>
      </c>
      <c r="G256" s="11" t="s">
        <v>49</v>
      </c>
      <c r="H256" s="11" t="s">
        <v>1225</v>
      </c>
      <c r="I256" s="4"/>
      <c r="J256" s="4"/>
      <c r="K256" s="4"/>
      <c r="L256" s="4"/>
      <c r="M256" s="4"/>
      <c r="N256" s="4"/>
      <c r="O256" s="4"/>
      <c r="P256" s="4"/>
      <c r="Q256" s="4"/>
      <c r="R256" s="4"/>
      <c r="S256" s="4"/>
      <c r="T256" s="4"/>
      <c r="U256" s="4"/>
      <c r="V256" s="4"/>
      <c r="W256" s="4"/>
      <c r="X256" s="4"/>
      <c r="Y256" s="4"/>
    </row>
    <row r="257">
      <c r="A257" s="12">
        <v>256.0</v>
      </c>
      <c r="B257" s="11" t="s">
        <v>738</v>
      </c>
      <c r="C257" s="6" t="s">
        <v>739</v>
      </c>
      <c r="D257" s="11">
        <v>2022.0</v>
      </c>
      <c r="E257" s="11" t="s">
        <v>740</v>
      </c>
      <c r="F257" s="11" t="s">
        <v>14</v>
      </c>
      <c r="G257" s="11" t="s">
        <v>39</v>
      </c>
      <c r="H257" s="11" t="s">
        <v>1224</v>
      </c>
      <c r="I257" s="4"/>
      <c r="J257" s="4"/>
      <c r="K257" s="4"/>
      <c r="L257" s="4"/>
      <c r="M257" s="4"/>
      <c r="N257" s="4"/>
      <c r="O257" s="4"/>
      <c r="P257" s="4"/>
      <c r="Q257" s="4"/>
      <c r="R257" s="4"/>
      <c r="S257" s="4"/>
      <c r="T257" s="4"/>
      <c r="U257" s="4"/>
      <c r="V257" s="4"/>
      <c r="W257" s="4"/>
      <c r="X257" s="4"/>
      <c r="Y257" s="4"/>
    </row>
    <row r="258">
      <c r="A258" s="11">
        <v>257.0</v>
      </c>
      <c r="B258" s="11" t="s">
        <v>741</v>
      </c>
      <c r="C258" s="6" t="s">
        <v>742</v>
      </c>
      <c r="D258" s="11">
        <v>2024.0</v>
      </c>
      <c r="E258" s="11" t="s">
        <v>743</v>
      </c>
      <c r="F258" s="11" t="s">
        <v>14</v>
      </c>
      <c r="G258" s="11" t="s">
        <v>39</v>
      </c>
      <c r="H258" s="11" t="s">
        <v>1224</v>
      </c>
      <c r="I258" s="4"/>
      <c r="J258" s="4"/>
      <c r="K258" s="4"/>
      <c r="L258" s="4"/>
      <c r="M258" s="4"/>
      <c r="N258" s="4"/>
      <c r="O258" s="4"/>
      <c r="P258" s="4"/>
      <c r="Q258" s="4"/>
      <c r="R258" s="4"/>
      <c r="S258" s="4"/>
      <c r="T258" s="4"/>
      <c r="U258" s="4"/>
      <c r="V258" s="4"/>
      <c r="W258" s="4"/>
      <c r="X258" s="4"/>
      <c r="Y258" s="4"/>
    </row>
    <row r="259">
      <c r="A259" s="11">
        <v>258.0</v>
      </c>
      <c r="B259" s="18" t="s">
        <v>744</v>
      </c>
      <c r="C259" s="6" t="s">
        <v>745</v>
      </c>
      <c r="D259" s="11">
        <v>2021.0</v>
      </c>
      <c r="E259" s="11" t="s">
        <v>565</v>
      </c>
      <c r="F259" s="11" t="s">
        <v>14</v>
      </c>
      <c r="G259" s="11" t="s">
        <v>49</v>
      </c>
      <c r="H259" s="11" t="s">
        <v>1225</v>
      </c>
      <c r="I259" s="4"/>
      <c r="J259" s="4"/>
      <c r="K259" s="4"/>
      <c r="L259" s="4"/>
      <c r="M259" s="4"/>
      <c r="N259" s="4"/>
      <c r="O259" s="4"/>
      <c r="P259" s="4"/>
      <c r="Q259" s="4"/>
      <c r="R259" s="4"/>
      <c r="S259" s="4"/>
      <c r="T259" s="4"/>
      <c r="U259" s="4"/>
      <c r="V259" s="4"/>
      <c r="W259" s="4"/>
      <c r="X259" s="4"/>
      <c r="Y259" s="4"/>
    </row>
    <row r="260">
      <c r="A260" s="12">
        <v>259.0</v>
      </c>
      <c r="B260" s="11" t="s">
        <v>746</v>
      </c>
      <c r="C260" s="6" t="s">
        <v>747</v>
      </c>
      <c r="D260" s="11">
        <v>2023.0</v>
      </c>
      <c r="E260" s="11" t="s">
        <v>748</v>
      </c>
      <c r="F260" s="11" t="s">
        <v>14</v>
      </c>
      <c r="G260" s="11" t="s">
        <v>39</v>
      </c>
      <c r="H260" s="11" t="s">
        <v>1224</v>
      </c>
      <c r="I260" s="4"/>
      <c r="J260" s="4"/>
      <c r="K260" s="4"/>
      <c r="L260" s="4"/>
      <c r="M260" s="4"/>
      <c r="N260" s="4"/>
      <c r="O260" s="4"/>
      <c r="P260" s="4"/>
      <c r="Q260" s="4"/>
      <c r="R260" s="4"/>
      <c r="S260" s="4"/>
      <c r="T260" s="4"/>
      <c r="U260" s="4"/>
      <c r="V260" s="4"/>
      <c r="W260" s="4"/>
      <c r="X260" s="4"/>
      <c r="Y260" s="4"/>
    </row>
    <row r="261">
      <c r="A261" s="11">
        <v>260.0</v>
      </c>
      <c r="B261" s="11" t="s">
        <v>749</v>
      </c>
      <c r="C261" s="6" t="s">
        <v>750</v>
      </c>
      <c r="D261" s="11">
        <v>2023.0</v>
      </c>
      <c r="E261" s="11" t="s">
        <v>659</v>
      </c>
      <c r="F261" s="11" t="s">
        <v>14</v>
      </c>
      <c r="G261" s="11" t="s">
        <v>39</v>
      </c>
      <c r="H261" s="11" t="s">
        <v>1224</v>
      </c>
      <c r="I261" s="4"/>
      <c r="J261" s="4"/>
      <c r="K261" s="4"/>
      <c r="L261" s="4"/>
      <c r="M261" s="4"/>
      <c r="N261" s="4"/>
      <c r="O261" s="4"/>
      <c r="P261" s="4"/>
      <c r="Q261" s="4"/>
      <c r="R261" s="4"/>
      <c r="S261" s="4"/>
      <c r="T261" s="4"/>
      <c r="U261" s="4"/>
      <c r="V261" s="4"/>
      <c r="W261" s="4"/>
      <c r="X261" s="4"/>
      <c r="Y261" s="4"/>
    </row>
    <row r="262">
      <c r="A262" s="11">
        <v>261.0</v>
      </c>
      <c r="B262" s="11" t="s">
        <v>751</v>
      </c>
      <c r="C262" s="6" t="s">
        <v>752</v>
      </c>
      <c r="D262" s="11">
        <v>2021.0</v>
      </c>
      <c r="E262" s="11" t="s">
        <v>580</v>
      </c>
      <c r="F262" s="11" t="s">
        <v>14</v>
      </c>
      <c r="G262" s="11" t="s">
        <v>49</v>
      </c>
      <c r="H262" s="11" t="s">
        <v>1224</v>
      </c>
      <c r="I262" s="4"/>
      <c r="J262" s="4"/>
      <c r="K262" s="4"/>
      <c r="L262" s="4"/>
      <c r="M262" s="4"/>
      <c r="N262" s="4"/>
      <c r="O262" s="4"/>
      <c r="P262" s="4"/>
      <c r="Q262" s="4"/>
      <c r="R262" s="4"/>
      <c r="S262" s="4"/>
      <c r="T262" s="4"/>
      <c r="U262" s="4"/>
      <c r="V262" s="4"/>
      <c r="W262" s="4"/>
      <c r="X262" s="4"/>
      <c r="Y262" s="4"/>
    </row>
    <row r="263">
      <c r="A263" s="12">
        <v>262.0</v>
      </c>
      <c r="B263" s="11" t="s">
        <v>753</v>
      </c>
      <c r="C263" s="6" t="s">
        <v>754</v>
      </c>
      <c r="D263" s="11">
        <v>2023.0</v>
      </c>
      <c r="E263" s="11" t="s">
        <v>755</v>
      </c>
      <c r="F263" s="11" t="s">
        <v>14</v>
      </c>
      <c r="G263" s="11" t="s">
        <v>49</v>
      </c>
      <c r="H263" s="11" t="s">
        <v>1224</v>
      </c>
      <c r="I263" s="4"/>
      <c r="J263" s="4"/>
      <c r="K263" s="4"/>
      <c r="L263" s="4"/>
      <c r="M263" s="4"/>
      <c r="N263" s="4"/>
      <c r="O263" s="4"/>
      <c r="P263" s="4"/>
      <c r="Q263" s="4"/>
      <c r="R263" s="4"/>
      <c r="S263" s="4"/>
      <c r="T263" s="4"/>
      <c r="U263" s="4"/>
      <c r="V263" s="4"/>
      <c r="W263" s="4"/>
      <c r="X263" s="4"/>
      <c r="Y263" s="4"/>
    </row>
    <row r="264">
      <c r="A264" s="11">
        <v>263.0</v>
      </c>
      <c r="B264" s="11" t="s">
        <v>756</v>
      </c>
      <c r="C264" s="6" t="s">
        <v>757</v>
      </c>
      <c r="D264" s="11">
        <v>2022.0</v>
      </c>
      <c r="E264" s="11" t="s">
        <v>625</v>
      </c>
      <c r="F264" s="11" t="s">
        <v>14</v>
      </c>
      <c r="G264" s="11" t="s">
        <v>49</v>
      </c>
      <c r="H264" s="11" t="s">
        <v>1224</v>
      </c>
      <c r="I264" s="4"/>
      <c r="J264" s="4"/>
      <c r="K264" s="4"/>
      <c r="L264" s="4"/>
      <c r="M264" s="4"/>
      <c r="N264" s="4"/>
      <c r="O264" s="4"/>
      <c r="P264" s="4"/>
      <c r="Q264" s="4"/>
      <c r="R264" s="4"/>
      <c r="S264" s="4"/>
      <c r="T264" s="4"/>
      <c r="U264" s="4"/>
      <c r="V264" s="4"/>
      <c r="W264" s="4"/>
      <c r="X264" s="4"/>
      <c r="Y264" s="4"/>
    </row>
    <row r="265">
      <c r="A265" s="11">
        <v>264.0</v>
      </c>
      <c r="B265" s="11" t="s">
        <v>758</v>
      </c>
      <c r="C265" s="6" t="s">
        <v>759</v>
      </c>
      <c r="D265" s="11">
        <v>2016.0</v>
      </c>
      <c r="E265" s="11" t="s">
        <v>760</v>
      </c>
      <c r="F265" s="11" t="s">
        <v>14</v>
      </c>
      <c r="G265" s="11" t="s">
        <v>39</v>
      </c>
      <c r="H265" s="11" t="s">
        <v>1224</v>
      </c>
      <c r="I265" s="4"/>
      <c r="J265" s="4"/>
      <c r="K265" s="4"/>
      <c r="L265" s="4"/>
      <c r="M265" s="4"/>
      <c r="N265" s="4"/>
      <c r="O265" s="4"/>
      <c r="P265" s="4"/>
      <c r="Q265" s="4"/>
      <c r="R265" s="4"/>
      <c r="S265" s="4"/>
      <c r="T265" s="4"/>
      <c r="U265" s="4"/>
      <c r="V265" s="4"/>
      <c r="W265" s="4"/>
      <c r="X265" s="4"/>
      <c r="Y265" s="4"/>
    </row>
    <row r="266">
      <c r="A266" s="12">
        <v>265.0</v>
      </c>
      <c r="B266" s="11" t="s">
        <v>761</v>
      </c>
      <c r="C266" s="6" t="s">
        <v>762</v>
      </c>
      <c r="D266" s="11">
        <v>2016.0</v>
      </c>
      <c r="E266" s="11" t="s">
        <v>763</v>
      </c>
      <c r="F266" s="11" t="s">
        <v>14</v>
      </c>
      <c r="G266" s="11" t="s">
        <v>49</v>
      </c>
      <c r="H266" s="11" t="s">
        <v>1224</v>
      </c>
      <c r="I266" s="4"/>
      <c r="J266" s="4"/>
      <c r="K266" s="4"/>
      <c r="L266" s="4"/>
      <c r="M266" s="4"/>
      <c r="N266" s="4"/>
      <c r="O266" s="4"/>
      <c r="P266" s="4"/>
      <c r="Q266" s="4"/>
      <c r="R266" s="4"/>
      <c r="S266" s="4"/>
      <c r="T266" s="4"/>
      <c r="U266" s="4"/>
      <c r="V266" s="4"/>
      <c r="W266" s="4"/>
      <c r="X266" s="4"/>
      <c r="Y266" s="4"/>
    </row>
    <row r="267">
      <c r="A267" s="11">
        <v>266.0</v>
      </c>
      <c r="B267" s="11" t="s">
        <v>764</v>
      </c>
      <c r="C267" s="6" t="s">
        <v>765</v>
      </c>
      <c r="D267" s="11">
        <v>2023.0</v>
      </c>
      <c r="E267" s="11" t="s">
        <v>766</v>
      </c>
      <c r="F267" s="11" t="s">
        <v>14</v>
      </c>
      <c r="G267" s="11" t="s">
        <v>49</v>
      </c>
      <c r="H267" s="11" t="s">
        <v>1224</v>
      </c>
      <c r="I267" s="4"/>
      <c r="J267" s="4"/>
      <c r="K267" s="4"/>
      <c r="L267" s="4"/>
      <c r="M267" s="4"/>
      <c r="N267" s="4"/>
      <c r="O267" s="4"/>
      <c r="P267" s="4"/>
      <c r="Q267" s="4"/>
      <c r="R267" s="4"/>
      <c r="S267" s="4"/>
      <c r="T267" s="4"/>
      <c r="U267" s="4"/>
      <c r="V267" s="4"/>
      <c r="W267" s="4"/>
      <c r="X267" s="4"/>
      <c r="Y267" s="4"/>
    </row>
    <row r="268">
      <c r="A268" s="11">
        <v>267.0</v>
      </c>
      <c r="B268" s="11" t="s">
        <v>767</v>
      </c>
      <c r="C268" s="6" t="s">
        <v>768</v>
      </c>
      <c r="D268" s="11">
        <v>2023.0</v>
      </c>
      <c r="E268" s="11" t="s">
        <v>769</v>
      </c>
      <c r="F268" s="11" t="s">
        <v>14</v>
      </c>
      <c r="G268" s="11" t="s">
        <v>39</v>
      </c>
      <c r="H268" s="11" t="s">
        <v>1224</v>
      </c>
      <c r="I268" s="4"/>
      <c r="J268" s="4"/>
      <c r="K268" s="4"/>
      <c r="L268" s="4"/>
      <c r="M268" s="4"/>
      <c r="N268" s="4"/>
      <c r="O268" s="4"/>
      <c r="P268" s="4"/>
      <c r="Q268" s="4"/>
      <c r="R268" s="4"/>
      <c r="S268" s="4"/>
      <c r="T268" s="4"/>
      <c r="U268" s="4"/>
      <c r="V268" s="4"/>
      <c r="W268" s="4"/>
      <c r="X268" s="4"/>
      <c r="Y268" s="4"/>
    </row>
    <row r="269">
      <c r="A269" s="12">
        <v>268.0</v>
      </c>
      <c r="B269" s="18" t="s">
        <v>770</v>
      </c>
      <c r="C269" s="6" t="s">
        <v>771</v>
      </c>
      <c r="D269" s="11">
        <v>2025.0</v>
      </c>
      <c r="E269" s="11" t="s">
        <v>580</v>
      </c>
      <c r="F269" s="11" t="s">
        <v>14</v>
      </c>
      <c r="G269" s="11" t="s">
        <v>49</v>
      </c>
      <c r="H269" s="11" t="s">
        <v>1225</v>
      </c>
      <c r="I269" s="4"/>
      <c r="J269" s="4"/>
      <c r="K269" s="4"/>
      <c r="L269" s="4"/>
      <c r="M269" s="4"/>
      <c r="N269" s="4"/>
      <c r="O269" s="4"/>
      <c r="P269" s="4"/>
      <c r="Q269" s="4"/>
      <c r="R269" s="4"/>
      <c r="S269" s="4"/>
      <c r="T269" s="4"/>
      <c r="U269" s="4"/>
      <c r="V269" s="4"/>
      <c r="W269" s="4"/>
      <c r="X269" s="4"/>
      <c r="Y269" s="4"/>
    </row>
    <row r="270">
      <c r="A270" s="11">
        <v>269.0</v>
      </c>
      <c r="B270" s="18" t="s">
        <v>772</v>
      </c>
      <c r="C270" s="6" t="s">
        <v>773</v>
      </c>
      <c r="D270" s="11">
        <v>2025.0</v>
      </c>
      <c r="E270" s="11" t="s">
        <v>596</v>
      </c>
      <c r="F270" s="11" t="s">
        <v>14</v>
      </c>
      <c r="G270" s="11" t="s">
        <v>49</v>
      </c>
      <c r="H270" s="11" t="s">
        <v>1225</v>
      </c>
      <c r="I270" s="4"/>
      <c r="J270" s="4"/>
      <c r="K270" s="4"/>
      <c r="L270" s="4"/>
      <c r="M270" s="4"/>
      <c r="N270" s="4"/>
      <c r="O270" s="4"/>
      <c r="P270" s="4"/>
      <c r="Q270" s="4"/>
      <c r="R270" s="4"/>
      <c r="S270" s="4"/>
      <c r="T270" s="4"/>
      <c r="U270" s="4"/>
      <c r="V270" s="4"/>
      <c r="W270" s="4"/>
      <c r="X270" s="4"/>
      <c r="Y270" s="4"/>
    </row>
    <row r="271">
      <c r="A271" s="11">
        <v>270.0</v>
      </c>
      <c r="B271" s="11" t="s">
        <v>774</v>
      </c>
      <c r="C271" s="6" t="s">
        <v>775</v>
      </c>
      <c r="D271" s="11">
        <v>2023.0</v>
      </c>
      <c r="E271" s="11" t="s">
        <v>776</v>
      </c>
      <c r="F271" s="11" t="s">
        <v>14</v>
      </c>
      <c r="G271" s="11" t="s">
        <v>39</v>
      </c>
      <c r="H271" s="11" t="s">
        <v>1224</v>
      </c>
      <c r="I271" s="4"/>
      <c r="J271" s="4"/>
      <c r="K271" s="4"/>
      <c r="L271" s="4"/>
      <c r="M271" s="4"/>
      <c r="N271" s="4"/>
      <c r="O271" s="4"/>
      <c r="P271" s="4"/>
      <c r="Q271" s="4"/>
      <c r="R271" s="4"/>
      <c r="S271" s="4"/>
      <c r="T271" s="4"/>
      <c r="U271" s="4"/>
      <c r="V271" s="4"/>
      <c r="W271" s="4"/>
      <c r="X271" s="4"/>
      <c r="Y271" s="4"/>
    </row>
    <row r="272">
      <c r="A272" s="12">
        <v>271.0</v>
      </c>
      <c r="B272" s="11" t="s">
        <v>777</v>
      </c>
      <c r="C272" s="6" t="s">
        <v>778</v>
      </c>
      <c r="D272" s="11">
        <v>2015.0</v>
      </c>
      <c r="E272" s="11" t="s">
        <v>779</v>
      </c>
      <c r="F272" s="11" t="s">
        <v>14</v>
      </c>
      <c r="G272" s="11" t="s">
        <v>39</v>
      </c>
      <c r="H272" s="11" t="s">
        <v>1224</v>
      </c>
      <c r="I272" s="4"/>
      <c r="J272" s="4"/>
      <c r="K272" s="4"/>
      <c r="L272" s="4"/>
      <c r="M272" s="4"/>
      <c r="N272" s="4"/>
      <c r="O272" s="4"/>
      <c r="P272" s="4"/>
      <c r="Q272" s="4"/>
      <c r="R272" s="4"/>
      <c r="S272" s="4"/>
      <c r="T272" s="4"/>
      <c r="U272" s="4"/>
      <c r="V272" s="4"/>
      <c r="W272" s="4"/>
      <c r="X272" s="4"/>
      <c r="Y272" s="4"/>
    </row>
    <row r="273">
      <c r="A273" s="11">
        <v>272.0</v>
      </c>
      <c r="B273" s="11" t="s">
        <v>780</v>
      </c>
      <c r="C273" s="6" t="s">
        <v>781</v>
      </c>
      <c r="D273" s="11">
        <v>2016.0</v>
      </c>
      <c r="E273" s="11" t="s">
        <v>782</v>
      </c>
      <c r="F273" s="11" t="s">
        <v>14</v>
      </c>
      <c r="G273" s="11" t="s">
        <v>39</v>
      </c>
      <c r="H273" s="11" t="s">
        <v>1224</v>
      </c>
      <c r="I273" s="4"/>
      <c r="J273" s="4"/>
      <c r="K273" s="4"/>
      <c r="L273" s="4"/>
      <c r="M273" s="4"/>
      <c r="N273" s="4"/>
      <c r="O273" s="4"/>
      <c r="P273" s="4"/>
      <c r="Q273" s="4"/>
      <c r="R273" s="4"/>
      <c r="S273" s="4"/>
      <c r="T273" s="4"/>
      <c r="U273" s="4"/>
      <c r="V273" s="4"/>
      <c r="W273" s="4"/>
      <c r="X273" s="4"/>
      <c r="Y273" s="4"/>
    </row>
    <row r="274">
      <c r="A274" s="11">
        <v>273.0</v>
      </c>
      <c r="B274" s="11" t="s">
        <v>783</v>
      </c>
      <c r="C274" s="6" t="s">
        <v>784</v>
      </c>
      <c r="D274" s="11">
        <v>2022.0</v>
      </c>
      <c r="E274" s="11" t="s">
        <v>785</v>
      </c>
      <c r="F274" s="11" t="s">
        <v>14</v>
      </c>
      <c r="G274" s="11" t="s">
        <v>49</v>
      </c>
      <c r="H274" s="11" t="s">
        <v>1224</v>
      </c>
      <c r="I274" s="4"/>
      <c r="J274" s="4"/>
      <c r="K274" s="4"/>
      <c r="L274" s="4"/>
      <c r="M274" s="4"/>
      <c r="N274" s="4"/>
      <c r="O274" s="4"/>
      <c r="P274" s="4"/>
      <c r="Q274" s="4"/>
      <c r="R274" s="4"/>
      <c r="S274" s="4"/>
      <c r="T274" s="4"/>
      <c r="U274" s="4"/>
      <c r="V274" s="4"/>
      <c r="W274" s="4"/>
      <c r="X274" s="4"/>
      <c r="Y274" s="4"/>
    </row>
    <row r="275">
      <c r="A275" s="12">
        <v>274.0</v>
      </c>
      <c r="B275" s="11" t="s">
        <v>786</v>
      </c>
      <c r="C275" s="6" t="s">
        <v>787</v>
      </c>
      <c r="D275" s="11">
        <v>2017.0</v>
      </c>
      <c r="E275" s="11" t="s">
        <v>788</v>
      </c>
      <c r="F275" s="11" t="s">
        <v>14</v>
      </c>
      <c r="G275" s="11" t="s">
        <v>39</v>
      </c>
      <c r="H275" s="11" t="s">
        <v>1224</v>
      </c>
      <c r="I275" s="4"/>
      <c r="J275" s="4"/>
      <c r="K275" s="4"/>
      <c r="L275" s="4"/>
      <c r="M275" s="4"/>
      <c r="N275" s="4"/>
      <c r="O275" s="4"/>
      <c r="P275" s="4"/>
      <c r="Q275" s="4"/>
      <c r="R275" s="4"/>
      <c r="S275" s="4"/>
      <c r="T275" s="4"/>
      <c r="U275" s="4"/>
      <c r="V275" s="4"/>
      <c r="W275" s="4"/>
      <c r="X275" s="4"/>
      <c r="Y275" s="4"/>
    </row>
    <row r="276">
      <c r="A276" s="11">
        <v>275.0</v>
      </c>
      <c r="B276" s="11" t="s">
        <v>789</v>
      </c>
      <c r="C276" s="6" t="s">
        <v>790</v>
      </c>
      <c r="D276" s="11">
        <v>2025.0</v>
      </c>
      <c r="E276" s="11" t="s">
        <v>580</v>
      </c>
      <c r="F276" s="11" t="s">
        <v>14</v>
      </c>
      <c r="G276" s="11" t="s">
        <v>49</v>
      </c>
      <c r="H276" s="11" t="s">
        <v>1224</v>
      </c>
      <c r="I276" s="4"/>
      <c r="J276" s="4"/>
      <c r="K276" s="4"/>
      <c r="L276" s="4"/>
      <c r="M276" s="4"/>
      <c r="N276" s="4"/>
      <c r="O276" s="4"/>
      <c r="P276" s="4"/>
      <c r="Q276" s="4"/>
      <c r="R276" s="4"/>
      <c r="S276" s="4"/>
      <c r="T276" s="4"/>
      <c r="U276" s="4"/>
      <c r="V276" s="4"/>
      <c r="W276" s="4"/>
      <c r="X276" s="4"/>
      <c r="Y276" s="4"/>
    </row>
    <row r="277">
      <c r="A277" s="11">
        <v>276.0</v>
      </c>
      <c r="B277" s="11" t="s">
        <v>791</v>
      </c>
      <c r="C277" s="6" t="s">
        <v>792</v>
      </c>
      <c r="D277" s="11">
        <v>2019.0</v>
      </c>
      <c r="E277" s="11" t="s">
        <v>793</v>
      </c>
      <c r="F277" s="11" t="s">
        <v>14</v>
      </c>
      <c r="G277" s="11" t="s">
        <v>39</v>
      </c>
      <c r="H277" s="11" t="s">
        <v>1224</v>
      </c>
      <c r="I277" s="4"/>
      <c r="J277" s="4"/>
      <c r="K277" s="4"/>
      <c r="L277" s="4"/>
      <c r="M277" s="4"/>
      <c r="N277" s="4"/>
      <c r="O277" s="4"/>
      <c r="P277" s="4"/>
      <c r="Q277" s="4"/>
      <c r="R277" s="4"/>
      <c r="S277" s="4"/>
      <c r="T277" s="4"/>
      <c r="U277" s="4"/>
      <c r="V277" s="4"/>
      <c r="W277" s="4"/>
      <c r="X277" s="4"/>
      <c r="Y277" s="4"/>
    </row>
    <row r="278">
      <c r="A278" s="12">
        <v>277.0</v>
      </c>
      <c r="B278" s="11" t="s">
        <v>794</v>
      </c>
      <c r="C278" s="6" t="s">
        <v>795</v>
      </c>
      <c r="D278" s="11">
        <v>2022.0</v>
      </c>
      <c r="E278" s="11" t="s">
        <v>796</v>
      </c>
      <c r="F278" s="11" t="s">
        <v>14</v>
      </c>
      <c r="G278" s="11" t="s">
        <v>39</v>
      </c>
      <c r="H278" s="11" t="s">
        <v>1224</v>
      </c>
      <c r="I278" s="4"/>
      <c r="J278" s="4"/>
      <c r="K278" s="4"/>
      <c r="L278" s="4"/>
      <c r="M278" s="4"/>
      <c r="N278" s="4"/>
      <c r="O278" s="4"/>
      <c r="P278" s="4"/>
      <c r="Q278" s="4"/>
      <c r="R278" s="4"/>
      <c r="S278" s="4"/>
      <c r="T278" s="4"/>
      <c r="U278" s="4"/>
      <c r="V278" s="4"/>
      <c r="W278" s="4"/>
      <c r="X278" s="4"/>
      <c r="Y278" s="4"/>
    </row>
    <row r="279">
      <c r="A279" s="11">
        <v>278.0</v>
      </c>
      <c r="B279" s="11" t="s">
        <v>797</v>
      </c>
      <c r="C279" s="6" t="s">
        <v>798</v>
      </c>
      <c r="D279" s="11">
        <v>2021.0</v>
      </c>
      <c r="E279" s="11" t="s">
        <v>799</v>
      </c>
      <c r="F279" s="11" t="s">
        <v>14</v>
      </c>
      <c r="G279" s="11" t="s">
        <v>39</v>
      </c>
      <c r="H279" s="11" t="s">
        <v>1224</v>
      </c>
      <c r="I279" s="4"/>
      <c r="J279" s="4"/>
      <c r="K279" s="4"/>
      <c r="L279" s="4"/>
      <c r="M279" s="4"/>
      <c r="N279" s="4"/>
      <c r="O279" s="4"/>
      <c r="P279" s="4"/>
      <c r="Q279" s="4"/>
      <c r="R279" s="4"/>
      <c r="S279" s="4"/>
      <c r="T279" s="4"/>
      <c r="U279" s="4"/>
      <c r="V279" s="4"/>
      <c r="W279" s="4"/>
      <c r="X279" s="4"/>
      <c r="Y279" s="4"/>
    </row>
    <row r="280">
      <c r="A280" s="11">
        <v>279.0</v>
      </c>
      <c r="B280" s="11" t="s">
        <v>800</v>
      </c>
      <c r="C280" s="6" t="s">
        <v>801</v>
      </c>
      <c r="D280" s="11">
        <v>2021.0</v>
      </c>
      <c r="E280" s="11" t="s">
        <v>580</v>
      </c>
      <c r="F280" s="11" t="s">
        <v>14</v>
      </c>
      <c r="G280" s="11" t="s">
        <v>49</v>
      </c>
      <c r="H280" s="11" t="s">
        <v>1224</v>
      </c>
      <c r="I280" s="4"/>
      <c r="J280" s="4"/>
      <c r="K280" s="4"/>
      <c r="L280" s="4"/>
      <c r="M280" s="4"/>
      <c r="N280" s="4"/>
      <c r="O280" s="4"/>
      <c r="P280" s="4"/>
      <c r="Q280" s="4"/>
      <c r="R280" s="4"/>
      <c r="S280" s="4"/>
      <c r="T280" s="4"/>
      <c r="U280" s="4"/>
      <c r="V280" s="4"/>
      <c r="W280" s="4"/>
      <c r="X280" s="4"/>
      <c r="Y280" s="4"/>
    </row>
    <row r="281">
      <c r="A281" s="12">
        <v>280.0</v>
      </c>
      <c r="B281" s="11" t="s">
        <v>802</v>
      </c>
      <c r="C281" s="6" t="s">
        <v>803</v>
      </c>
      <c r="D281" s="11">
        <v>2015.0</v>
      </c>
      <c r="E281" s="11" t="s">
        <v>804</v>
      </c>
      <c r="F281" s="11" t="s">
        <v>14</v>
      </c>
      <c r="G281" s="11" t="s">
        <v>39</v>
      </c>
      <c r="H281" s="11" t="s">
        <v>1224</v>
      </c>
      <c r="I281" s="4"/>
      <c r="J281" s="4"/>
      <c r="K281" s="4"/>
      <c r="L281" s="4"/>
      <c r="M281" s="4"/>
      <c r="N281" s="4"/>
      <c r="O281" s="4"/>
      <c r="P281" s="4"/>
      <c r="Q281" s="4"/>
      <c r="R281" s="4"/>
      <c r="S281" s="4"/>
      <c r="T281" s="4"/>
      <c r="U281" s="4"/>
      <c r="V281" s="4"/>
      <c r="W281" s="4"/>
      <c r="X281" s="4"/>
      <c r="Y281" s="4"/>
    </row>
    <row r="282">
      <c r="A282" s="11">
        <v>281.0</v>
      </c>
      <c r="B282" s="11" t="s">
        <v>805</v>
      </c>
      <c r="C282" s="6" t="s">
        <v>806</v>
      </c>
      <c r="D282" s="11">
        <v>2023.0</v>
      </c>
      <c r="E282" s="11" t="s">
        <v>574</v>
      </c>
      <c r="F282" s="11" t="s">
        <v>14</v>
      </c>
      <c r="G282" s="11" t="s">
        <v>49</v>
      </c>
      <c r="H282" s="11" t="s">
        <v>1224</v>
      </c>
      <c r="I282" s="4"/>
      <c r="J282" s="4"/>
      <c r="K282" s="4"/>
      <c r="L282" s="4"/>
      <c r="M282" s="4"/>
      <c r="N282" s="4"/>
      <c r="O282" s="4"/>
      <c r="P282" s="4"/>
      <c r="Q282" s="4"/>
      <c r="R282" s="4"/>
      <c r="S282" s="4"/>
      <c r="T282" s="4"/>
      <c r="U282" s="4"/>
      <c r="V282" s="4"/>
      <c r="W282" s="4"/>
      <c r="X282" s="4"/>
      <c r="Y282" s="4"/>
    </row>
    <row r="283">
      <c r="A283" s="11">
        <v>282.0</v>
      </c>
      <c r="B283" s="11" t="s">
        <v>807</v>
      </c>
      <c r="C283" s="6" t="s">
        <v>808</v>
      </c>
      <c r="D283" s="11">
        <v>2015.0</v>
      </c>
      <c r="E283" s="11" t="s">
        <v>809</v>
      </c>
      <c r="F283" s="11" t="s">
        <v>14</v>
      </c>
      <c r="G283" s="11" t="s">
        <v>39</v>
      </c>
      <c r="H283" s="11" t="s">
        <v>1224</v>
      </c>
      <c r="I283" s="4"/>
      <c r="J283" s="4"/>
      <c r="K283" s="4"/>
      <c r="L283" s="4"/>
      <c r="M283" s="4"/>
      <c r="N283" s="4"/>
      <c r="O283" s="4"/>
      <c r="P283" s="4"/>
      <c r="Q283" s="4"/>
      <c r="R283" s="4"/>
      <c r="S283" s="4"/>
      <c r="T283" s="4"/>
      <c r="U283" s="4"/>
      <c r="V283" s="4"/>
      <c r="W283" s="4"/>
      <c r="X283" s="4"/>
      <c r="Y283" s="4"/>
    </row>
    <row r="284">
      <c r="A284" s="12">
        <v>283.0</v>
      </c>
      <c r="B284" s="11" t="s">
        <v>810</v>
      </c>
      <c r="C284" s="6" t="s">
        <v>811</v>
      </c>
      <c r="D284" s="11">
        <v>2025.0</v>
      </c>
      <c r="E284" s="11" t="s">
        <v>812</v>
      </c>
      <c r="F284" s="11" t="s">
        <v>14</v>
      </c>
      <c r="G284" s="11" t="s">
        <v>49</v>
      </c>
      <c r="H284" s="11" t="s">
        <v>1224</v>
      </c>
      <c r="I284" s="4"/>
      <c r="J284" s="4"/>
      <c r="K284" s="4"/>
      <c r="L284" s="4"/>
      <c r="M284" s="4"/>
      <c r="N284" s="4"/>
      <c r="O284" s="4"/>
      <c r="P284" s="4"/>
      <c r="Q284" s="4"/>
      <c r="R284" s="4"/>
      <c r="S284" s="4"/>
      <c r="T284" s="4"/>
      <c r="U284" s="4"/>
      <c r="V284" s="4"/>
      <c r="W284" s="4"/>
      <c r="X284" s="4"/>
      <c r="Y284" s="4"/>
    </row>
    <row r="285">
      <c r="A285" s="11">
        <v>284.0</v>
      </c>
      <c r="B285" s="11" t="s">
        <v>813</v>
      </c>
      <c r="C285" s="6" t="s">
        <v>814</v>
      </c>
      <c r="D285" s="11">
        <v>2015.0</v>
      </c>
      <c r="E285" s="11" t="s">
        <v>815</v>
      </c>
      <c r="F285" s="11" t="s">
        <v>14</v>
      </c>
      <c r="G285" s="11" t="s">
        <v>39</v>
      </c>
      <c r="H285" s="11" t="s">
        <v>1224</v>
      </c>
      <c r="I285" s="4"/>
      <c r="J285" s="4"/>
      <c r="K285" s="4"/>
      <c r="L285" s="4"/>
      <c r="M285" s="4"/>
      <c r="N285" s="4"/>
      <c r="O285" s="4"/>
      <c r="P285" s="4"/>
      <c r="Q285" s="4"/>
      <c r="R285" s="4"/>
      <c r="S285" s="4"/>
      <c r="T285" s="4"/>
      <c r="U285" s="4"/>
      <c r="V285" s="4"/>
      <c r="W285" s="4"/>
      <c r="X285" s="4"/>
      <c r="Y285" s="4"/>
    </row>
    <row r="286">
      <c r="A286" s="11">
        <v>285.0</v>
      </c>
      <c r="B286" s="11" t="s">
        <v>816</v>
      </c>
      <c r="C286" s="6" t="s">
        <v>817</v>
      </c>
      <c r="D286" s="11">
        <v>2025.0</v>
      </c>
      <c r="E286" s="11" t="s">
        <v>818</v>
      </c>
      <c r="F286" s="11" t="s">
        <v>14</v>
      </c>
      <c r="G286" s="11" t="s">
        <v>49</v>
      </c>
      <c r="H286" s="11" t="s">
        <v>1224</v>
      </c>
      <c r="I286" s="4"/>
      <c r="J286" s="4"/>
      <c r="K286" s="4"/>
      <c r="L286" s="4"/>
      <c r="M286" s="4"/>
      <c r="N286" s="4"/>
      <c r="O286" s="4"/>
      <c r="P286" s="4"/>
      <c r="Q286" s="4"/>
      <c r="R286" s="4"/>
      <c r="S286" s="4"/>
      <c r="T286" s="4"/>
      <c r="U286" s="4"/>
      <c r="V286" s="4"/>
      <c r="W286" s="4"/>
      <c r="X286" s="4"/>
      <c r="Y286" s="4"/>
    </row>
    <row r="287">
      <c r="A287" s="12">
        <v>286.0</v>
      </c>
      <c r="B287" s="11" t="s">
        <v>819</v>
      </c>
      <c r="C287" s="6" t="s">
        <v>820</v>
      </c>
      <c r="D287" s="11">
        <v>2022.0</v>
      </c>
      <c r="E287" s="11" t="s">
        <v>821</v>
      </c>
      <c r="F287" s="11" t="s">
        <v>14</v>
      </c>
      <c r="G287" s="11" t="s">
        <v>39</v>
      </c>
      <c r="H287" s="11" t="s">
        <v>1224</v>
      </c>
      <c r="I287" s="4"/>
      <c r="J287" s="4"/>
      <c r="K287" s="4"/>
      <c r="L287" s="4"/>
      <c r="M287" s="4"/>
      <c r="N287" s="4"/>
      <c r="O287" s="4"/>
      <c r="P287" s="4"/>
      <c r="Q287" s="4"/>
      <c r="R287" s="4"/>
      <c r="S287" s="4"/>
      <c r="T287" s="4"/>
      <c r="U287" s="4"/>
      <c r="V287" s="4"/>
      <c r="W287" s="4"/>
      <c r="X287" s="4"/>
      <c r="Y287" s="4"/>
    </row>
    <row r="288">
      <c r="A288" s="11">
        <v>287.0</v>
      </c>
      <c r="B288" s="18" t="s">
        <v>822</v>
      </c>
      <c r="C288" s="6" t="s">
        <v>823</v>
      </c>
      <c r="D288" s="11">
        <v>2024.0</v>
      </c>
      <c r="E288" s="11" t="s">
        <v>824</v>
      </c>
      <c r="F288" s="11" t="s">
        <v>14</v>
      </c>
      <c r="G288" s="11" t="s">
        <v>39</v>
      </c>
      <c r="H288" s="11" t="s">
        <v>1225</v>
      </c>
      <c r="I288" s="4"/>
      <c r="J288" s="4"/>
      <c r="K288" s="4"/>
      <c r="L288" s="4"/>
      <c r="M288" s="4"/>
      <c r="N288" s="4"/>
      <c r="O288" s="4"/>
      <c r="P288" s="4"/>
      <c r="Q288" s="4"/>
      <c r="R288" s="4"/>
      <c r="S288" s="4"/>
      <c r="T288" s="4"/>
      <c r="U288" s="4"/>
      <c r="V288" s="4"/>
      <c r="W288" s="4"/>
      <c r="X288" s="4"/>
      <c r="Y288" s="4"/>
    </row>
    <row r="289">
      <c r="A289" s="11">
        <v>288.0</v>
      </c>
      <c r="B289" s="11" t="s">
        <v>825</v>
      </c>
      <c r="C289" s="6" t="s">
        <v>826</v>
      </c>
      <c r="D289" s="11">
        <v>2019.0</v>
      </c>
      <c r="E289" s="11" t="s">
        <v>827</v>
      </c>
      <c r="F289" s="11" t="s">
        <v>14</v>
      </c>
      <c r="G289" s="11" t="s">
        <v>49</v>
      </c>
      <c r="H289" s="11" t="s">
        <v>1224</v>
      </c>
      <c r="I289" s="4"/>
      <c r="J289" s="4"/>
      <c r="K289" s="4"/>
      <c r="L289" s="4"/>
      <c r="M289" s="4"/>
      <c r="N289" s="4"/>
      <c r="O289" s="4"/>
      <c r="P289" s="4"/>
      <c r="Q289" s="4"/>
      <c r="R289" s="4"/>
      <c r="S289" s="4"/>
      <c r="T289" s="4"/>
      <c r="U289" s="4"/>
      <c r="V289" s="4"/>
      <c r="W289" s="4"/>
      <c r="X289" s="4"/>
      <c r="Y289" s="4"/>
    </row>
    <row r="290">
      <c r="A290" s="12">
        <v>289.0</v>
      </c>
      <c r="B290" s="11" t="s">
        <v>828</v>
      </c>
      <c r="C290" s="6" t="s">
        <v>829</v>
      </c>
      <c r="D290" s="11">
        <v>2019.0</v>
      </c>
      <c r="E290" s="11" t="s">
        <v>830</v>
      </c>
      <c r="F290" s="11" t="s">
        <v>14</v>
      </c>
      <c r="G290" s="11" t="s">
        <v>39</v>
      </c>
      <c r="H290" s="11" t="s">
        <v>1224</v>
      </c>
      <c r="I290" s="4"/>
      <c r="J290" s="4"/>
      <c r="K290" s="4"/>
      <c r="L290" s="4"/>
      <c r="M290" s="4"/>
      <c r="N290" s="4"/>
      <c r="O290" s="4"/>
      <c r="P290" s="4"/>
      <c r="Q290" s="4"/>
      <c r="R290" s="4"/>
      <c r="S290" s="4"/>
      <c r="T290" s="4"/>
      <c r="U290" s="4"/>
      <c r="V290" s="4"/>
      <c r="W290" s="4"/>
      <c r="X290" s="4"/>
      <c r="Y290" s="4"/>
    </row>
    <row r="291">
      <c r="A291" s="11">
        <v>290.0</v>
      </c>
      <c r="B291" s="11" t="s">
        <v>831</v>
      </c>
      <c r="C291" s="6" t="s">
        <v>832</v>
      </c>
      <c r="D291" s="11">
        <v>2019.0</v>
      </c>
      <c r="E291" s="11" t="s">
        <v>833</v>
      </c>
      <c r="F291" s="11" t="s">
        <v>14</v>
      </c>
      <c r="G291" s="11" t="s">
        <v>39</v>
      </c>
      <c r="H291" s="11" t="s">
        <v>1224</v>
      </c>
      <c r="I291" s="4"/>
      <c r="J291" s="4"/>
      <c r="K291" s="4"/>
      <c r="L291" s="4"/>
      <c r="M291" s="4"/>
      <c r="N291" s="4"/>
      <c r="O291" s="4"/>
      <c r="P291" s="4"/>
      <c r="Q291" s="4"/>
      <c r="R291" s="4"/>
      <c r="S291" s="4"/>
      <c r="T291" s="4"/>
      <c r="U291" s="4"/>
      <c r="V291" s="4"/>
      <c r="W291" s="4"/>
      <c r="X291" s="4"/>
      <c r="Y291" s="4"/>
    </row>
    <row r="292">
      <c r="A292" s="11">
        <v>291.0</v>
      </c>
      <c r="B292" s="11" t="s">
        <v>834</v>
      </c>
      <c r="C292" s="6" t="s">
        <v>835</v>
      </c>
      <c r="D292" s="11">
        <v>2020.0</v>
      </c>
      <c r="E292" s="11" t="s">
        <v>580</v>
      </c>
      <c r="F292" s="11" t="s">
        <v>14</v>
      </c>
      <c r="G292" s="11" t="s">
        <v>49</v>
      </c>
      <c r="H292" s="11" t="s">
        <v>1224</v>
      </c>
      <c r="I292" s="4"/>
      <c r="J292" s="4"/>
      <c r="K292" s="4"/>
      <c r="L292" s="4"/>
      <c r="M292" s="4"/>
      <c r="N292" s="4"/>
      <c r="O292" s="4"/>
      <c r="P292" s="4"/>
      <c r="Q292" s="4"/>
      <c r="R292" s="4"/>
      <c r="S292" s="4"/>
      <c r="T292" s="4"/>
      <c r="U292" s="4"/>
      <c r="V292" s="4"/>
      <c r="W292" s="4"/>
      <c r="X292" s="4"/>
      <c r="Y292" s="4"/>
    </row>
    <row r="293">
      <c r="A293" s="12">
        <v>292.0</v>
      </c>
      <c r="B293" s="11" t="s">
        <v>836</v>
      </c>
      <c r="C293" s="6" t="s">
        <v>837</v>
      </c>
      <c r="D293" s="11">
        <v>2024.0</v>
      </c>
      <c r="E293" s="11" t="s">
        <v>596</v>
      </c>
      <c r="F293" s="11" t="s">
        <v>14</v>
      </c>
      <c r="G293" s="11" t="s">
        <v>49</v>
      </c>
      <c r="H293" s="11" t="s">
        <v>1224</v>
      </c>
      <c r="I293" s="4"/>
      <c r="J293" s="4"/>
      <c r="K293" s="4"/>
      <c r="L293" s="4"/>
      <c r="M293" s="4"/>
      <c r="N293" s="4"/>
      <c r="O293" s="4"/>
      <c r="P293" s="4"/>
      <c r="Q293" s="4"/>
      <c r="R293" s="4"/>
      <c r="S293" s="4"/>
      <c r="T293" s="4"/>
      <c r="U293" s="4"/>
      <c r="V293" s="4"/>
      <c r="W293" s="4"/>
      <c r="X293" s="4"/>
      <c r="Y293" s="4"/>
    </row>
    <row r="294">
      <c r="A294" s="11">
        <v>293.0</v>
      </c>
      <c r="B294" s="11" t="s">
        <v>838</v>
      </c>
      <c r="C294" s="6" t="s">
        <v>839</v>
      </c>
      <c r="D294" s="11">
        <v>2025.0</v>
      </c>
      <c r="E294" s="11" t="s">
        <v>596</v>
      </c>
      <c r="F294" s="11" t="s">
        <v>14</v>
      </c>
      <c r="G294" s="11" t="s">
        <v>49</v>
      </c>
      <c r="H294" s="11" t="s">
        <v>1224</v>
      </c>
      <c r="I294" s="4"/>
      <c r="J294" s="4"/>
      <c r="K294" s="4"/>
      <c r="L294" s="4"/>
      <c r="M294" s="4"/>
      <c r="N294" s="4"/>
      <c r="O294" s="4"/>
      <c r="P294" s="4"/>
      <c r="Q294" s="4"/>
      <c r="R294" s="4"/>
      <c r="S294" s="4"/>
      <c r="T294" s="4"/>
      <c r="U294" s="4"/>
      <c r="V294" s="4"/>
      <c r="W294" s="4"/>
      <c r="X294" s="4"/>
      <c r="Y294" s="4"/>
    </row>
    <row r="295">
      <c r="A295" s="11">
        <v>294.0</v>
      </c>
      <c r="B295" s="11" t="s">
        <v>840</v>
      </c>
      <c r="C295" s="6" t="s">
        <v>841</v>
      </c>
      <c r="D295" s="11">
        <v>2018.0</v>
      </c>
      <c r="E295" s="11" t="s">
        <v>842</v>
      </c>
      <c r="F295" s="11" t="s">
        <v>14</v>
      </c>
      <c r="G295" s="11" t="s">
        <v>39</v>
      </c>
      <c r="H295" s="11" t="s">
        <v>1224</v>
      </c>
      <c r="I295" s="4"/>
      <c r="J295" s="4"/>
      <c r="K295" s="4"/>
      <c r="L295" s="4"/>
      <c r="M295" s="4"/>
      <c r="N295" s="4"/>
      <c r="O295" s="4"/>
      <c r="P295" s="4"/>
      <c r="Q295" s="4"/>
      <c r="R295" s="4"/>
      <c r="S295" s="4"/>
      <c r="T295" s="4"/>
      <c r="U295" s="4"/>
      <c r="V295" s="4"/>
      <c r="W295" s="4"/>
      <c r="X295" s="4"/>
      <c r="Y295" s="4"/>
    </row>
    <row r="296">
      <c r="A296" s="12">
        <v>295.0</v>
      </c>
      <c r="B296" s="11" t="s">
        <v>843</v>
      </c>
      <c r="C296" s="6" t="s">
        <v>844</v>
      </c>
      <c r="D296" s="11">
        <v>2021.0</v>
      </c>
      <c r="E296" s="11" t="s">
        <v>845</v>
      </c>
      <c r="F296" s="11" t="s">
        <v>14</v>
      </c>
      <c r="G296" s="11" t="s">
        <v>39</v>
      </c>
      <c r="H296" s="11" t="s">
        <v>1224</v>
      </c>
      <c r="I296" s="4"/>
      <c r="J296" s="4"/>
      <c r="K296" s="4"/>
      <c r="L296" s="4"/>
      <c r="M296" s="4"/>
      <c r="N296" s="4"/>
      <c r="O296" s="4"/>
      <c r="P296" s="4"/>
      <c r="Q296" s="4"/>
      <c r="R296" s="4"/>
      <c r="S296" s="4"/>
      <c r="T296" s="4"/>
      <c r="U296" s="4"/>
      <c r="V296" s="4"/>
      <c r="W296" s="4"/>
      <c r="X296" s="4"/>
      <c r="Y296" s="4"/>
    </row>
    <row r="297">
      <c r="A297" s="11">
        <v>296.0</v>
      </c>
      <c r="B297" s="11" t="s">
        <v>846</v>
      </c>
      <c r="C297" s="6" t="s">
        <v>847</v>
      </c>
      <c r="D297" s="11">
        <v>2015.0</v>
      </c>
      <c r="E297" s="11" t="s">
        <v>848</v>
      </c>
      <c r="F297" s="11" t="s">
        <v>14</v>
      </c>
      <c r="G297" s="11" t="s">
        <v>39</v>
      </c>
      <c r="H297" s="11" t="s">
        <v>1224</v>
      </c>
      <c r="I297" s="4"/>
      <c r="J297" s="4"/>
      <c r="K297" s="4"/>
      <c r="L297" s="4"/>
      <c r="M297" s="4"/>
      <c r="N297" s="4"/>
      <c r="O297" s="4"/>
      <c r="P297" s="4"/>
      <c r="Q297" s="4"/>
      <c r="R297" s="4"/>
      <c r="S297" s="4"/>
      <c r="T297" s="4"/>
      <c r="U297" s="4"/>
      <c r="V297" s="4"/>
      <c r="W297" s="4"/>
      <c r="X297" s="4"/>
      <c r="Y297" s="4"/>
    </row>
    <row r="298">
      <c r="A298" s="11">
        <v>297.0</v>
      </c>
      <c r="B298" s="11" t="s">
        <v>849</v>
      </c>
      <c r="C298" s="6" t="s">
        <v>850</v>
      </c>
      <c r="D298" s="11">
        <v>2018.0</v>
      </c>
      <c r="E298" s="11" t="s">
        <v>851</v>
      </c>
      <c r="F298" s="11" t="s">
        <v>14</v>
      </c>
      <c r="G298" s="11" t="s">
        <v>49</v>
      </c>
      <c r="H298" s="11" t="s">
        <v>1224</v>
      </c>
      <c r="I298" s="4"/>
      <c r="J298" s="4"/>
      <c r="K298" s="4"/>
      <c r="L298" s="4"/>
      <c r="M298" s="4"/>
      <c r="N298" s="4"/>
      <c r="O298" s="4"/>
      <c r="P298" s="4"/>
      <c r="Q298" s="4"/>
      <c r="R298" s="4"/>
      <c r="S298" s="4"/>
      <c r="T298" s="4"/>
      <c r="U298" s="4"/>
      <c r="V298" s="4"/>
      <c r="W298" s="4"/>
      <c r="X298" s="4"/>
      <c r="Y298" s="4"/>
    </row>
    <row r="299">
      <c r="A299" s="12">
        <v>298.0</v>
      </c>
      <c r="B299" s="11" t="s">
        <v>852</v>
      </c>
      <c r="C299" s="6" t="s">
        <v>853</v>
      </c>
      <c r="D299" s="11">
        <v>2018.0</v>
      </c>
      <c r="E299" s="11" t="s">
        <v>854</v>
      </c>
      <c r="F299" s="11" t="s">
        <v>14</v>
      </c>
      <c r="G299" s="11" t="s">
        <v>39</v>
      </c>
      <c r="H299" s="11" t="s">
        <v>1224</v>
      </c>
      <c r="I299" s="4"/>
      <c r="J299" s="4"/>
      <c r="K299" s="4"/>
      <c r="L299" s="4"/>
      <c r="M299" s="4"/>
      <c r="N299" s="4"/>
      <c r="O299" s="4"/>
      <c r="P299" s="4"/>
      <c r="Q299" s="4"/>
      <c r="R299" s="4"/>
      <c r="S299" s="4"/>
      <c r="T299" s="4"/>
      <c r="U299" s="4"/>
      <c r="V299" s="4"/>
      <c r="W299" s="4"/>
      <c r="X299" s="4"/>
      <c r="Y299" s="4"/>
    </row>
    <row r="300">
      <c r="A300" s="11">
        <v>299.0</v>
      </c>
      <c r="B300" s="11" t="s">
        <v>855</v>
      </c>
      <c r="C300" s="6" t="s">
        <v>856</v>
      </c>
      <c r="D300" s="11">
        <v>2016.0</v>
      </c>
      <c r="E300" s="11" t="s">
        <v>694</v>
      </c>
      <c r="F300" s="11" t="s">
        <v>14</v>
      </c>
      <c r="G300" s="11" t="s">
        <v>49</v>
      </c>
      <c r="H300" s="11" t="s">
        <v>1224</v>
      </c>
      <c r="I300" s="4"/>
      <c r="J300" s="4"/>
      <c r="K300" s="4"/>
      <c r="L300" s="4"/>
      <c r="M300" s="4"/>
      <c r="N300" s="4"/>
      <c r="O300" s="4"/>
      <c r="P300" s="4"/>
      <c r="Q300" s="4"/>
      <c r="R300" s="4"/>
      <c r="S300" s="4"/>
      <c r="T300" s="4"/>
      <c r="U300" s="4"/>
      <c r="V300" s="4"/>
      <c r="W300" s="4"/>
      <c r="X300" s="4"/>
      <c r="Y300" s="4"/>
    </row>
    <row r="301">
      <c r="A301" s="11">
        <v>300.0</v>
      </c>
      <c r="B301" s="11" t="s">
        <v>857</v>
      </c>
      <c r="C301" s="6" t="s">
        <v>858</v>
      </c>
      <c r="D301" s="11">
        <v>2018.0</v>
      </c>
      <c r="E301" s="11" t="s">
        <v>580</v>
      </c>
      <c r="F301" s="11" t="s">
        <v>14</v>
      </c>
      <c r="G301" s="11" t="s">
        <v>49</v>
      </c>
      <c r="H301" s="11" t="s">
        <v>1224</v>
      </c>
      <c r="I301" s="4"/>
      <c r="J301" s="4"/>
      <c r="K301" s="4"/>
      <c r="L301" s="4"/>
      <c r="M301" s="4"/>
      <c r="N301" s="4"/>
      <c r="O301" s="4"/>
      <c r="P301" s="4"/>
      <c r="Q301" s="4"/>
      <c r="R301" s="4"/>
      <c r="S301" s="4"/>
      <c r="T301" s="4"/>
      <c r="U301" s="4"/>
      <c r="V301" s="4"/>
      <c r="W301" s="4"/>
      <c r="X301" s="4"/>
      <c r="Y301" s="4"/>
    </row>
    <row r="302">
      <c r="A302" s="12">
        <v>301.0</v>
      </c>
      <c r="B302" s="11" t="s">
        <v>859</v>
      </c>
      <c r="C302" s="6" t="s">
        <v>860</v>
      </c>
      <c r="D302" s="11">
        <v>2017.0</v>
      </c>
      <c r="E302" s="11" t="s">
        <v>861</v>
      </c>
      <c r="F302" s="11" t="s">
        <v>14</v>
      </c>
      <c r="G302" s="11" t="s">
        <v>39</v>
      </c>
      <c r="H302" s="11" t="s">
        <v>1224</v>
      </c>
      <c r="I302" s="4"/>
      <c r="J302" s="4"/>
      <c r="K302" s="4"/>
      <c r="L302" s="4"/>
      <c r="M302" s="4"/>
      <c r="N302" s="4"/>
      <c r="O302" s="4"/>
      <c r="P302" s="4"/>
      <c r="Q302" s="4"/>
      <c r="R302" s="4"/>
      <c r="S302" s="4"/>
      <c r="T302" s="4"/>
      <c r="U302" s="4"/>
      <c r="V302" s="4"/>
      <c r="W302" s="4"/>
      <c r="X302" s="4"/>
      <c r="Y302" s="4"/>
    </row>
    <row r="303">
      <c r="A303" s="11">
        <v>302.0</v>
      </c>
      <c r="B303" s="11" t="s">
        <v>862</v>
      </c>
      <c r="C303" s="6" t="s">
        <v>863</v>
      </c>
      <c r="D303" s="11">
        <v>2020.0</v>
      </c>
      <c r="E303" s="11" t="s">
        <v>596</v>
      </c>
      <c r="F303" s="11" t="s">
        <v>14</v>
      </c>
      <c r="G303" s="11" t="s">
        <v>49</v>
      </c>
      <c r="H303" s="11" t="s">
        <v>1224</v>
      </c>
      <c r="I303" s="4"/>
      <c r="J303" s="4"/>
      <c r="K303" s="4"/>
      <c r="L303" s="4"/>
      <c r="M303" s="4"/>
      <c r="N303" s="4"/>
      <c r="O303" s="4"/>
      <c r="P303" s="4"/>
      <c r="Q303" s="4"/>
      <c r="R303" s="4"/>
      <c r="S303" s="4"/>
      <c r="T303" s="4"/>
      <c r="U303" s="4"/>
      <c r="V303" s="4"/>
      <c r="W303" s="4"/>
      <c r="X303" s="4"/>
      <c r="Y303" s="4"/>
    </row>
    <row r="304">
      <c r="A304" s="11">
        <v>303.0</v>
      </c>
      <c r="B304" s="11" t="s">
        <v>864</v>
      </c>
      <c r="C304" s="6" t="s">
        <v>865</v>
      </c>
      <c r="D304" s="11">
        <v>2018.0</v>
      </c>
      <c r="E304" s="11" t="s">
        <v>580</v>
      </c>
      <c r="F304" s="11" t="s">
        <v>14</v>
      </c>
      <c r="G304" s="11" t="s">
        <v>49</v>
      </c>
      <c r="H304" s="11" t="s">
        <v>1224</v>
      </c>
      <c r="I304" s="4"/>
      <c r="J304" s="4"/>
      <c r="K304" s="4"/>
      <c r="L304" s="4"/>
      <c r="M304" s="4"/>
      <c r="N304" s="4"/>
      <c r="O304" s="4"/>
      <c r="P304" s="4"/>
      <c r="Q304" s="4"/>
      <c r="R304" s="4"/>
      <c r="S304" s="4"/>
      <c r="T304" s="4"/>
      <c r="U304" s="4"/>
      <c r="V304" s="4"/>
      <c r="W304" s="4"/>
      <c r="X304" s="4"/>
      <c r="Y304" s="4"/>
    </row>
    <row r="305">
      <c r="A305" s="12">
        <v>304.0</v>
      </c>
      <c r="B305" s="11" t="s">
        <v>866</v>
      </c>
      <c r="C305" s="6" t="s">
        <v>867</v>
      </c>
      <c r="D305" s="11">
        <v>2019.0</v>
      </c>
      <c r="E305" s="11" t="s">
        <v>868</v>
      </c>
      <c r="F305" s="11" t="s">
        <v>14</v>
      </c>
      <c r="G305" s="11" t="s">
        <v>39</v>
      </c>
      <c r="H305" s="11" t="s">
        <v>1224</v>
      </c>
      <c r="I305" s="4"/>
      <c r="J305" s="4"/>
      <c r="K305" s="4"/>
      <c r="L305" s="4"/>
      <c r="M305" s="4"/>
      <c r="N305" s="4"/>
      <c r="O305" s="4"/>
      <c r="P305" s="4"/>
      <c r="Q305" s="4"/>
      <c r="R305" s="4"/>
      <c r="S305" s="4"/>
      <c r="T305" s="4"/>
      <c r="U305" s="4"/>
      <c r="V305" s="4"/>
      <c r="W305" s="4"/>
      <c r="X305" s="4"/>
      <c r="Y305" s="4"/>
    </row>
    <row r="306">
      <c r="A306" s="11">
        <v>305.0</v>
      </c>
      <c r="B306" s="11" t="s">
        <v>869</v>
      </c>
      <c r="C306" s="6" t="s">
        <v>870</v>
      </c>
      <c r="D306" s="11">
        <v>2019.0</v>
      </c>
      <c r="E306" s="11" t="s">
        <v>871</v>
      </c>
      <c r="F306" s="11" t="s">
        <v>14</v>
      </c>
      <c r="G306" s="11" t="s">
        <v>39</v>
      </c>
      <c r="H306" s="11" t="s">
        <v>1224</v>
      </c>
      <c r="I306" s="4"/>
      <c r="J306" s="4"/>
      <c r="K306" s="4"/>
      <c r="L306" s="4"/>
      <c r="M306" s="4"/>
      <c r="N306" s="4"/>
      <c r="O306" s="4"/>
      <c r="P306" s="4"/>
      <c r="Q306" s="4"/>
      <c r="R306" s="4"/>
      <c r="S306" s="4"/>
      <c r="T306" s="4"/>
      <c r="U306" s="4"/>
      <c r="V306" s="4"/>
      <c r="W306" s="4"/>
      <c r="X306" s="4"/>
      <c r="Y306" s="4"/>
    </row>
    <row r="307">
      <c r="A307" s="11">
        <v>306.0</v>
      </c>
      <c r="B307" s="11" t="s">
        <v>872</v>
      </c>
      <c r="C307" s="6" t="s">
        <v>873</v>
      </c>
      <c r="D307" s="11">
        <v>2022.0</v>
      </c>
      <c r="E307" s="11" t="s">
        <v>874</v>
      </c>
      <c r="F307" s="11" t="s">
        <v>14</v>
      </c>
      <c r="G307" s="11" t="s">
        <v>49</v>
      </c>
      <c r="H307" s="11" t="s">
        <v>1224</v>
      </c>
      <c r="I307" s="4"/>
      <c r="J307" s="4"/>
      <c r="K307" s="4"/>
      <c r="L307" s="4"/>
      <c r="M307" s="4"/>
      <c r="N307" s="4"/>
      <c r="O307" s="4"/>
      <c r="P307" s="4"/>
      <c r="Q307" s="4"/>
      <c r="R307" s="4"/>
      <c r="S307" s="4"/>
      <c r="T307" s="4"/>
      <c r="U307" s="4"/>
      <c r="V307" s="4"/>
      <c r="W307" s="4"/>
      <c r="X307" s="4"/>
      <c r="Y307" s="4"/>
    </row>
    <row r="308">
      <c r="A308" s="12">
        <v>307.0</v>
      </c>
      <c r="B308" s="11" t="s">
        <v>875</v>
      </c>
      <c r="C308" s="6" t="s">
        <v>876</v>
      </c>
      <c r="D308" s="11">
        <v>2016.0</v>
      </c>
      <c r="E308" s="11" t="s">
        <v>877</v>
      </c>
      <c r="F308" s="11" t="s">
        <v>14</v>
      </c>
      <c r="G308" s="11" t="s">
        <v>39</v>
      </c>
      <c r="H308" s="11" t="s">
        <v>1224</v>
      </c>
      <c r="I308" s="4"/>
      <c r="J308" s="4"/>
      <c r="K308" s="4"/>
      <c r="L308" s="4"/>
      <c r="M308" s="4"/>
      <c r="N308" s="4"/>
      <c r="O308" s="4"/>
      <c r="P308" s="4"/>
      <c r="Q308" s="4"/>
      <c r="R308" s="4"/>
      <c r="S308" s="4"/>
      <c r="T308" s="4"/>
      <c r="U308" s="4"/>
      <c r="V308" s="4"/>
      <c r="W308" s="4"/>
      <c r="X308" s="4"/>
      <c r="Y308" s="4"/>
    </row>
    <row r="309">
      <c r="A309" s="11">
        <v>308.0</v>
      </c>
      <c r="B309" s="11" t="s">
        <v>878</v>
      </c>
      <c r="C309" s="6" t="s">
        <v>879</v>
      </c>
      <c r="D309" s="11">
        <v>2018.0</v>
      </c>
      <c r="E309" s="11" t="s">
        <v>880</v>
      </c>
      <c r="F309" s="11" t="s">
        <v>16</v>
      </c>
      <c r="G309" s="11" t="s">
        <v>49</v>
      </c>
      <c r="H309" s="11" t="s">
        <v>1224</v>
      </c>
      <c r="I309" s="4"/>
      <c r="J309" s="4"/>
      <c r="K309" s="4"/>
      <c r="L309" s="4"/>
      <c r="M309" s="4"/>
      <c r="N309" s="4"/>
      <c r="O309" s="4"/>
      <c r="P309" s="4"/>
      <c r="Q309" s="4"/>
      <c r="R309" s="4"/>
      <c r="S309" s="4"/>
      <c r="T309" s="4"/>
      <c r="U309" s="4"/>
      <c r="V309" s="4"/>
      <c r="W309" s="4"/>
      <c r="X309" s="4"/>
      <c r="Y309" s="4"/>
    </row>
    <row r="310">
      <c r="A310" s="11">
        <v>309.0</v>
      </c>
      <c r="B310" s="11" t="s">
        <v>881</v>
      </c>
      <c r="C310" s="6" t="s">
        <v>882</v>
      </c>
      <c r="D310" s="11">
        <v>2018.0</v>
      </c>
      <c r="E310" s="11" t="s">
        <v>883</v>
      </c>
      <c r="F310" s="11" t="s">
        <v>16</v>
      </c>
      <c r="G310" s="11" t="s">
        <v>49</v>
      </c>
      <c r="H310" s="11" t="s">
        <v>1224</v>
      </c>
      <c r="I310" s="4"/>
      <c r="J310" s="4"/>
      <c r="K310" s="4"/>
      <c r="L310" s="4"/>
      <c r="M310" s="4"/>
      <c r="N310" s="4"/>
      <c r="O310" s="4"/>
      <c r="P310" s="4"/>
      <c r="Q310" s="4"/>
      <c r="R310" s="4"/>
      <c r="S310" s="4"/>
      <c r="T310" s="4"/>
      <c r="U310" s="4"/>
      <c r="V310" s="4"/>
      <c r="W310" s="4"/>
      <c r="X310" s="4"/>
      <c r="Y310" s="4"/>
    </row>
    <row r="311">
      <c r="A311" s="12">
        <v>310.0</v>
      </c>
      <c r="B311" s="11" t="s">
        <v>884</v>
      </c>
      <c r="C311" s="6" t="s">
        <v>885</v>
      </c>
      <c r="D311" s="11">
        <v>2023.0</v>
      </c>
      <c r="E311" s="11" t="s">
        <v>886</v>
      </c>
      <c r="F311" s="11" t="s">
        <v>16</v>
      </c>
      <c r="G311" s="11" t="s">
        <v>49</v>
      </c>
      <c r="H311" s="11" t="s">
        <v>1224</v>
      </c>
      <c r="I311" s="4"/>
      <c r="J311" s="4"/>
      <c r="K311" s="4"/>
      <c r="L311" s="4"/>
      <c r="M311" s="4"/>
      <c r="N311" s="4"/>
      <c r="O311" s="4"/>
      <c r="P311" s="4"/>
      <c r="Q311" s="4"/>
      <c r="R311" s="4"/>
      <c r="S311" s="4"/>
      <c r="T311" s="4"/>
      <c r="U311" s="4"/>
      <c r="V311" s="4"/>
      <c r="W311" s="4"/>
      <c r="X311" s="4"/>
      <c r="Y311" s="4"/>
    </row>
    <row r="312">
      <c r="A312" s="12">
        <v>311.0</v>
      </c>
      <c r="B312" s="11" t="s">
        <v>887</v>
      </c>
      <c r="C312" s="6" t="s">
        <v>888</v>
      </c>
      <c r="D312" s="11">
        <v>2026.0</v>
      </c>
      <c r="E312" s="11" t="s">
        <v>889</v>
      </c>
      <c r="F312" s="11" t="s">
        <v>16</v>
      </c>
      <c r="G312" s="11" t="s">
        <v>49</v>
      </c>
      <c r="H312" s="11" t="s">
        <v>1224</v>
      </c>
      <c r="I312" s="4"/>
      <c r="J312" s="4"/>
      <c r="K312" s="4"/>
      <c r="L312" s="4"/>
      <c r="M312" s="4"/>
      <c r="N312" s="4"/>
      <c r="O312" s="4"/>
      <c r="P312" s="4"/>
      <c r="Q312" s="4"/>
      <c r="R312" s="4"/>
      <c r="S312" s="4"/>
      <c r="T312" s="4"/>
      <c r="U312" s="4"/>
      <c r="V312" s="4"/>
      <c r="W312" s="4"/>
      <c r="X312" s="4"/>
      <c r="Y312" s="4"/>
    </row>
    <row r="313">
      <c r="A313" s="11">
        <v>312.0</v>
      </c>
      <c r="B313" s="11" t="s">
        <v>890</v>
      </c>
      <c r="C313" s="6" t="s">
        <v>891</v>
      </c>
      <c r="D313" s="11">
        <v>2022.0</v>
      </c>
      <c r="E313" s="11" t="s">
        <v>892</v>
      </c>
      <c r="F313" s="11" t="s">
        <v>16</v>
      </c>
      <c r="G313" s="11" t="s">
        <v>49</v>
      </c>
      <c r="H313" s="11" t="s">
        <v>1224</v>
      </c>
      <c r="I313" s="4"/>
      <c r="J313" s="4"/>
      <c r="K313" s="4"/>
      <c r="L313" s="4"/>
      <c r="M313" s="4"/>
      <c r="N313" s="4"/>
      <c r="O313" s="4"/>
      <c r="P313" s="4"/>
      <c r="Q313" s="4"/>
      <c r="R313" s="4"/>
      <c r="S313" s="4"/>
      <c r="T313" s="4"/>
      <c r="U313" s="4"/>
      <c r="V313" s="4"/>
      <c r="W313" s="4"/>
      <c r="X313" s="4"/>
      <c r="Y313" s="4"/>
    </row>
    <row r="314">
      <c r="A314" s="11">
        <v>313.0</v>
      </c>
      <c r="B314" s="11" t="s">
        <v>893</v>
      </c>
      <c r="C314" s="6" t="s">
        <v>894</v>
      </c>
      <c r="D314" s="11">
        <v>2024.0</v>
      </c>
      <c r="E314" s="11" t="s">
        <v>895</v>
      </c>
      <c r="F314" s="11" t="s">
        <v>16</v>
      </c>
      <c r="G314" s="11" t="s">
        <v>49</v>
      </c>
      <c r="H314" s="11" t="s">
        <v>1224</v>
      </c>
      <c r="I314" s="4"/>
      <c r="J314" s="4"/>
      <c r="K314" s="4"/>
      <c r="L314" s="4"/>
      <c r="M314" s="4"/>
      <c r="N314" s="4"/>
      <c r="O314" s="4"/>
      <c r="P314" s="4"/>
      <c r="Q314" s="4"/>
      <c r="R314" s="4"/>
      <c r="S314" s="4"/>
      <c r="T314" s="4"/>
      <c r="U314" s="4"/>
      <c r="V314" s="4"/>
      <c r="W314" s="4"/>
      <c r="X314" s="4"/>
      <c r="Y314" s="4"/>
    </row>
    <row r="315">
      <c r="A315" s="12">
        <v>314.0</v>
      </c>
      <c r="B315" s="11" t="s">
        <v>896</v>
      </c>
      <c r="C315" s="6" t="s">
        <v>897</v>
      </c>
      <c r="D315" s="11">
        <v>2019.0</v>
      </c>
      <c r="E315" s="11" t="s">
        <v>880</v>
      </c>
      <c r="F315" s="11" t="s">
        <v>16</v>
      </c>
      <c r="G315" s="11" t="s">
        <v>49</v>
      </c>
      <c r="H315" s="11" t="s">
        <v>1224</v>
      </c>
      <c r="I315" s="4"/>
      <c r="J315" s="4"/>
      <c r="K315" s="4"/>
      <c r="L315" s="4"/>
      <c r="M315" s="4"/>
      <c r="N315" s="4"/>
      <c r="O315" s="4"/>
      <c r="P315" s="4"/>
      <c r="Q315" s="4"/>
      <c r="R315" s="4"/>
      <c r="S315" s="4"/>
      <c r="T315" s="4"/>
      <c r="U315" s="4"/>
      <c r="V315" s="4"/>
      <c r="W315" s="4"/>
      <c r="X315" s="4"/>
      <c r="Y315" s="4"/>
    </row>
    <row r="316">
      <c r="A316" s="12">
        <v>315.0</v>
      </c>
      <c r="B316" s="18" t="s">
        <v>898</v>
      </c>
      <c r="C316" s="6" t="s">
        <v>899</v>
      </c>
      <c r="D316" s="11">
        <v>2016.0</v>
      </c>
      <c r="E316" s="11" t="s">
        <v>900</v>
      </c>
      <c r="F316" s="11" t="s">
        <v>16</v>
      </c>
      <c r="G316" s="11" t="s">
        <v>49</v>
      </c>
      <c r="H316" s="11" t="s">
        <v>1225</v>
      </c>
      <c r="I316" s="4"/>
      <c r="J316" s="4"/>
      <c r="K316" s="4"/>
      <c r="L316" s="4"/>
      <c r="M316" s="4"/>
      <c r="N316" s="4"/>
      <c r="O316" s="4"/>
      <c r="P316" s="4"/>
      <c r="Q316" s="4"/>
      <c r="R316" s="4"/>
      <c r="S316" s="4"/>
      <c r="T316" s="4"/>
      <c r="U316" s="4"/>
      <c r="V316" s="4"/>
      <c r="W316" s="4"/>
      <c r="X316" s="4"/>
      <c r="Y316" s="4"/>
    </row>
    <row r="317">
      <c r="A317" s="11">
        <v>316.0</v>
      </c>
      <c r="B317" s="11" t="s">
        <v>420</v>
      </c>
      <c r="C317" s="6" t="s">
        <v>901</v>
      </c>
      <c r="D317" s="11">
        <v>2016.0</v>
      </c>
      <c r="E317" s="11" t="s">
        <v>422</v>
      </c>
      <c r="F317" s="11" t="s">
        <v>16</v>
      </c>
      <c r="G317" s="11" t="s">
        <v>49</v>
      </c>
      <c r="H317" s="11" t="s">
        <v>1225</v>
      </c>
      <c r="I317" s="11" t="s">
        <v>1227</v>
      </c>
      <c r="J317" s="4"/>
      <c r="K317" s="4"/>
      <c r="L317" s="4"/>
      <c r="M317" s="4"/>
      <c r="N317" s="4"/>
      <c r="O317" s="4"/>
      <c r="P317" s="4"/>
      <c r="Q317" s="4"/>
      <c r="R317" s="4"/>
      <c r="S317" s="4"/>
      <c r="T317" s="4"/>
      <c r="U317" s="4"/>
      <c r="V317" s="4"/>
      <c r="W317" s="4"/>
      <c r="X317" s="4"/>
      <c r="Y317" s="4"/>
    </row>
    <row r="318">
      <c r="A318" s="11">
        <v>317.0</v>
      </c>
      <c r="B318" s="11" t="s">
        <v>902</v>
      </c>
      <c r="C318" s="6" t="s">
        <v>903</v>
      </c>
      <c r="D318" s="11">
        <v>2020.0</v>
      </c>
      <c r="E318" s="11" t="s">
        <v>904</v>
      </c>
      <c r="F318" s="11" t="s">
        <v>16</v>
      </c>
      <c r="G318" s="11" t="s">
        <v>49</v>
      </c>
      <c r="H318" s="11" t="s">
        <v>1224</v>
      </c>
      <c r="I318" s="4"/>
      <c r="J318" s="4"/>
      <c r="K318" s="4"/>
      <c r="L318" s="4"/>
      <c r="M318" s="4"/>
      <c r="N318" s="4"/>
      <c r="O318" s="4"/>
      <c r="P318" s="4"/>
      <c r="Q318" s="4"/>
      <c r="R318" s="4"/>
      <c r="S318" s="4"/>
      <c r="T318" s="4"/>
      <c r="U318" s="4"/>
      <c r="V318" s="4"/>
      <c r="W318" s="4"/>
      <c r="X318" s="4"/>
      <c r="Y318" s="4"/>
    </row>
    <row r="319">
      <c r="A319" s="12">
        <v>318.0</v>
      </c>
      <c r="B319" s="11" t="s">
        <v>905</v>
      </c>
      <c r="C319" s="6" t="s">
        <v>906</v>
      </c>
      <c r="D319" s="11">
        <v>2024.0</v>
      </c>
      <c r="E319" s="11" t="s">
        <v>907</v>
      </c>
      <c r="F319" s="11" t="s">
        <v>16</v>
      </c>
      <c r="G319" s="11" t="s">
        <v>49</v>
      </c>
      <c r="H319" s="11" t="s">
        <v>1224</v>
      </c>
      <c r="I319" s="4"/>
      <c r="J319" s="4"/>
      <c r="K319" s="4"/>
      <c r="L319" s="4"/>
      <c r="M319" s="4"/>
      <c r="N319" s="4"/>
      <c r="O319" s="4"/>
      <c r="P319" s="4"/>
      <c r="Q319" s="4"/>
      <c r="R319" s="4"/>
      <c r="S319" s="4"/>
      <c r="T319" s="4"/>
      <c r="U319" s="4"/>
      <c r="V319" s="4"/>
      <c r="W319" s="4"/>
      <c r="X319" s="4"/>
      <c r="Y319" s="4"/>
    </row>
    <row r="320">
      <c r="A320" s="12">
        <v>319.0</v>
      </c>
      <c r="B320" s="11" t="s">
        <v>908</v>
      </c>
      <c r="C320" s="6" t="s">
        <v>909</v>
      </c>
      <c r="D320" s="11">
        <v>2020.0</v>
      </c>
      <c r="E320" s="11" t="s">
        <v>910</v>
      </c>
      <c r="F320" s="11" t="s">
        <v>16</v>
      </c>
      <c r="G320" s="11" t="s">
        <v>49</v>
      </c>
      <c r="H320" s="11" t="s">
        <v>1224</v>
      </c>
      <c r="I320" s="4"/>
      <c r="J320" s="4"/>
      <c r="K320" s="4"/>
      <c r="L320" s="4"/>
      <c r="M320" s="4"/>
      <c r="N320" s="4"/>
      <c r="O320" s="4"/>
      <c r="P320" s="4"/>
      <c r="Q320" s="4"/>
      <c r="R320" s="4"/>
      <c r="S320" s="4"/>
      <c r="T320" s="4"/>
      <c r="U320" s="4"/>
      <c r="V320" s="4"/>
      <c r="W320" s="4"/>
      <c r="X320" s="4"/>
      <c r="Y320" s="4"/>
    </row>
    <row r="321">
      <c r="A321" s="11">
        <v>320.0</v>
      </c>
      <c r="B321" s="11" t="s">
        <v>911</v>
      </c>
      <c r="C321" s="6" t="s">
        <v>912</v>
      </c>
      <c r="D321" s="11">
        <v>2024.0</v>
      </c>
      <c r="E321" s="11" t="s">
        <v>913</v>
      </c>
      <c r="F321" s="11" t="s">
        <v>16</v>
      </c>
      <c r="G321" s="11" t="s">
        <v>49</v>
      </c>
      <c r="H321" s="11" t="s">
        <v>1224</v>
      </c>
      <c r="I321" s="4"/>
      <c r="J321" s="4"/>
      <c r="K321" s="4"/>
      <c r="L321" s="4"/>
      <c r="M321" s="4"/>
      <c r="N321" s="4"/>
      <c r="O321" s="4"/>
      <c r="P321" s="4"/>
      <c r="Q321" s="4"/>
      <c r="R321" s="4"/>
      <c r="S321" s="4"/>
      <c r="T321" s="4"/>
      <c r="U321" s="4"/>
      <c r="V321" s="4"/>
      <c r="W321" s="4"/>
      <c r="X321" s="4"/>
      <c r="Y321" s="4"/>
    </row>
    <row r="322">
      <c r="A322" s="11">
        <v>321.0</v>
      </c>
      <c r="B322" s="11" t="s">
        <v>914</v>
      </c>
      <c r="C322" s="6" t="s">
        <v>915</v>
      </c>
      <c r="D322" s="11">
        <v>2025.0</v>
      </c>
      <c r="E322" s="11" t="s">
        <v>910</v>
      </c>
      <c r="F322" s="11" t="s">
        <v>16</v>
      </c>
      <c r="G322" s="11" t="s">
        <v>49</v>
      </c>
      <c r="H322" s="11" t="s">
        <v>1224</v>
      </c>
      <c r="I322" s="4"/>
      <c r="J322" s="4"/>
      <c r="K322" s="4"/>
      <c r="L322" s="4"/>
      <c r="M322" s="4"/>
      <c r="N322" s="4"/>
      <c r="O322" s="4"/>
      <c r="P322" s="4"/>
      <c r="Q322" s="4"/>
      <c r="R322" s="4"/>
      <c r="S322" s="4"/>
      <c r="T322" s="4"/>
      <c r="U322" s="4"/>
      <c r="V322" s="4"/>
      <c r="W322" s="4"/>
      <c r="X322" s="4"/>
      <c r="Y322" s="4"/>
    </row>
    <row r="323">
      <c r="A323" s="12">
        <v>322.0</v>
      </c>
      <c r="B323" s="11" t="s">
        <v>916</v>
      </c>
      <c r="C323" s="6" t="s">
        <v>917</v>
      </c>
      <c r="D323" s="11">
        <v>2022.0</v>
      </c>
      <c r="E323" s="11" t="s">
        <v>918</v>
      </c>
      <c r="F323" s="11" t="s">
        <v>16</v>
      </c>
      <c r="G323" s="11" t="s">
        <v>49</v>
      </c>
      <c r="H323" s="11" t="s">
        <v>1224</v>
      </c>
      <c r="I323" s="4"/>
      <c r="J323" s="4"/>
      <c r="K323" s="4"/>
      <c r="L323" s="4"/>
      <c r="M323" s="4"/>
      <c r="N323" s="4"/>
      <c r="O323" s="4"/>
      <c r="P323" s="4"/>
      <c r="Q323" s="4"/>
      <c r="R323" s="4"/>
      <c r="S323" s="4"/>
      <c r="T323" s="4"/>
      <c r="U323" s="4"/>
      <c r="V323" s="4"/>
      <c r="W323" s="4"/>
      <c r="X323" s="4"/>
      <c r="Y323" s="4"/>
    </row>
    <row r="324">
      <c r="A324" s="12">
        <v>323.0</v>
      </c>
      <c r="B324" s="11" t="s">
        <v>919</v>
      </c>
      <c r="C324" s="6" t="s">
        <v>920</v>
      </c>
      <c r="D324" s="11">
        <v>2024.0</v>
      </c>
      <c r="E324" s="11" t="s">
        <v>921</v>
      </c>
      <c r="F324" s="11" t="s">
        <v>16</v>
      </c>
      <c r="G324" s="11" t="s">
        <v>49</v>
      </c>
      <c r="H324" s="11" t="s">
        <v>1224</v>
      </c>
      <c r="I324" s="4"/>
      <c r="J324" s="4"/>
      <c r="K324" s="4"/>
      <c r="L324" s="4"/>
      <c r="M324" s="4"/>
      <c r="N324" s="4"/>
      <c r="O324" s="4"/>
      <c r="P324" s="4"/>
      <c r="Q324" s="4"/>
      <c r="R324" s="4"/>
      <c r="S324" s="4"/>
      <c r="T324" s="4"/>
      <c r="U324" s="4"/>
      <c r="V324" s="4"/>
      <c r="W324" s="4"/>
      <c r="X324" s="4"/>
      <c r="Y324" s="4"/>
    </row>
    <row r="325">
      <c r="A325" s="11">
        <v>324.0</v>
      </c>
      <c r="B325" s="18" t="s">
        <v>922</v>
      </c>
      <c r="C325" s="6" t="s">
        <v>923</v>
      </c>
      <c r="D325" s="11">
        <v>2025.0</v>
      </c>
      <c r="E325" s="11" t="s">
        <v>924</v>
      </c>
      <c r="F325" s="11" t="s">
        <v>18</v>
      </c>
      <c r="G325" s="11" t="s">
        <v>49</v>
      </c>
      <c r="H325" s="11" t="s">
        <v>1225</v>
      </c>
      <c r="I325" s="4"/>
      <c r="J325" s="4"/>
      <c r="K325" s="4"/>
      <c r="L325" s="4"/>
      <c r="M325" s="4"/>
      <c r="N325" s="4"/>
      <c r="O325" s="4"/>
      <c r="P325" s="4"/>
      <c r="Q325" s="4"/>
      <c r="R325" s="4"/>
      <c r="S325" s="4"/>
      <c r="T325" s="4"/>
      <c r="U325" s="4"/>
      <c r="V325" s="4"/>
      <c r="W325" s="4"/>
      <c r="X325" s="4"/>
      <c r="Y325" s="4"/>
    </row>
    <row r="326">
      <c r="A326" s="11">
        <v>325.0</v>
      </c>
      <c r="B326" s="18" t="s">
        <v>925</v>
      </c>
      <c r="C326" s="6" t="s">
        <v>926</v>
      </c>
      <c r="D326" s="11">
        <v>2021.0</v>
      </c>
      <c r="E326" s="11" t="s">
        <v>927</v>
      </c>
      <c r="F326" s="11" t="s">
        <v>18</v>
      </c>
      <c r="G326" s="11" t="s">
        <v>49</v>
      </c>
      <c r="H326" s="11" t="s">
        <v>1225</v>
      </c>
      <c r="I326" s="4"/>
      <c r="J326" s="4"/>
      <c r="K326" s="4"/>
      <c r="L326" s="4"/>
      <c r="M326" s="4"/>
      <c r="N326" s="4"/>
      <c r="O326" s="4"/>
      <c r="P326" s="4"/>
      <c r="Q326" s="4"/>
      <c r="R326" s="4"/>
      <c r="S326" s="4"/>
      <c r="T326" s="4"/>
      <c r="U326" s="4"/>
      <c r="V326" s="4"/>
      <c r="W326" s="4"/>
      <c r="X326" s="4"/>
      <c r="Y326" s="4"/>
    </row>
    <row r="327">
      <c r="A327" s="12">
        <v>326.0</v>
      </c>
      <c r="B327" s="11" t="s">
        <v>928</v>
      </c>
      <c r="C327" s="6" t="s">
        <v>929</v>
      </c>
      <c r="D327" s="11">
        <v>2017.0</v>
      </c>
      <c r="E327" s="11" t="s">
        <v>930</v>
      </c>
      <c r="F327" s="11" t="s">
        <v>18</v>
      </c>
      <c r="G327" s="11" t="s">
        <v>49</v>
      </c>
      <c r="H327" s="11" t="s">
        <v>1224</v>
      </c>
      <c r="I327" s="4"/>
      <c r="J327" s="4"/>
      <c r="K327" s="4"/>
      <c r="L327" s="4"/>
      <c r="M327" s="4"/>
      <c r="N327" s="4"/>
      <c r="O327" s="4"/>
      <c r="P327" s="4"/>
      <c r="Q327" s="4"/>
      <c r="R327" s="4"/>
      <c r="S327" s="4"/>
      <c r="T327" s="4"/>
      <c r="U327" s="4"/>
      <c r="V327" s="4"/>
      <c r="W327" s="4"/>
      <c r="X327" s="4"/>
      <c r="Y327" s="4"/>
    </row>
    <row r="328">
      <c r="A328" s="12">
        <v>327.0</v>
      </c>
      <c r="B328" s="11" t="s">
        <v>931</v>
      </c>
      <c r="C328" s="6" t="s">
        <v>932</v>
      </c>
      <c r="D328" s="11">
        <v>2023.0</v>
      </c>
      <c r="E328" s="11" t="s">
        <v>933</v>
      </c>
      <c r="F328" s="11" t="s">
        <v>18</v>
      </c>
      <c r="G328" s="11" t="s">
        <v>49</v>
      </c>
      <c r="H328" s="11" t="s">
        <v>1224</v>
      </c>
      <c r="I328" s="4"/>
      <c r="J328" s="4"/>
      <c r="K328" s="4"/>
      <c r="L328" s="4"/>
      <c r="M328" s="4"/>
      <c r="N328" s="4"/>
      <c r="O328" s="4"/>
      <c r="P328" s="4"/>
      <c r="Q328" s="4"/>
      <c r="R328" s="4"/>
      <c r="S328" s="4"/>
      <c r="T328" s="4"/>
      <c r="U328" s="4"/>
      <c r="V328" s="4"/>
      <c r="W328" s="4"/>
      <c r="X328" s="4"/>
      <c r="Y328" s="4"/>
    </row>
    <row r="329">
      <c r="A329" s="11">
        <v>328.0</v>
      </c>
      <c r="B329" s="11" t="s">
        <v>934</v>
      </c>
      <c r="C329" s="6" t="s">
        <v>935</v>
      </c>
      <c r="D329" s="11">
        <v>2025.0</v>
      </c>
      <c r="E329" s="11" t="s">
        <v>936</v>
      </c>
      <c r="F329" s="11" t="s">
        <v>18</v>
      </c>
      <c r="G329" s="11" t="s">
        <v>49</v>
      </c>
      <c r="H329" s="11" t="s">
        <v>1224</v>
      </c>
      <c r="I329" s="4"/>
      <c r="J329" s="4"/>
      <c r="K329" s="4"/>
      <c r="L329" s="4"/>
      <c r="M329" s="4"/>
      <c r="N329" s="4"/>
      <c r="O329" s="4"/>
      <c r="P329" s="4"/>
      <c r="Q329" s="4"/>
      <c r="R329" s="4"/>
      <c r="S329" s="4"/>
      <c r="T329" s="4"/>
      <c r="U329" s="4"/>
      <c r="V329" s="4"/>
      <c r="W329" s="4"/>
      <c r="X329" s="4"/>
      <c r="Y329" s="4"/>
    </row>
    <row r="330">
      <c r="A330" s="11">
        <v>329.0</v>
      </c>
      <c r="B330" s="11" t="s">
        <v>937</v>
      </c>
      <c r="C330" s="6" t="s">
        <v>938</v>
      </c>
      <c r="D330" s="11">
        <v>2025.0</v>
      </c>
      <c r="E330" s="11" t="s">
        <v>939</v>
      </c>
      <c r="F330" s="11" t="s">
        <v>18</v>
      </c>
      <c r="G330" s="11" t="s">
        <v>49</v>
      </c>
      <c r="H330" s="11" t="s">
        <v>1224</v>
      </c>
      <c r="I330" s="4"/>
      <c r="J330" s="4"/>
      <c r="K330" s="4"/>
      <c r="L330" s="4"/>
      <c r="M330" s="4"/>
      <c r="N330" s="4"/>
      <c r="O330" s="4"/>
      <c r="P330" s="4"/>
      <c r="Q330" s="4"/>
      <c r="R330" s="4"/>
      <c r="S330" s="4"/>
      <c r="T330" s="4"/>
      <c r="U330" s="4"/>
      <c r="V330" s="4"/>
      <c r="W330" s="4"/>
      <c r="X330" s="4"/>
      <c r="Y330" s="4"/>
    </row>
    <row r="331">
      <c r="A331" s="12">
        <v>330.0</v>
      </c>
      <c r="B331" s="18" t="s">
        <v>940</v>
      </c>
      <c r="C331" s="6" t="s">
        <v>941</v>
      </c>
      <c r="D331" s="11">
        <v>2020.0</v>
      </c>
      <c r="E331" s="11" t="s">
        <v>930</v>
      </c>
      <c r="F331" s="11" t="s">
        <v>18</v>
      </c>
      <c r="G331" s="11" t="s">
        <v>49</v>
      </c>
      <c r="H331" s="11" t="s">
        <v>1225</v>
      </c>
      <c r="I331" s="4"/>
      <c r="J331" s="4"/>
      <c r="K331" s="4"/>
      <c r="L331" s="4"/>
      <c r="M331" s="4"/>
      <c r="N331" s="4"/>
      <c r="O331" s="4"/>
      <c r="P331" s="4"/>
      <c r="Q331" s="4"/>
      <c r="R331" s="4"/>
      <c r="S331" s="4"/>
      <c r="T331" s="4"/>
      <c r="U331" s="4"/>
      <c r="V331" s="4"/>
      <c r="W331" s="4"/>
      <c r="X331" s="4"/>
      <c r="Y331" s="4"/>
    </row>
    <row r="332">
      <c r="A332" s="12">
        <v>331.0</v>
      </c>
      <c r="B332" s="11" t="s">
        <v>942</v>
      </c>
      <c r="C332" s="6" t="s">
        <v>943</v>
      </c>
      <c r="D332" s="11">
        <v>2022.0</v>
      </c>
      <c r="E332" s="11" t="s">
        <v>944</v>
      </c>
      <c r="F332" s="11" t="s">
        <v>18</v>
      </c>
      <c r="G332" s="11" t="s">
        <v>49</v>
      </c>
      <c r="H332" s="11" t="s">
        <v>1224</v>
      </c>
      <c r="I332" s="4"/>
      <c r="J332" s="4"/>
      <c r="K332" s="4"/>
      <c r="L332" s="4"/>
      <c r="M332" s="4"/>
      <c r="N332" s="4"/>
      <c r="O332" s="4"/>
      <c r="P332" s="4"/>
      <c r="Q332" s="4"/>
      <c r="R332" s="4"/>
      <c r="S332" s="4"/>
      <c r="T332" s="4"/>
      <c r="U332" s="4"/>
      <c r="V332" s="4"/>
      <c r="W332" s="4"/>
      <c r="X332" s="4"/>
      <c r="Y332" s="4"/>
    </row>
    <row r="333">
      <c r="A333" s="11">
        <v>332.0</v>
      </c>
      <c r="B333" s="18" t="s">
        <v>945</v>
      </c>
      <c r="C333" s="6" t="s">
        <v>946</v>
      </c>
      <c r="D333" s="11">
        <v>2024.0</v>
      </c>
      <c r="E333" s="11" t="s">
        <v>947</v>
      </c>
      <c r="F333" s="11" t="s">
        <v>18</v>
      </c>
      <c r="G333" s="11" t="s">
        <v>49</v>
      </c>
      <c r="H333" s="11" t="s">
        <v>1225</v>
      </c>
      <c r="I333" s="4"/>
      <c r="J333" s="4"/>
      <c r="K333" s="4"/>
      <c r="L333" s="4"/>
      <c r="M333" s="4"/>
      <c r="N333" s="4"/>
      <c r="O333" s="4"/>
      <c r="P333" s="4"/>
      <c r="Q333" s="4"/>
      <c r="R333" s="4"/>
      <c r="S333" s="4"/>
      <c r="T333" s="4"/>
      <c r="U333" s="4"/>
      <c r="V333" s="4"/>
      <c r="W333" s="4"/>
      <c r="X333" s="4"/>
      <c r="Y333" s="4"/>
    </row>
    <row r="334">
      <c r="A334" s="11">
        <v>333.0</v>
      </c>
      <c r="B334" s="11" t="s">
        <v>948</v>
      </c>
      <c r="C334" s="6" t="s">
        <v>949</v>
      </c>
      <c r="D334" s="11">
        <v>2015.0</v>
      </c>
      <c r="E334" s="11" t="s">
        <v>950</v>
      </c>
      <c r="F334" s="11" t="s">
        <v>18</v>
      </c>
      <c r="G334" s="11" t="s">
        <v>49</v>
      </c>
      <c r="H334" s="11" t="s">
        <v>1224</v>
      </c>
      <c r="I334" s="4"/>
      <c r="J334" s="4"/>
      <c r="K334" s="4"/>
      <c r="L334" s="4"/>
      <c r="M334" s="4"/>
      <c r="N334" s="4"/>
      <c r="O334" s="4"/>
      <c r="P334" s="4"/>
      <c r="Q334" s="4"/>
      <c r="R334" s="4"/>
      <c r="S334" s="4"/>
      <c r="T334" s="4"/>
      <c r="U334" s="4"/>
      <c r="V334" s="4"/>
      <c r="W334" s="4"/>
      <c r="X334" s="4"/>
      <c r="Y334" s="4"/>
    </row>
    <row r="335">
      <c r="A335" s="12">
        <v>334.0</v>
      </c>
      <c r="B335" s="18" t="s">
        <v>951</v>
      </c>
      <c r="C335" s="6" t="s">
        <v>952</v>
      </c>
      <c r="D335" s="11">
        <v>2016.0</v>
      </c>
      <c r="E335" s="11" t="s">
        <v>930</v>
      </c>
      <c r="F335" s="11" t="s">
        <v>18</v>
      </c>
      <c r="G335" s="11" t="s">
        <v>49</v>
      </c>
      <c r="H335" s="11" t="s">
        <v>1225</v>
      </c>
      <c r="I335" s="4"/>
      <c r="J335" s="4"/>
      <c r="K335" s="4"/>
      <c r="L335" s="4"/>
      <c r="M335" s="4"/>
      <c r="N335" s="4"/>
      <c r="O335" s="4"/>
      <c r="P335" s="4"/>
      <c r="Q335" s="4"/>
      <c r="R335" s="4"/>
      <c r="S335" s="4"/>
      <c r="T335" s="4"/>
      <c r="U335" s="4"/>
      <c r="V335" s="4"/>
      <c r="W335" s="4"/>
      <c r="X335" s="4"/>
      <c r="Y335" s="4"/>
    </row>
    <row r="336">
      <c r="A336" s="12">
        <v>335.0</v>
      </c>
      <c r="B336" s="11" t="s">
        <v>953</v>
      </c>
      <c r="C336" s="6" t="s">
        <v>954</v>
      </c>
      <c r="D336" s="11">
        <v>2021.0</v>
      </c>
      <c r="E336" s="11" t="s">
        <v>955</v>
      </c>
      <c r="F336" s="11" t="s">
        <v>18</v>
      </c>
      <c r="G336" s="11" t="s">
        <v>49</v>
      </c>
      <c r="H336" s="11" t="s">
        <v>1224</v>
      </c>
      <c r="I336" s="4"/>
      <c r="J336" s="4"/>
      <c r="K336" s="4"/>
      <c r="L336" s="4"/>
      <c r="M336" s="4"/>
      <c r="N336" s="4"/>
      <c r="O336" s="4"/>
      <c r="P336" s="4"/>
      <c r="Q336" s="4"/>
      <c r="R336" s="4"/>
      <c r="S336" s="4"/>
      <c r="T336" s="4"/>
      <c r="U336" s="4"/>
      <c r="V336" s="4"/>
      <c r="W336" s="4"/>
      <c r="X336" s="4"/>
      <c r="Y336" s="4"/>
    </row>
    <row r="337">
      <c r="A337" s="11">
        <v>336.0</v>
      </c>
      <c r="B337" s="11" t="s">
        <v>956</v>
      </c>
      <c r="C337" s="6" t="s">
        <v>957</v>
      </c>
      <c r="D337" s="11">
        <v>2021.0</v>
      </c>
      <c r="E337" s="11" t="s">
        <v>958</v>
      </c>
      <c r="F337" s="11" t="s">
        <v>18</v>
      </c>
      <c r="G337" s="11" t="s">
        <v>49</v>
      </c>
      <c r="H337" s="11" t="s">
        <v>1224</v>
      </c>
      <c r="I337" s="4"/>
      <c r="J337" s="4"/>
      <c r="K337" s="4"/>
      <c r="L337" s="4"/>
      <c r="M337" s="4"/>
      <c r="N337" s="4"/>
      <c r="O337" s="4"/>
      <c r="P337" s="4"/>
      <c r="Q337" s="4"/>
      <c r="R337" s="4"/>
      <c r="S337" s="4"/>
      <c r="T337" s="4"/>
      <c r="U337" s="4"/>
      <c r="V337" s="4"/>
      <c r="W337" s="4"/>
      <c r="X337" s="4"/>
      <c r="Y337" s="4"/>
    </row>
    <row r="338">
      <c r="A338" s="11">
        <v>337.0</v>
      </c>
      <c r="B338" s="11" t="s">
        <v>959</v>
      </c>
      <c r="C338" s="6" t="s">
        <v>960</v>
      </c>
      <c r="D338" s="11">
        <v>2020.0</v>
      </c>
      <c r="E338" s="11" t="s">
        <v>961</v>
      </c>
      <c r="F338" s="11" t="s">
        <v>18</v>
      </c>
      <c r="G338" s="11" t="s">
        <v>49</v>
      </c>
      <c r="H338" s="11" t="s">
        <v>1224</v>
      </c>
      <c r="I338" s="4"/>
      <c r="J338" s="4"/>
      <c r="K338" s="4"/>
      <c r="L338" s="4"/>
      <c r="M338" s="4"/>
      <c r="N338" s="4"/>
      <c r="O338" s="4"/>
      <c r="P338" s="4"/>
      <c r="Q338" s="4"/>
      <c r="R338" s="4"/>
      <c r="S338" s="4"/>
      <c r="T338" s="4"/>
      <c r="U338" s="4"/>
      <c r="V338" s="4"/>
      <c r="W338" s="4"/>
      <c r="X338" s="4"/>
      <c r="Y338" s="4"/>
    </row>
    <row r="339">
      <c r="A339" s="12">
        <v>338.0</v>
      </c>
      <c r="B339" s="11" t="s">
        <v>962</v>
      </c>
      <c r="C339" s="6" t="s">
        <v>963</v>
      </c>
      <c r="D339" s="11">
        <v>2025.0</v>
      </c>
      <c r="E339" s="11" t="s">
        <v>964</v>
      </c>
      <c r="F339" s="11" t="s">
        <v>18</v>
      </c>
      <c r="G339" s="11" t="s">
        <v>49</v>
      </c>
      <c r="H339" s="11" t="s">
        <v>1224</v>
      </c>
      <c r="I339" s="4"/>
      <c r="J339" s="4"/>
      <c r="K339" s="4"/>
      <c r="L339" s="4"/>
      <c r="M339" s="4"/>
      <c r="N339" s="4"/>
      <c r="O339" s="4"/>
      <c r="P339" s="4"/>
      <c r="Q339" s="4"/>
      <c r="R339" s="4"/>
      <c r="S339" s="4"/>
      <c r="T339" s="4"/>
      <c r="U339" s="4"/>
      <c r="V339" s="4"/>
      <c r="W339" s="4"/>
      <c r="X339" s="4"/>
      <c r="Y339" s="4"/>
    </row>
    <row r="340">
      <c r="A340" s="12">
        <v>339.0</v>
      </c>
      <c r="B340" s="11" t="s">
        <v>965</v>
      </c>
      <c r="C340" s="6" t="s">
        <v>966</v>
      </c>
      <c r="D340" s="11">
        <v>2025.0</v>
      </c>
      <c r="E340" s="11" t="s">
        <v>967</v>
      </c>
      <c r="F340" s="11" t="s">
        <v>18</v>
      </c>
      <c r="G340" s="11" t="s">
        <v>49</v>
      </c>
      <c r="H340" s="11" t="s">
        <v>1224</v>
      </c>
      <c r="I340" s="4"/>
      <c r="J340" s="4"/>
      <c r="K340" s="4"/>
      <c r="L340" s="4"/>
      <c r="M340" s="4"/>
      <c r="N340" s="4"/>
      <c r="O340" s="4"/>
      <c r="P340" s="4"/>
      <c r="Q340" s="4"/>
      <c r="R340" s="4"/>
      <c r="S340" s="4"/>
      <c r="T340" s="4"/>
      <c r="U340" s="4"/>
      <c r="V340" s="4"/>
      <c r="W340" s="4"/>
      <c r="X340" s="4"/>
      <c r="Y340" s="4"/>
    </row>
    <row r="341">
      <c r="A341" s="11">
        <v>340.0</v>
      </c>
      <c r="B341" s="18" t="s">
        <v>968</v>
      </c>
      <c r="C341" s="6" t="s">
        <v>969</v>
      </c>
      <c r="D341" s="11">
        <v>2020.0</v>
      </c>
      <c r="E341" s="11" t="s">
        <v>961</v>
      </c>
      <c r="F341" s="11" t="s">
        <v>18</v>
      </c>
      <c r="G341" s="11" t="s">
        <v>49</v>
      </c>
      <c r="H341" s="11" t="s">
        <v>1225</v>
      </c>
      <c r="I341" s="4"/>
      <c r="J341" s="4"/>
      <c r="K341" s="4"/>
      <c r="L341" s="4"/>
      <c r="M341" s="4"/>
      <c r="N341" s="4"/>
      <c r="O341" s="4"/>
      <c r="P341" s="4"/>
      <c r="Q341" s="4"/>
      <c r="R341" s="4"/>
      <c r="S341" s="4"/>
      <c r="T341" s="4"/>
      <c r="U341" s="4"/>
      <c r="V341" s="4"/>
      <c r="W341" s="4"/>
      <c r="X341" s="4"/>
      <c r="Y341" s="4"/>
    </row>
    <row r="342">
      <c r="A342" s="11">
        <v>341.0</v>
      </c>
      <c r="B342" s="11" t="s">
        <v>970</v>
      </c>
      <c r="C342" s="6" t="s">
        <v>971</v>
      </c>
      <c r="D342" s="11">
        <v>2021.0</v>
      </c>
      <c r="E342" s="11" t="s">
        <v>930</v>
      </c>
      <c r="F342" s="11" t="s">
        <v>18</v>
      </c>
      <c r="G342" s="11" t="s">
        <v>49</v>
      </c>
      <c r="H342" s="11" t="s">
        <v>1224</v>
      </c>
      <c r="I342" s="4"/>
      <c r="J342" s="4"/>
      <c r="K342" s="4"/>
      <c r="L342" s="4"/>
      <c r="M342" s="4"/>
      <c r="N342" s="4"/>
      <c r="O342" s="4"/>
      <c r="P342" s="4"/>
      <c r="Q342" s="4"/>
      <c r="R342" s="4"/>
      <c r="S342" s="4"/>
      <c r="T342" s="4"/>
      <c r="U342" s="4"/>
      <c r="V342" s="4"/>
      <c r="W342" s="4"/>
      <c r="X342" s="4"/>
      <c r="Y342" s="4"/>
    </row>
    <row r="343">
      <c r="A343" s="12">
        <v>342.0</v>
      </c>
      <c r="B343" s="11" t="s">
        <v>972</v>
      </c>
      <c r="C343" s="6" t="s">
        <v>973</v>
      </c>
      <c r="D343" s="11">
        <v>2020.0</v>
      </c>
      <c r="E343" s="11" t="s">
        <v>967</v>
      </c>
      <c r="F343" s="11" t="s">
        <v>18</v>
      </c>
      <c r="G343" s="11" t="s">
        <v>49</v>
      </c>
      <c r="H343" s="11" t="s">
        <v>1224</v>
      </c>
      <c r="I343" s="4"/>
      <c r="J343" s="4"/>
      <c r="K343" s="4"/>
      <c r="L343" s="4"/>
      <c r="M343" s="4"/>
      <c r="N343" s="4"/>
      <c r="O343" s="4"/>
      <c r="P343" s="4"/>
      <c r="Q343" s="4"/>
      <c r="R343" s="4"/>
      <c r="S343" s="4"/>
      <c r="T343" s="4"/>
      <c r="U343" s="4"/>
      <c r="V343" s="4"/>
      <c r="W343" s="4"/>
      <c r="X343" s="4"/>
      <c r="Y343" s="4"/>
    </row>
    <row r="344">
      <c r="A344" s="12">
        <v>343.0</v>
      </c>
      <c r="B344" s="11" t="s">
        <v>974</v>
      </c>
      <c r="C344" s="6" t="s">
        <v>975</v>
      </c>
      <c r="D344" s="11">
        <v>2022.0</v>
      </c>
      <c r="E344" s="11" t="s">
        <v>976</v>
      </c>
      <c r="F344" s="11" t="s">
        <v>18</v>
      </c>
      <c r="G344" s="11" t="s">
        <v>49</v>
      </c>
      <c r="H344" s="11" t="s">
        <v>1224</v>
      </c>
      <c r="I344" s="4"/>
      <c r="J344" s="4"/>
      <c r="K344" s="4"/>
      <c r="L344" s="4"/>
      <c r="M344" s="4"/>
      <c r="N344" s="4"/>
      <c r="O344" s="4"/>
      <c r="P344" s="4"/>
      <c r="Q344" s="4"/>
      <c r="R344" s="4"/>
      <c r="S344" s="4"/>
      <c r="T344" s="4"/>
      <c r="U344" s="4"/>
      <c r="V344" s="4"/>
      <c r="W344" s="4"/>
      <c r="X344" s="4"/>
      <c r="Y344" s="4"/>
    </row>
    <row r="345">
      <c r="A345" s="11">
        <v>344.0</v>
      </c>
      <c r="B345" s="11" t="s">
        <v>977</v>
      </c>
      <c r="C345" s="6" t="s">
        <v>978</v>
      </c>
      <c r="D345" s="11">
        <v>2022.0</v>
      </c>
      <c r="E345" s="11" t="s">
        <v>979</v>
      </c>
      <c r="F345" s="11" t="s">
        <v>18</v>
      </c>
      <c r="G345" s="11" t="s">
        <v>49</v>
      </c>
      <c r="H345" s="11" t="s">
        <v>1224</v>
      </c>
      <c r="I345" s="4"/>
      <c r="J345" s="4"/>
      <c r="K345" s="4"/>
      <c r="L345" s="4"/>
      <c r="M345" s="4"/>
      <c r="N345" s="4"/>
      <c r="O345" s="4"/>
      <c r="P345" s="4"/>
      <c r="Q345" s="4"/>
      <c r="R345" s="4"/>
      <c r="S345" s="4"/>
      <c r="T345" s="4"/>
      <c r="U345" s="4"/>
      <c r="V345" s="4"/>
      <c r="W345" s="4"/>
      <c r="X345" s="4"/>
      <c r="Y345" s="4"/>
    </row>
    <row r="346">
      <c r="A346" s="11">
        <v>345.0</v>
      </c>
      <c r="B346" s="11" t="s">
        <v>980</v>
      </c>
      <c r="C346" s="6" t="s">
        <v>981</v>
      </c>
      <c r="D346" s="11">
        <v>2021.0</v>
      </c>
      <c r="E346" s="11" t="s">
        <v>982</v>
      </c>
      <c r="F346" s="11" t="s">
        <v>18</v>
      </c>
      <c r="G346" s="11" t="s">
        <v>49</v>
      </c>
      <c r="H346" s="11" t="s">
        <v>1224</v>
      </c>
      <c r="I346" s="4"/>
      <c r="J346" s="4"/>
      <c r="K346" s="4"/>
      <c r="L346" s="4"/>
      <c r="M346" s="4"/>
      <c r="N346" s="4"/>
      <c r="O346" s="4"/>
      <c r="P346" s="4"/>
      <c r="Q346" s="4"/>
      <c r="R346" s="4"/>
      <c r="S346" s="4"/>
      <c r="T346" s="4"/>
      <c r="U346" s="4"/>
      <c r="V346" s="4"/>
      <c r="W346" s="4"/>
      <c r="X346" s="4"/>
      <c r="Y346" s="4"/>
    </row>
    <row r="347">
      <c r="A347" s="12">
        <v>346.0</v>
      </c>
      <c r="B347" s="11" t="s">
        <v>983</v>
      </c>
      <c r="C347" s="6" t="s">
        <v>984</v>
      </c>
      <c r="D347" s="11">
        <v>2022.0</v>
      </c>
      <c r="E347" s="11" t="s">
        <v>985</v>
      </c>
      <c r="F347" s="11" t="s">
        <v>18</v>
      </c>
      <c r="G347" s="11" t="s">
        <v>49</v>
      </c>
      <c r="H347" s="11" t="s">
        <v>1224</v>
      </c>
      <c r="I347" s="4"/>
      <c r="J347" s="4"/>
      <c r="K347" s="4"/>
      <c r="L347" s="4"/>
      <c r="M347" s="4"/>
      <c r="N347" s="4"/>
      <c r="O347" s="4"/>
      <c r="P347" s="4"/>
      <c r="Q347" s="4"/>
      <c r="R347" s="4"/>
      <c r="S347" s="4"/>
      <c r="T347" s="4"/>
      <c r="U347" s="4"/>
      <c r="V347" s="4"/>
      <c r="W347" s="4"/>
      <c r="X347" s="4"/>
      <c r="Y347" s="4"/>
    </row>
    <row r="348">
      <c r="A348" s="12">
        <v>347.0</v>
      </c>
      <c r="B348" s="18" t="s">
        <v>986</v>
      </c>
      <c r="C348" s="6" t="s">
        <v>987</v>
      </c>
      <c r="D348" s="11">
        <v>2020.0</v>
      </c>
      <c r="E348" s="11" t="s">
        <v>947</v>
      </c>
      <c r="F348" s="11" t="s">
        <v>18</v>
      </c>
      <c r="G348" s="11" t="s">
        <v>49</v>
      </c>
      <c r="H348" s="11" t="s">
        <v>1225</v>
      </c>
      <c r="I348" s="4"/>
      <c r="J348" s="4"/>
      <c r="K348" s="4"/>
      <c r="L348" s="4"/>
      <c r="M348" s="4"/>
      <c r="N348" s="4"/>
      <c r="O348" s="4"/>
      <c r="P348" s="4"/>
      <c r="Q348" s="4"/>
      <c r="R348" s="4"/>
      <c r="S348" s="4"/>
      <c r="T348" s="4"/>
      <c r="U348" s="4"/>
      <c r="V348" s="4"/>
      <c r="W348" s="4"/>
      <c r="X348" s="4"/>
      <c r="Y348" s="4"/>
    </row>
    <row r="349">
      <c r="A349" s="11">
        <v>348.0</v>
      </c>
      <c r="B349" s="18" t="s">
        <v>988</v>
      </c>
      <c r="C349" s="6" t="s">
        <v>989</v>
      </c>
      <c r="D349" s="11">
        <v>2021.0</v>
      </c>
      <c r="E349" s="11" t="s">
        <v>947</v>
      </c>
      <c r="F349" s="11" t="s">
        <v>18</v>
      </c>
      <c r="G349" s="11" t="s">
        <v>49</v>
      </c>
      <c r="H349" s="11" t="s">
        <v>1225</v>
      </c>
      <c r="I349" s="4"/>
      <c r="J349" s="4"/>
      <c r="K349" s="4"/>
      <c r="L349" s="4"/>
      <c r="M349" s="4"/>
      <c r="N349" s="4"/>
      <c r="O349" s="4"/>
      <c r="P349" s="4"/>
      <c r="Q349" s="4"/>
      <c r="R349" s="4"/>
      <c r="S349" s="4"/>
      <c r="T349" s="4"/>
      <c r="U349" s="4"/>
      <c r="V349" s="4"/>
      <c r="W349" s="4"/>
      <c r="X349" s="4"/>
      <c r="Y349" s="4"/>
    </row>
    <row r="350">
      <c r="A350" s="11">
        <v>349.0</v>
      </c>
      <c r="B350" s="11" t="s">
        <v>990</v>
      </c>
      <c r="C350" s="6" t="s">
        <v>991</v>
      </c>
      <c r="D350" s="11">
        <v>2022.0</v>
      </c>
      <c r="E350" s="11" t="s">
        <v>964</v>
      </c>
      <c r="F350" s="11" t="s">
        <v>18</v>
      </c>
      <c r="G350" s="11" t="s">
        <v>49</v>
      </c>
      <c r="H350" s="11" t="s">
        <v>1224</v>
      </c>
      <c r="I350" s="4"/>
      <c r="J350" s="4"/>
      <c r="K350" s="4"/>
      <c r="L350" s="4"/>
      <c r="M350" s="4"/>
      <c r="N350" s="4"/>
      <c r="O350" s="4"/>
      <c r="P350" s="4"/>
      <c r="Q350" s="4"/>
      <c r="R350" s="4"/>
      <c r="S350" s="4"/>
      <c r="T350" s="4"/>
      <c r="U350" s="4"/>
      <c r="V350" s="4"/>
      <c r="W350" s="4"/>
      <c r="X350" s="4"/>
      <c r="Y350" s="4"/>
    </row>
    <row r="351">
      <c r="A351" s="12">
        <v>350.0</v>
      </c>
      <c r="B351" s="11" t="s">
        <v>992</v>
      </c>
      <c r="C351" s="6" t="s">
        <v>993</v>
      </c>
      <c r="D351" s="11">
        <v>2018.0</v>
      </c>
      <c r="E351" s="11" t="s">
        <v>947</v>
      </c>
      <c r="F351" s="11" t="s">
        <v>18</v>
      </c>
      <c r="G351" s="11" t="s">
        <v>49</v>
      </c>
      <c r="H351" s="11" t="s">
        <v>1224</v>
      </c>
      <c r="I351" s="4"/>
      <c r="J351" s="4"/>
      <c r="K351" s="4"/>
      <c r="L351" s="4"/>
      <c r="M351" s="4"/>
      <c r="N351" s="4"/>
      <c r="O351" s="4"/>
      <c r="P351" s="4"/>
      <c r="Q351" s="4"/>
      <c r="R351" s="4"/>
      <c r="S351" s="4"/>
      <c r="T351" s="4"/>
      <c r="U351" s="4"/>
      <c r="V351" s="4"/>
      <c r="W351" s="4"/>
      <c r="X351" s="4"/>
      <c r="Y351" s="4"/>
    </row>
    <row r="352">
      <c r="A352" s="12">
        <v>351.0</v>
      </c>
      <c r="B352" s="11" t="s">
        <v>994</v>
      </c>
      <c r="C352" s="6" t="s">
        <v>995</v>
      </c>
      <c r="D352" s="11">
        <v>2021.0</v>
      </c>
      <c r="E352" s="11" t="s">
        <v>930</v>
      </c>
      <c r="F352" s="11" t="s">
        <v>18</v>
      </c>
      <c r="G352" s="11" t="s">
        <v>49</v>
      </c>
      <c r="H352" s="11" t="s">
        <v>1224</v>
      </c>
      <c r="I352" s="4"/>
      <c r="J352" s="4"/>
      <c r="K352" s="4"/>
      <c r="L352" s="4"/>
      <c r="M352" s="4"/>
      <c r="N352" s="4"/>
      <c r="O352" s="4"/>
      <c r="P352" s="4"/>
      <c r="Q352" s="4"/>
      <c r="R352" s="4"/>
      <c r="S352" s="4"/>
      <c r="T352" s="4"/>
      <c r="U352" s="4"/>
      <c r="V352" s="4"/>
      <c r="W352" s="4"/>
      <c r="X352" s="4"/>
      <c r="Y352" s="4"/>
    </row>
    <row r="353">
      <c r="A353" s="11">
        <v>352.0</v>
      </c>
      <c r="B353" s="18" t="s">
        <v>996</v>
      </c>
      <c r="C353" s="6" t="s">
        <v>997</v>
      </c>
      <c r="D353" s="11">
        <v>2025.0</v>
      </c>
      <c r="E353" s="11" t="s">
        <v>998</v>
      </c>
      <c r="F353" s="11" t="s">
        <v>18</v>
      </c>
      <c r="G353" s="11" t="s">
        <v>49</v>
      </c>
      <c r="H353" s="11" t="s">
        <v>1225</v>
      </c>
      <c r="I353" s="4"/>
      <c r="J353" s="4"/>
      <c r="K353" s="4"/>
      <c r="L353" s="4"/>
      <c r="M353" s="4"/>
      <c r="N353" s="4"/>
      <c r="O353" s="4"/>
      <c r="P353" s="4"/>
      <c r="Q353" s="4"/>
      <c r="R353" s="4"/>
      <c r="S353" s="4"/>
      <c r="T353" s="4"/>
      <c r="U353" s="4"/>
      <c r="V353" s="4"/>
      <c r="W353" s="4"/>
      <c r="X353" s="4"/>
      <c r="Y353" s="4"/>
    </row>
    <row r="354">
      <c r="A354" s="11">
        <v>353.0</v>
      </c>
      <c r="B354" s="11" t="s">
        <v>999</v>
      </c>
      <c r="C354" s="6" t="s">
        <v>1000</v>
      </c>
      <c r="D354" s="11">
        <v>2019.0</v>
      </c>
      <c r="E354" s="11" t="s">
        <v>1001</v>
      </c>
      <c r="F354" s="11" t="s">
        <v>18</v>
      </c>
      <c r="G354" s="11" t="s">
        <v>49</v>
      </c>
      <c r="H354" s="11" t="s">
        <v>1224</v>
      </c>
      <c r="I354" s="4"/>
      <c r="J354" s="4"/>
      <c r="K354" s="4"/>
      <c r="L354" s="4"/>
      <c r="M354" s="4"/>
      <c r="N354" s="4"/>
      <c r="O354" s="4"/>
      <c r="P354" s="4"/>
      <c r="Q354" s="4"/>
      <c r="R354" s="4"/>
      <c r="S354" s="4"/>
      <c r="T354" s="4"/>
      <c r="U354" s="4"/>
      <c r="V354" s="4"/>
      <c r="W354" s="4"/>
      <c r="X354" s="4"/>
      <c r="Y354" s="4"/>
    </row>
    <row r="355">
      <c r="A355" s="12">
        <v>354.0</v>
      </c>
      <c r="B355" s="11" t="s">
        <v>1002</v>
      </c>
      <c r="C355" s="6" t="s">
        <v>1003</v>
      </c>
      <c r="D355" s="11">
        <v>2023.0</v>
      </c>
      <c r="E355" s="11" t="s">
        <v>958</v>
      </c>
      <c r="F355" s="11" t="s">
        <v>18</v>
      </c>
      <c r="G355" s="11" t="s">
        <v>49</v>
      </c>
      <c r="H355" s="11" t="s">
        <v>1224</v>
      </c>
      <c r="I355" s="4"/>
      <c r="J355" s="4"/>
      <c r="K355" s="4"/>
      <c r="L355" s="4"/>
      <c r="M355" s="4"/>
      <c r="N355" s="4"/>
      <c r="O355" s="4"/>
      <c r="P355" s="4"/>
      <c r="Q355" s="4"/>
      <c r="R355" s="4"/>
      <c r="S355" s="4"/>
      <c r="T355" s="4"/>
      <c r="U355" s="4"/>
      <c r="V355" s="4"/>
      <c r="W355" s="4"/>
      <c r="X355" s="4"/>
      <c r="Y355" s="4"/>
    </row>
    <row r="356">
      <c r="A356" s="12">
        <v>355.0</v>
      </c>
      <c r="B356" s="11" t="s">
        <v>1004</v>
      </c>
      <c r="C356" s="6" t="s">
        <v>1005</v>
      </c>
      <c r="D356" s="11">
        <v>2022.0</v>
      </c>
      <c r="E356" s="11" t="s">
        <v>930</v>
      </c>
      <c r="F356" s="11" t="s">
        <v>18</v>
      </c>
      <c r="G356" s="11" t="s">
        <v>49</v>
      </c>
      <c r="H356" s="11" t="s">
        <v>1224</v>
      </c>
      <c r="I356" s="4"/>
      <c r="J356" s="4"/>
      <c r="K356" s="4"/>
      <c r="L356" s="4"/>
      <c r="M356" s="4"/>
      <c r="N356" s="4"/>
      <c r="O356" s="4"/>
      <c r="P356" s="4"/>
      <c r="Q356" s="4"/>
      <c r="R356" s="4"/>
      <c r="S356" s="4"/>
      <c r="T356" s="4"/>
      <c r="U356" s="4"/>
      <c r="V356" s="4"/>
      <c r="W356" s="4"/>
      <c r="X356" s="4"/>
      <c r="Y356" s="4"/>
    </row>
    <row r="357">
      <c r="A357" s="11">
        <v>356.0</v>
      </c>
      <c r="B357" s="11" t="s">
        <v>1006</v>
      </c>
      <c r="C357" s="6" t="s">
        <v>1007</v>
      </c>
      <c r="D357" s="11">
        <v>2019.0</v>
      </c>
      <c r="E357" s="11" t="s">
        <v>930</v>
      </c>
      <c r="F357" s="11" t="s">
        <v>18</v>
      </c>
      <c r="G357" s="11" t="s">
        <v>49</v>
      </c>
      <c r="H357" s="11" t="s">
        <v>1224</v>
      </c>
      <c r="I357" s="4"/>
      <c r="J357" s="4"/>
      <c r="K357" s="4"/>
      <c r="L357" s="4"/>
      <c r="M357" s="4"/>
      <c r="N357" s="4"/>
      <c r="O357" s="4"/>
      <c r="P357" s="4"/>
      <c r="Q357" s="4"/>
      <c r="R357" s="4"/>
      <c r="S357" s="4"/>
      <c r="T357" s="4"/>
      <c r="U357" s="4"/>
      <c r="V357" s="4"/>
      <c r="W357" s="4"/>
      <c r="X357" s="4"/>
      <c r="Y357" s="4"/>
    </row>
    <row r="358">
      <c r="A358" s="11">
        <v>357.0</v>
      </c>
      <c r="B358" s="11" t="s">
        <v>1008</v>
      </c>
      <c r="C358" s="6" t="s">
        <v>1009</v>
      </c>
      <c r="D358" s="11">
        <v>2023.0</v>
      </c>
      <c r="E358" s="11" t="s">
        <v>958</v>
      </c>
      <c r="F358" s="11" t="s">
        <v>18</v>
      </c>
      <c r="G358" s="11" t="s">
        <v>49</v>
      </c>
      <c r="H358" s="11" t="s">
        <v>1224</v>
      </c>
      <c r="I358" s="4"/>
      <c r="J358" s="4"/>
      <c r="K358" s="4"/>
      <c r="L358" s="4"/>
      <c r="M358" s="4"/>
      <c r="N358" s="4"/>
      <c r="O358" s="4"/>
      <c r="P358" s="4"/>
      <c r="Q358" s="4"/>
      <c r="R358" s="4"/>
      <c r="S358" s="4"/>
      <c r="T358" s="4"/>
      <c r="U358" s="4"/>
      <c r="V358" s="4"/>
      <c r="W358" s="4"/>
      <c r="X358" s="4"/>
      <c r="Y358" s="4"/>
    </row>
    <row r="359">
      <c r="A359" s="12">
        <v>358.0</v>
      </c>
      <c r="B359" s="11" t="s">
        <v>1010</v>
      </c>
      <c r="C359" s="6" t="s">
        <v>1011</v>
      </c>
      <c r="D359" s="11">
        <v>2021.0</v>
      </c>
      <c r="E359" s="11" t="s">
        <v>924</v>
      </c>
      <c r="F359" s="11" t="s">
        <v>18</v>
      </c>
      <c r="G359" s="11" t="s">
        <v>49</v>
      </c>
      <c r="H359" s="11" t="s">
        <v>1224</v>
      </c>
      <c r="I359" s="4"/>
      <c r="J359" s="4"/>
      <c r="K359" s="4"/>
      <c r="L359" s="4"/>
      <c r="M359" s="4"/>
      <c r="N359" s="4"/>
      <c r="O359" s="4"/>
      <c r="P359" s="4"/>
      <c r="Q359" s="4"/>
      <c r="R359" s="4"/>
      <c r="S359" s="4"/>
      <c r="T359" s="4"/>
      <c r="U359" s="4"/>
      <c r="V359" s="4"/>
      <c r="W359" s="4"/>
      <c r="X359" s="4"/>
      <c r="Y359" s="4"/>
    </row>
    <row r="360">
      <c r="A360" s="12">
        <v>359.0</v>
      </c>
      <c r="B360" s="11" t="s">
        <v>1012</v>
      </c>
      <c r="C360" s="6" t="s">
        <v>1013</v>
      </c>
      <c r="D360" s="11">
        <v>2020.0</v>
      </c>
      <c r="E360" s="11" t="s">
        <v>1014</v>
      </c>
      <c r="F360" s="11" t="s">
        <v>18</v>
      </c>
      <c r="G360" s="11" t="s">
        <v>49</v>
      </c>
      <c r="H360" s="11" t="s">
        <v>1224</v>
      </c>
      <c r="I360" s="4"/>
      <c r="J360" s="4"/>
      <c r="K360" s="4"/>
      <c r="L360" s="4"/>
      <c r="M360" s="4"/>
      <c r="N360" s="4"/>
      <c r="O360" s="4"/>
      <c r="P360" s="4"/>
      <c r="Q360" s="4"/>
      <c r="R360" s="4"/>
      <c r="S360" s="4"/>
      <c r="T360" s="4"/>
      <c r="U360" s="4"/>
      <c r="V360" s="4"/>
      <c r="W360" s="4"/>
      <c r="X360" s="4"/>
      <c r="Y360" s="4"/>
    </row>
    <row r="361">
      <c r="A361" s="11">
        <v>360.0</v>
      </c>
      <c r="B361" s="11" t="s">
        <v>1015</v>
      </c>
      <c r="C361" s="6" t="s">
        <v>1016</v>
      </c>
      <c r="D361" s="11">
        <v>2016.0</v>
      </c>
      <c r="E361" s="11" t="s">
        <v>958</v>
      </c>
      <c r="F361" s="11" t="s">
        <v>18</v>
      </c>
      <c r="G361" s="11" t="s">
        <v>49</v>
      </c>
      <c r="H361" s="11" t="s">
        <v>1224</v>
      </c>
      <c r="I361" s="4"/>
      <c r="J361" s="4"/>
      <c r="K361" s="4"/>
      <c r="L361" s="4"/>
      <c r="M361" s="4"/>
      <c r="N361" s="4"/>
      <c r="O361" s="4"/>
      <c r="P361" s="4"/>
      <c r="Q361" s="4"/>
      <c r="R361" s="4"/>
      <c r="S361" s="4"/>
      <c r="T361" s="4"/>
      <c r="U361" s="4"/>
      <c r="V361" s="4"/>
      <c r="W361" s="4"/>
      <c r="X361" s="4"/>
      <c r="Y361" s="4"/>
    </row>
    <row r="362">
      <c r="A362" s="11">
        <v>361.0</v>
      </c>
      <c r="B362" s="11" t="s">
        <v>1017</v>
      </c>
      <c r="C362" s="6" t="s">
        <v>1018</v>
      </c>
      <c r="D362" s="11">
        <v>2015.0</v>
      </c>
      <c r="E362" s="11" t="s">
        <v>1019</v>
      </c>
      <c r="F362" s="11" t="s">
        <v>18</v>
      </c>
      <c r="G362" s="11" t="s">
        <v>49</v>
      </c>
      <c r="H362" s="11" t="s">
        <v>1224</v>
      </c>
      <c r="I362" s="4"/>
      <c r="J362" s="4"/>
      <c r="K362" s="4"/>
      <c r="L362" s="4"/>
      <c r="M362" s="4"/>
      <c r="N362" s="4"/>
      <c r="O362" s="4"/>
      <c r="P362" s="4"/>
      <c r="Q362" s="4"/>
      <c r="R362" s="4"/>
      <c r="S362" s="4"/>
      <c r="T362" s="4"/>
      <c r="U362" s="4"/>
      <c r="V362" s="4"/>
      <c r="W362" s="4"/>
      <c r="X362" s="4"/>
      <c r="Y362" s="4"/>
    </row>
    <row r="363">
      <c r="A363" s="12">
        <v>362.0</v>
      </c>
      <c r="B363" s="11" t="s">
        <v>1020</v>
      </c>
      <c r="C363" s="6" t="s">
        <v>1021</v>
      </c>
      <c r="D363" s="11">
        <v>2022.0</v>
      </c>
      <c r="E363" s="11" t="s">
        <v>1022</v>
      </c>
      <c r="F363" s="11" t="s">
        <v>18</v>
      </c>
      <c r="G363" s="11" t="s">
        <v>49</v>
      </c>
      <c r="H363" s="11" t="s">
        <v>1224</v>
      </c>
      <c r="I363" s="4"/>
      <c r="J363" s="4"/>
      <c r="K363" s="4"/>
      <c r="L363" s="4"/>
      <c r="M363" s="4"/>
      <c r="N363" s="4"/>
      <c r="O363" s="4"/>
      <c r="P363" s="4"/>
      <c r="Q363" s="4"/>
      <c r="R363" s="4"/>
      <c r="S363" s="4"/>
      <c r="T363" s="4"/>
      <c r="U363" s="4"/>
      <c r="V363" s="4"/>
      <c r="W363" s="4"/>
      <c r="X363" s="4"/>
      <c r="Y363" s="4"/>
    </row>
    <row r="364">
      <c r="A364" s="12">
        <v>363.0</v>
      </c>
      <c r="B364" s="18" t="s">
        <v>1023</v>
      </c>
      <c r="C364" s="6" t="s">
        <v>1024</v>
      </c>
      <c r="D364" s="11">
        <v>2021.0</v>
      </c>
      <c r="E364" s="11" t="s">
        <v>958</v>
      </c>
      <c r="F364" s="11" t="s">
        <v>18</v>
      </c>
      <c r="G364" s="11" t="s">
        <v>49</v>
      </c>
      <c r="H364" s="11" t="s">
        <v>1225</v>
      </c>
      <c r="I364" s="4"/>
      <c r="J364" s="4"/>
      <c r="K364" s="4"/>
      <c r="L364" s="4"/>
      <c r="M364" s="4"/>
      <c r="N364" s="4"/>
      <c r="O364" s="4"/>
      <c r="P364" s="4"/>
      <c r="Q364" s="4"/>
      <c r="R364" s="4"/>
      <c r="S364" s="4"/>
      <c r="T364" s="4"/>
      <c r="U364" s="4"/>
      <c r="V364" s="4"/>
      <c r="W364" s="4"/>
      <c r="X364" s="4"/>
      <c r="Y364" s="4"/>
    </row>
    <row r="365">
      <c r="A365" s="11">
        <v>364.0</v>
      </c>
      <c r="B365" s="18" t="s">
        <v>1025</v>
      </c>
      <c r="C365" s="6" t="s">
        <v>1026</v>
      </c>
      <c r="D365" s="11">
        <v>2025.0</v>
      </c>
      <c r="E365" s="11" t="s">
        <v>967</v>
      </c>
      <c r="F365" s="11" t="s">
        <v>18</v>
      </c>
      <c r="G365" s="11" t="s">
        <v>49</v>
      </c>
      <c r="H365" s="11" t="s">
        <v>1225</v>
      </c>
      <c r="I365" s="4"/>
      <c r="J365" s="4"/>
      <c r="K365" s="4"/>
      <c r="L365" s="4"/>
      <c r="M365" s="4"/>
      <c r="N365" s="4"/>
      <c r="O365" s="4"/>
      <c r="P365" s="4"/>
      <c r="Q365" s="4"/>
      <c r="R365" s="4"/>
      <c r="S365" s="4"/>
      <c r="T365" s="4"/>
      <c r="U365" s="4"/>
      <c r="V365" s="4"/>
      <c r="W365" s="4"/>
      <c r="X365" s="4"/>
      <c r="Y365" s="4"/>
    </row>
    <row r="366">
      <c r="A366" s="11">
        <v>365.0</v>
      </c>
      <c r="B366" s="11" t="s">
        <v>1027</v>
      </c>
      <c r="C366" s="6" t="s">
        <v>1028</v>
      </c>
      <c r="D366" s="11">
        <v>2021.0</v>
      </c>
      <c r="E366" s="11" t="s">
        <v>1029</v>
      </c>
      <c r="F366" s="11" t="s">
        <v>18</v>
      </c>
      <c r="G366" s="11" t="s">
        <v>49</v>
      </c>
      <c r="H366" s="11" t="s">
        <v>1224</v>
      </c>
      <c r="I366" s="4"/>
      <c r="J366" s="4"/>
      <c r="K366" s="4"/>
      <c r="L366" s="4"/>
      <c r="M366" s="4"/>
      <c r="N366" s="4"/>
      <c r="O366" s="4"/>
      <c r="P366" s="4"/>
      <c r="Q366" s="4"/>
      <c r="R366" s="4"/>
      <c r="S366" s="4"/>
      <c r="T366" s="4"/>
      <c r="U366" s="4"/>
      <c r="V366" s="4"/>
      <c r="W366" s="4"/>
      <c r="X366" s="4"/>
      <c r="Y366" s="4"/>
    </row>
    <row r="367">
      <c r="A367" s="12">
        <v>366.0</v>
      </c>
      <c r="B367" s="11" t="s">
        <v>1030</v>
      </c>
      <c r="C367" s="6" t="s">
        <v>1031</v>
      </c>
      <c r="D367" s="11">
        <v>2024.0</v>
      </c>
      <c r="E367" s="11" t="s">
        <v>1032</v>
      </c>
      <c r="F367" s="11" t="s">
        <v>20</v>
      </c>
      <c r="G367" s="11" t="s">
        <v>1033</v>
      </c>
      <c r="H367" s="11" t="s">
        <v>1224</v>
      </c>
      <c r="I367" s="4"/>
      <c r="J367" s="4"/>
      <c r="K367" s="4"/>
      <c r="L367" s="4"/>
      <c r="M367" s="4"/>
      <c r="N367" s="4"/>
      <c r="O367" s="4"/>
      <c r="P367" s="4"/>
      <c r="Q367" s="4"/>
      <c r="R367" s="4"/>
      <c r="S367" s="4"/>
      <c r="T367" s="4"/>
      <c r="U367" s="4"/>
      <c r="V367" s="4"/>
      <c r="W367" s="4"/>
      <c r="X367" s="4"/>
      <c r="Y367" s="4"/>
    </row>
    <row r="368">
      <c r="A368" s="12">
        <v>367.0</v>
      </c>
      <c r="B368" s="11" t="s">
        <v>1034</v>
      </c>
      <c r="C368" s="6" t="s">
        <v>1035</v>
      </c>
      <c r="D368" s="11">
        <v>2021.0</v>
      </c>
      <c r="E368" s="11" t="s">
        <v>1032</v>
      </c>
      <c r="F368" s="11" t="s">
        <v>20</v>
      </c>
      <c r="G368" s="11" t="s">
        <v>1033</v>
      </c>
      <c r="H368" s="11" t="s">
        <v>1224</v>
      </c>
      <c r="I368" s="4"/>
      <c r="J368" s="4"/>
      <c r="K368" s="4"/>
      <c r="L368" s="4"/>
      <c r="M368" s="4"/>
      <c r="N368" s="4"/>
      <c r="O368" s="4"/>
      <c r="P368" s="4"/>
      <c r="Q368" s="4"/>
      <c r="R368" s="4"/>
      <c r="S368" s="4"/>
      <c r="T368" s="4"/>
      <c r="U368" s="4"/>
      <c r="V368" s="4"/>
      <c r="W368" s="4"/>
      <c r="X368" s="4"/>
      <c r="Y368" s="4"/>
    </row>
    <row r="369">
      <c r="A369" s="11">
        <v>368.0</v>
      </c>
      <c r="B369" s="11" t="s">
        <v>1036</v>
      </c>
      <c r="C369" s="6" t="s">
        <v>1037</v>
      </c>
      <c r="D369" s="4"/>
      <c r="E369" s="11" t="s">
        <v>1038</v>
      </c>
      <c r="F369" s="11" t="s">
        <v>20</v>
      </c>
      <c r="G369" s="11" t="s">
        <v>39</v>
      </c>
      <c r="H369" s="11" t="s">
        <v>1224</v>
      </c>
      <c r="I369" s="4"/>
      <c r="J369" s="4"/>
      <c r="K369" s="4"/>
      <c r="L369" s="4"/>
      <c r="M369" s="4"/>
      <c r="N369" s="4"/>
      <c r="O369" s="4"/>
      <c r="P369" s="4"/>
      <c r="Q369" s="4"/>
      <c r="R369" s="4"/>
      <c r="S369" s="4"/>
      <c r="T369" s="4"/>
      <c r="U369" s="4"/>
      <c r="V369" s="4"/>
      <c r="W369" s="4"/>
      <c r="X369" s="4"/>
      <c r="Y369" s="4"/>
    </row>
    <row r="370">
      <c r="A370" s="11">
        <v>369.0</v>
      </c>
      <c r="B370" s="11" t="s">
        <v>1039</v>
      </c>
      <c r="C370" s="6" t="s">
        <v>1040</v>
      </c>
      <c r="D370" s="11">
        <v>2016.0</v>
      </c>
      <c r="E370" s="11" t="s">
        <v>1041</v>
      </c>
      <c r="F370" s="11" t="s">
        <v>20</v>
      </c>
      <c r="G370" s="11" t="s">
        <v>49</v>
      </c>
      <c r="H370" s="11" t="s">
        <v>1224</v>
      </c>
      <c r="I370" s="4"/>
      <c r="J370" s="4"/>
      <c r="K370" s="4"/>
      <c r="L370" s="4"/>
      <c r="M370" s="4"/>
      <c r="N370" s="4"/>
      <c r="O370" s="4"/>
      <c r="P370" s="4"/>
      <c r="Q370" s="4"/>
      <c r="R370" s="4"/>
      <c r="S370" s="4"/>
      <c r="T370" s="4"/>
      <c r="U370" s="4"/>
      <c r="V370" s="4"/>
      <c r="W370" s="4"/>
      <c r="X370" s="4"/>
      <c r="Y370" s="4"/>
    </row>
    <row r="371">
      <c r="A371" s="12">
        <v>370.0</v>
      </c>
      <c r="B371" s="11" t="s">
        <v>1042</v>
      </c>
      <c r="C371" s="6" t="s">
        <v>1043</v>
      </c>
      <c r="D371" s="11">
        <v>2016.0</v>
      </c>
      <c r="E371" s="4"/>
      <c r="F371" s="11" t="s">
        <v>20</v>
      </c>
      <c r="G371" s="11" t="s">
        <v>49</v>
      </c>
      <c r="H371" s="11" t="s">
        <v>1224</v>
      </c>
      <c r="I371" s="4"/>
      <c r="J371" s="4"/>
      <c r="K371" s="4"/>
      <c r="L371" s="4"/>
      <c r="M371" s="4"/>
      <c r="N371" s="4"/>
      <c r="O371" s="4"/>
      <c r="P371" s="4"/>
      <c r="Q371" s="4"/>
      <c r="R371" s="4"/>
      <c r="S371" s="4"/>
      <c r="T371" s="4"/>
      <c r="U371" s="4"/>
      <c r="V371" s="4"/>
      <c r="W371" s="4"/>
      <c r="X371" s="4"/>
      <c r="Y371" s="4"/>
    </row>
    <row r="372">
      <c r="A372" s="12">
        <v>371.0</v>
      </c>
      <c r="B372" s="11" t="s">
        <v>1044</v>
      </c>
      <c r="C372" s="6" t="s">
        <v>1045</v>
      </c>
      <c r="D372" s="11">
        <v>2024.0</v>
      </c>
      <c r="E372" s="11" t="s">
        <v>1046</v>
      </c>
      <c r="F372" s="11" t="s">
        <v>20</v>
      </c>
      <c r="G372" s="11" t="s">
        <v>1033</v>
      </c>
      <c r="H372" s="11" t="s">
        <v>1224</v>
      </c>
      <c r="I372" s="4"/>
      <c r="J372" s="4"/>
      <c r="K372" s="4"/>
      <c r="L372" s="4"/>
      <c r="M372" s="4"/>
      <c r="N372" s="4"/>
      <c r="O372" s="4"/>
      <c r="P372" s="4"/>
      <c r="Q372" s="4"/>
      <c r="R372" s="4"/>
      <c r="S372" s="4"/>
      <c r="T372" s="4"/>
      <c r="U372" s="4"/>
      <c r="V372" s="4"/>
      <c r="W372" s="4"/>
      <c r="X372" s="4"/>
      <c r="Y372" s="4"/>
    </row>
    <row r="373">
      <c r="A373" s="11">
        <v>372.0</v>
      </c>
      <c r="B373" s="11" t="s">
        <v>1047</v>
      </c>
      <c r="C373" s="6" t="s">
        <v>1048</v>
      </c>
      <c r="D373" s="11">
        <v>2021.0</v>
      </c>
      <c r="E373" s="11" t="s">
        <v>1049</v>
      </c>
      <c r="F373" s="11" t="s">
        <v>20</v>
      </c>
      <c r="G373" s="11" t="s">
        <v>1033</v>
      </c>
      <c r="H373" s="11" t="s">
        <v>1224</v>
      </c>
      <c r="I373" s="4"/>
      <c r="J373" s="4"/>
      <c r="K373" s="4"/>
      <c r="L373" s="4"/>
      <c r="M373" s="4"/>
      <c r="N373" s="4"/>
      <c r="O373" s="4"/>
      <c r="P373" s="4"/>
      <c r="Q373" s="4"/>
      <c r="R373" s="4"/>
      <c r="S373" s="4"/>
      <c r="T373" s="4"/>
      <c r="U373" s="4"/>
      <c r="V373" s="4"/>
      <c r="W373" s="4"/>
      <c r="X373" s="4"/>
      <c r="Y373" s="4"/>
    </row>
    <row r="374">
      <c r="A374" s="11">
        <v>373.0</v>
      </c>
      <c r="B374" s="11" t="s">
        <v>1050</v>
      </c>
      <c r="C374" s="6" t="s">
        <v>1051</v>
      </c>
      <c r="D374" s="11">
        <v>2015.0</v>
      </c>
      <c r="E374" s="11" t="s">
        <v>1052</v>
      </c>
      <c r="F374" s="11" t="s">
        <v>20</v>
      </c>
      <c r="G374" s="11" t="s">
        <v>49</v>
      </c>
      <c r="H374" s="11" t="s">
        <v>1224</v>
      </c>
      <c r="I374" s="4"/>
      <c r="J374" s="4"/>
      <c r="K374" s="4"/>
      <c r="L374" s="4"/>
      <c r="M374" s="4"/>
      <c r="N374" s="4"/>
      <c r="O374" s="4"/>
      <c r="P374" s="4"/>
      <c r="Q374" s="4"/>
      <c r="R374" s="4"/>
      <c r="S374" s="4"/>
      <c r="T374" s="4"/>
      <c r="U374" s="4"/>
      <c r="V374" s="4"/>
      <c r="W374" s="4"/>
      <c r="X374" s="4"/>
      <c r="Y374" s="4"/>
    </row>
    <row r="375">
      <c r="A375" s="12">
        <v>374.0</v>
      </c>
      <c r="B375" s="11" t="s">
        <v>1053</v>
      </c>
      <c r="C375" s="6" t="s">
        <v>1054</v>
      </c>
      <c r="D375" s="11">
        <v>2019.0</v>
      </c>
      <c r="E375" s="4"/>
      <c r="F375" s="11" t="s">
        <v>20</v>
      </c>
      <c r="G375" s="11" t="s">
        <v>49</v>
      </c>
      <c r="H375" s="11" t="s">
        <v>1224</v>
      </c>
      <c r="I375" s="4"/>
      <c r="J375" s="4"/>
      <c r="K375" s="4"/>
      <c r="L375" s="4"/>
      <c r="M375" s="4"/>
      <c r="N375" s="4"/>
      <c r="O375" s="4"/>
      <c r="P375" s="4"/>
      <c r="Q375" s="4"/>
      <c r="R375" s="4"/>
      <c r="S375" s="4"/>
      <c r="T375" s="4"/>
      <c r="U375" s="4"/>
      <c r="V375" s="4"/>
      <c r="W375" s="4"/>
      <c r="X375" s="4"/>
      <c r="Y375" s="4"/>
    </row>
    <row r="376">
      <c r="A376" s="11">
        <v>375.0</v>
      </c>
      <c r="B376" s="11" t="s">
        <v>1055</v>
      </c>
      <c r="C376" s="6" t="s">
        <v>1056</v>
      </c>
      <c r="D376" s="4"/>
      <c r="E376" s="4"/>
      <c r="F376" s="11" t="s">
        <v>20</v>
      </c>
      <c r="G376" s="11" t="s">
        <v>49</v>
      </c>
      <c r="H376" s="11" t="s">
        <v>1224</v>
      </c>
      <c r="I376" s="4"/>
      <c r="J376" s="4"/>
      <c r="K376" s="4"/>
      <c r="L376" s="4"/>
      <c r="M376" s="4"/>
      <c r="N376" s="4"/>
      <c r="O376" s="4"/>
      <c r="P376" s="4"/>
      <c r="Q376" s="4"/>
      <c r="R376" s="4"/>
      <c r="S376" s="4"/>
      <c r="T376" s="4"/>
      <c r="U376" s="4"/>
      <c r="V376" s="4"/>
      <c r="W376" s="4"/>
      <c r="X376" s="4"/>
      <c r="Y376" s="4"/>
    </row>
    <row r="377">
      <c r="A377" s="11">
        <v>376.0</v>
      </c>
      <c r="B377" s="11" t="s">
        <v>1057</v>
      </c>
      <c r="C377" s="6" t="s">
        <v>1058</v>
      </c>
      <c r="D377" s="11">
        <v>2022.0</v>
      </c>
      <c r="E377" s="4"/>
      <c r="F377" s="11" t="s">
        <v>20</v>
      </c>
      <c r="G377" s="11" t="s">
        <v>1033</v>
      </c>
      <c r="H377" s="11" t="s">
        <v>1224</v>
      </c>
      <c r="I377" s="4"/>
      <c r="J377" s="4"/>
      <c r="K377" s="4"/>
      <c r="L377" s="4"/>
      <c r="M377" s="4"/>
      <c r="N377" s="4"/>
      <c r="O377" s="4"/>
      <c r="P377" s="4"/>
      <c r="Q377" s="4"/>
      <c r="R377" s="4"/>
      <c r="S377" s="4"/>
      <c r="T377" s="4"/>
      <c r="U377" s="4"/>
      <c r="V377" s="4"/>
      <c r="W377" s="4"/>
      <c r="X377" s="4"/>
      <c r="Y377" s="4"/>
    </row>
    <row r="378">
      <c r="A378" s="12">
        <v>377.0</v>
      </c>
      <c r="B378" s="11" t="s">
        <v>1059</v>
      </c>
      <c r="C378" s="6" t="s">
        <v>1060</v>
      </c>
      <c r="D378" s="4"/>
      <c r="E378" s="4"/>
      <c r="F378" s="11" t="s">
        <v>20</v>
      </c>
      <c r="G378" s="11" t="s">
        <v>49</v>
      </c>
      <c r="H378" s="11" t="s">
        <v>1224</v>
      </c>
      <c r="I378" s="4"/>
      <c r="J378" s="4"/>
      <c r="K378" s="4"/>
      <c r="L378" s="4"/>
      <c r="M378" s="4"/>
      <c r="N378" s="4"/>
      <c r="O378" s="4"/>
      <c r="P378" s="4"/>
      <c r="Q378" s="4"/>
      <c r="R378" s="4"/>
      <c r="S378" s="4"/>
      <c r="T378" s="4"/>
      <c r="U378" s="4"/>
      <c r="V378" s="4"/>
      <c r="W378" s="4"/>
      <c r="X378" s="4"/>
      <c r="Y378" s="4"/>
    </row>
    <row r="379">
      <c r="A379" s="11">
        <v>378.0</v>
      </c>
      <c r="B379" s="11" t="s">
        <v>1061</v>
      </c>
      <c r="C379" s="6" t="s">
        <v>1062</v>
      </c>
      <c r="D379" s="11">
        <v>2018.0</v>
      </c>
      <c r="E379" s="11" t="s">
        <v>1063</v>
      </c>
      <c r="F379" s="11" t="s">
        <v>20</v>
      </c>
      <c r="G379" s="11" t="s">
        <v>49</v>
      </c>
      <c r="H379" s="11" t="s">
        <v>1224</v>
      </c>
      <c r="I379" s="4"/>
      <c r="J379" s="4"/>
      <c r="K379" s="4"/>
      <c r="L379" s="4"/>
      <c r="M379" s="4"/>
      <c r="N379" s="4"/>
      <c r="O379" s="4"/>
      <c r="P379" s="4"/>
      <c r="Q379" s="4"/>
      <c r="R379" s="4"/>
      <c r="S379" s="4"/>
      <c r="T379" s="4"/>
      <c r="U379" s="4"/>
      <c r="V379" s="4"/>
      <c r="W379" s="4"/>
      <c r="X379" s="4"/>
      <c r="Y379" s="4"/>
    </row>
    <row r="380">
      <c r="A380" s="11">
        <v>379.0</v>
      </c>
      <c r="B380" s="11" t="s">
        <v>1064</v>
      </c>
      <c r="C380" s="6" t="s">
        <v>1065</v>
      </c>
      <c r="D380" s="11">
        <v>2021.0</v>
      </c>
      <c r="E380" s="11" t="s">
        <v>1066</v>
      </c>
      <c r="F380" s="11" t="s">
        <v>20</v>
      </c>
      <c r="G380" s="11" t="s">
        <v>1033</v>
      </c>
      <c r="H380" s="11" t="s">
        <v>1224</v>
      </c>
      <c r="I380" s="4"/>
      <c r="J380" s="4"/>
      <c r="K380" s="4"/>
      <c r="L380" s="4"/>
      <c r="M380" s="4"/>
      <c r="N380" s="4"/>
      <c r="O380" s="4"/>
      <c r="P380" s="4"/>
      <c r="Q380" s="4"/>
      <c r="R380" s="4"/>
      <c r="S380" s="4"/>
      <c r="T380" s="4"/>
      <c r="U380" s="4"/>
      <c r="V380" s="4"/>
      <c r="W380" s="4"/>
      <c r="X380" s="4"/>
      <c r="Y380" s="4"/>
    </row>
    <row r="381">
      <c r="A381" s="12">
        <v>380.0</v>
      </c>
      <c r="B381" s="11" t="s">
        <v>1067</v>
      </c>
      <c r="C381" s="6" t="s">
        <v>1068</v>
      </c>
      <c r="D381" s="11">
        <v>2021.0</v>
      </c>
      <c r="E381" s="11" t="s">
        <v>1069</v>
      </c>
      <c r="F381" s="11" t="s">
        <v>20</v>
      </c>
      <c r="G381" s="11" t="s">
        <v>49</v>
      </c>
      <c r="H381" s="11" t="s">
        <v>1224</v>
      </c>
      <c r="I381" s="4"/>
      <c r="J381" s="4"/>
      <c r="K381" s="4"/>
      <c r="L381" s="4"/>
      <c r="M381" s="4"/>
      <c r="N381" s="4"/>
      <c r="O381" s="4"/>
      <c r="P381" s="4"/>
      <c r="Q381" s="4"/>
      <c r="R381" s="4"/>
      <c r="S381" s="4"/>
      <c r="T381" s="4"/>
      <c r="U381" s="4"/>
      <c r="V381" s="4"/>
      <c r="W381" s="4"/>
      <c r="X381" s="4"/>
      <c r="Y381" s="4"/>
    </row>
    <row r="382">
      <c r="A382" s="11">
        <v>381.0</v>
      </c>
      <c r="B382" s="11" t="s">
        <v>1070</v>
      </c>
      <c r="C382" s="6" t="s">
        <v>1071</v>
      </c>
      <c r="D382" s="11">
        <v>2018.0</v>
      </c>
      <c r="E382" s="11" t="s">
        <v>1072</v>
      </c>
      <c r="F382" s="11" t="s">
        <v>20</v>
      </c>
      <c r="G382" s="11" t="s">
        <v>49</v>
      </c>
      <c r="H382" s="11" t="s">
        <v>1224</v>
      </c>
      <c r="I382" s="4"/>
      <c r="J382" s="4"/>
      <c r="K382" s="4"/>
      <c r="L382" s="4"/>
      <c r="M382" s="4"/>
      <c r="N382" s="4"/>
      <c r="O382" s="4"/>
      <c r="P382" s="4"/>
      <c r="Q382" s="4"/>
      <c r="R382" s="4"/>
      <c r="S382" s="4"/>
      <c r="T382" s="4"/>
      <c r="U382" s="4"/>
      <c r="V382" s="4"/>
      <c r="W382" s="4"/>
      <c r="X382" s="4"/>
      <c r="Y382" s="4"/>
    </row>
    <row r="383">
      <c r="A383" s="11">
        <v>382.0</v>
      </c>
      <c r="B383" s="11" t="s">
        <v>1073</v>
      </c>
      <c r="C383" s="6" t="s">
        <v>1074</v>
      </c>
      <c r="D383" s="11">
        <v>2020.0</v>
      </c>
      <c r="E383" s="11" t="s">
        <v>1075</v>
      </c>
      <c r="F383" s="11" t="s">
        <v>20</v>
      </c>
      <c r="G383" s="11" t="s">
        <v>1033</v>
      </c>
      <c r="H383" s="11" t="s">
        <v>1224</v>
      </c>
      <c r="I383" s="4"/>
      <c r="J383" s="4"/>
      <c r="K383" s="4"/>
      <c r="L383" s="4"/>
      <c r="M383" s="4"/>
      <c r="N383" s="4"/>
      <c r="O383" s="4"/>
      <c r="P383" s="4"/>
      <c r="Q383" s="4"/>
      <c r="R383" s="4"/>
      <c r="S383" s="4"/>
      <c r="T383" s="4"/>
      <c r="U383" s="4"/>
      <c r="V383" s="4"/>
      <c r="W383" s="4"/>
      <c r="X383" s="4"/>
      <c r="Y383" s="4"/>
    </row>
    <row r="384">
      <c r="A384" s="12">
        <v>383.0</v>
      </c>
      <c r="B384" s="11" t="s">
        <v>1076</v>
      </c>
      <c r="C384" s="6" t="s">
        <v>1077</v>
      </c>
      <c r="D384" s="11">
        <v>2023.0</v>
      </c>
      <c r="E384" s="11" t="s">
        <v>1078</v>
      </c>
      <c r="F384" s="11" t="s">
        <v>20</v>
      </c>
      <c r="G384" s="11" t="s">
        <v>1033</v>
      </c>
      <c r="H384" s="11" t="s">
        <v>1224</v>
      </c>
      <c r="I384" s="4"/>
      <c r="J384" s="4"/>
      <c r="K384" s="4"/>
      <c r="L384" s="4"/>
      <c r="M384" s="4"/>
      <c r="N384" s="4"/>
      <c r="O384" s="4"/>
      <c r="P384" s="4"/>
      <c r="Q384" s="4"/>
      <c r="R384" s="4"/>
      <c r="S384" s="4"/>
      <c r="T384" s="4"/>
      <c r="U384" s="4"/>
      <c r="V384" s="4"/>
      <c r="W384" s="4"/>
      <c r="X384" s="4"/>
      <c r="Y384" s="4"/>
    </row>
    <row r="385">
      <c r="A385" s="11">
        <v>384.0</v>
      </c>
      <c r="B385" s="11" t="s">
        <v>1079</v>
      </c>
      <c r="C385" s="6" t="s">
        <v>1080</v>
      </c>
      <c r="D385" s="11">
        <v>2025.0</v>
      </c>
      <c r="E385" s="11" t="s">
        <v>1081</v>
      </c>
      <c r="F385" s="11" t="s">
        <v>20</v>
      </c>
      <c r="G385" s="11" t="s">
        <v>1033</v>
      </c>
      <c r="H385" s="11" t="s">
        <v>1224</v>
      </c>
      <c r="I385" s="4"/>
      <c r="J385" s="4"/>
      <c r="K385" s="4"/>
      <c r="L385" s="4"/>
      <c r="M385" s="4"/>
      <c r="N385" s="4"/>
      <c r="O385" s="4"/>
      <c r="P385" s="4"/>
      <c r="Q385" s="4"/>
      <c r="R385" s="4"/>
      <c r="S385" s="4"/>
      <c r="T385" s="4"/>
      <c r="U385" s="4"/>
      <c r="V385" s="4"/>
      <c r="W385" s="4"/>
      <c r="X385" s="4"/>
      <c r="Y385" s="4"/>
    </row>
    <row r="386">
      <c r="A386" s="11">
        <v>385.0</v>
      </c>
      <c r="B386" s="11" t="s">
        <v>1082</v>
      </c>
      <c r="C386" s="6" t="s">
        <v>1083</v>
      </c>
      <c r="D386" s="11">
        <v>2016.0</v>
      </c>
      <c r="E386" s="11" t="s">
        <v>1084</v>
      </c>
      <c r="F386" s="11" t="s">
        <v>20</v>
      </c>
      <c r="G386" s="11" t="s">
        <v>1033</v>
      </c>
      <c r="H386" s="11" t="s">
        <v>1224</v>
      </c>
      <c r="I386" s="4"/>
      <c r="J386" s="4"/>
      <c r="K386" s="4"/>
      <c r="L386" s="4"/>
      <c r="M386" s="4"/>
      <c r="N386" s="4"/>
      <c r="O386" s="4"/>
      <c r="P386" s="4"/>
      <c r="Q386" s="4"/>
      <c r="R386" s="4"/>
      <c r="S386" s="4"/>
      <c r="T386" s="4"/>
      <c r="U386" s="4"/>
      <c r="V386" s="4"/>
      <c r="W386" s="4"/>
      <c r="X386" s="4"/>
      <c r="Y386" s="4"/>
    </row>
    <row r="387">
      <c r="A387" s="12">
        <v>386.0</v>
      </c>
      <c r="B387" s="11" t="s">
        <v>1085</v>
      </c>
      <c r="C387" s="6" t="s">
        <v>1086</v>
      </c>
      <c r="D387" s="11">
        <v>2021.0</v>
      </c>
      <c r="E387" s="11" t="s">
        <v>1087</v>
      </c>
      <c r="F387" s="11" t="s">
        <v>20</v>
      </c>
      <c r="G387" s="11" t="s">
        <v>1033</v>
      </c>
      <c r="H387" s="11" t="s">
        <v>1224</v>
      </c>
      <c r="I387" s="4"/>
      <c r="J387" s="4"/>
      <c r="K387" s="4"/>
      <c r="L387" s="4"/>
      <c r="M387" s="4"/>
      <c r="N387" s="4"/>
      <c r="O387" s="4"/>
      <c r="P387" s="4"/>
      <c r="Q387" s="4"/>
      <c r="R387" s="4"/>
      <c r="S387" s="4"/>
      <c r="T387" s="4"/>
      <c r="U387" s="4"/>
      <c r="V387" s="4"/>
      <c r="W387" s="4"/>
      <c r="X387" s="4"/>
      <c r="Y387" s="4"/>
    </row>
    <row r="388">
      <c r="A388" s="11">
        <v>387.0</v>
      </c>
      <c r="B388" s="11" t="s">
        <v>1088</v>
      </c>
      <c r="C388" s="6" t="s">
        <v>1089</v>
      </c>
      <c r="D388" s="11">
        <v>2024.0</v>
      </c>
      <c r="E388" s="11" t="s">
        <v>1090</v>
      </c>
      <c r="F388" s="11" t="s">
        <v>20</v>
      </c>
      <c r="G388" s="11" t="s">
        <v>1033</v>
      </c>
      <c r="H388" s="11" t="s">
        <v>1224</v>
      </c>
      <c r="I388" s="4"/>
      <c r="J388" s="4"/>
      <c r="K388" s="4"/>
      <c r="L388" s="4"/>
      <c r="M388" s="4"/>
      <c r="N388" s="4"/>
      <c r="O388" s="4"/>
      <c r="P388" s="4"/>
      <c r="Q388" s="4"/>
      <c r="R388" s="4"/>
      <c r="S388" s="4"/>
      <c r="T388" s="4"/>
      <c r="U388" s="4"/>
      <c r="V388" s="4"/>
      <c r="W388" s="4"/>
      <c r="X388" s="4"/>
      <c r="Y388" s="4"/>
    </row>
    <row r="389">
      <c r="A389" s="11">
        <v>388.0</v>
      </c>
      <c r="B389" s="11" t="s">
        <v>1091</v>
      </c>
      <c r="C389" s="6" t="s">
        <v>1092</v>
      </c>
      <c r="D389" s="11">
        <v>2016.0</v>
      </c>
      <c r="E389" s="11" t="s">
        <v>1093</v>
      </c>
      <c r="F389" s="11" t="s">
        <v>20</v>
      </c>
      <c r="G389" s="11" t="s">
        <v>1033</v>
      </c>
      <c r="H389" s="11" t="s">
        <v>1224</v>
      </c>
      <c r="I389" s="4"/>
      <c r="J389" s="4"/>
      <c r="K389" s="4"/>
      <c r="L389" s="4"/>
      <c r="M389" s="4"/>
      <c r="N389" s="4"/>
      <c r="O389" s="4"/>
      <c r="P389" s="4"/>
      <c r="Q389" s="4"/>
      <c r="R389" s="4"/>
      <c r="S389" s="4"/>
      <c r="T389" s="4"/>
      <c r="U389" s="4"/>
      <c r="V389" s="4"/>
      <c r="W389" s="4"/>
      <c r="X389" s="4"/>
      <c r="Y389" s="4"/>
    </row>
    <row r="390">
      <c r="A390" s="12">
        <v>389.0</v>
      </c>
      <c r="B390" s="11" t="s">
        <v>1094</v>
      </c>
      <c r="C390" s="6" t="s">
        <v>1095</v>
      </c>
      <c r="D390" s="11">
        <v>2021.0</v>
      </c>
      <c r="E390" s="4"/>
      <c r="F390" s="11" t="s">
        <v>20</v>
      </c>
      <c r="G390" s="11" t="s">
        <v>49</v>
      </c>
      <c r="H390" s="11" t="s">
        <v>1224</v>
      </c>
      <c r="I390" s="4"/>
      <c r="J390" s="4"/>
      <c r="K390" s="4"/>
      <c r="L390" s="4"/>
      <c r="M390" s="4"/>
      <c r="N390" s="4"/>
      <c r="O390" s="4"/>
      <c r="P390" s="4"/>
      <c r="Q390" s="4"/>
      <c r="R390" s="4"/>
      <c r="S390" s="4"/>
      <c r="T390" s="4"/>
      <c r="U390" s="4"/>
      <c r="V390" s="4"/>
      <c r="W390" s="4"/>
      <c r="X390" s="4"/>
      <c r="Y390" s="4"/>
    </row>
    <row r="391">
      <c r="A391" s="11">
        <v>390.0</v>
      </c>
      <c r="B391" s="11" t="s">
        <v>1096</v>
      </c>
      <c r="C391" s="6" t="s">
        <v>1097</v>
      </c>
      <c r="D391" s="11">
        <v>2025.0</v>
      </c>
      <c r="E391" s="4"/>
      <c r="F391" s="11" t="s">
        <v>20</v>
      </c>
      <c r="G391" s="11" t="s">
        <v>1033</v>
      </c>
      <c r="H391" s="11" t="s">
        <v>1224</v>
      </c>
      <c r="I391" s="4"/>
      <c r="J391" s="4"/>
      <c r="K391" s="4"/>
      <c r="L391" s="4"/>
      <c r="M391" s="4"/>
      <c r="N391" s="4"/>
      <c r="O391" s="4"/>
      <c r="P391" s="4"/>
      <c r="Q391" s="4"/>
      <c r="R391" s="4"/>
      <c r="S391" s="4"/>
      <c r="T391" s="4"/>
      <c r="U391" s="4"/>
      <c r="V391" s="4"/>
      <c r="W391" s="4"/>
      <c r="X391" s="4"/>
      <c r="Y391" s="4"/>
    </row>
    <row r="392">
      <c r="A392" s="11">
        <v>391.0</v>
      </c>
      <c r="B392" s="11" t="s">
        <v>1098</v>
      </c>
      <c r="C392" s="6" t="s">
        <v>1099</v>
      </c>
      <c r="D392" s="11">
        <v>2023.0</v>
      </c>
      <c r="E392" s="4"/>
      <c r="F392" s="11" t="s">
        <v>20</v>
      </c>
      <c r="G392" s="11" t="s">
        <v>49</v>
      </c>
      <c r="H392" s="11" t="s">
        <v>1224</v>
      </c>
      <c r="I392" s="4"/>
      <c r="J392" s="4"/>
      <c r="K392" s="4"/>
      <c r="L392" s="4"/>
      <c r="M392" s="4"/>
      <c r="N392" s="4"/>
      <c r="O392" s="4"/>
      <c r="P392" s="4"/>
      <c r="Q392" s="4"/>
      <c r="R392" s="4"/>
      <c r="S392" s="4"/>
      <c r="T392" s="4"/>
      <c r="U392" s="4"/>
      <c r="V392" s="4"/>
      <c r="W392" s="4"/>
      <c r="X392" s="4"/>
      <c r="Y392" s="4"/>
    </row>
    <row r="393">
      <c r="A393" s="12">
        <v>392.0</v>
      </c>
      <c r="B393" s="11" t="s">
        <v>1100</v>
      </c>
      <c r="C393" s="6" t="s">
        <v>1101</v>
      </c>
      <c r="D393" s="11">
        <v>2017.0</v>
      </c>
      <c r="E393" s="11" t="s">
        <v>1102</v>
      </c>
      <c r="F393" s="11" t="s">
        <v>20</v>
      </c>
      <c r="G393" s="11" t="s">
        <v>1033</v>
      </c>
      <c r="H393" s="11" t="s">
        <v>1224</v>
      </c>
      <c r="I393" s="4"/>
      <c r="J393" s="4"/>
      <c r="K393" s="4"/>
      <c r="L393" s="4"/>
      <c r="M393" s="4"/>
      <c r="N393" s="4"/>
      <c r="O393" s="4"/>
      <c r="P393" s="4"/>
      <c r="Q393" s="4"/>
      <c r="R393" s="4"/>
      <c r="S393" s="4"/>
      <c r="T393" s="4"/>
      <c r="U393" s="4"/>
      <c r="V393" s="4"/>
      <c r="W393" s="4"/>
      <c r="X393" s="4"/>
      <c r="Y393" s="4"/>
    </row>
    <row r="394">
      <c r="A394" s="11">
        <v>393.0</v>
      </c>
      <c r="B394" s="11" t="s">
        <v>1103</v>
      </c>
      <c r="C394" s="6" t="s">
        <v>1104</v>
      </c>
      <c r="D394" s="11">
        <v>2025.0</v>
      </c>
      <c r="E394" s="11" t="s">
        <v>1105</v>
      </c>
      <c r="F394" s="11" t="s">
        <v>20</v>
      </c>
      <c r="G394" s="11" t="s">
        <v>1033</v>
      </c>
      <c r="H394" s="11" t="s">
        <v>1224</v>
      </c>
      <c r="I394" s="4"/>
      <c r="J394" s="4"/>
      <c r="K394" s="4"/>
      <c r="L394" s="4"/>
      <c r="M394" s="4"/>
      <c r="N394" s="4"/>
      <c r="O394" s="4"/>
      <c r="P394" s="4"/>
      <c r="Q394" s="4"/>
      <c r="R394" s="4"/>
      <c r="S394" s="4"/>
      <c r="T394" s="4"/>
      <c r="U394" s="4"/>
      <c r="V394" s="4"/>
      <c r="W394" s="4"/>
      <c r="X394" s="4"/>
      <c r="Y394" s="4"/>
    </row>
    <row r="395">
      <c r="A395" s="11">
        <v>394.0</v>
      </c>
      <c r="B395" s="11" t="s">
        <v>1106</v>
      </c>
      <c r="C395" s="6" t="s">
        <v>1107</v>
      </c>
      <c r="D395" s="11">
        <v>2016.0</v>
      </c>
      <c r="E395" s="11" t="s">
        <v>1090</v>
      </c>
      <c r="F395" s="11" t="s">
        <v>20</v>
      </c>
      <c r="G395" s="11" t="s">
        <v>1033</v>
      </c>
      <c r="H395" s="11" t="s">
        <v>1224</v>
      </c>
      <c r="I395" s="4"/>
      <c r="J395" s="4"/>
      <c r="K395" s="4"/>
      <c r="L395" s="4"/>
      <c r="M395" s="4"/>
      <c r="N395" s="4"/>
      <c r="O395" s="4"/>
      <c r="P395" s="4"/>
      <c r="Q395" s="4"/>
      <c r="R395" s="4"/>
      <c r="S395" s="4"/>
      <c r="T395" s="4"/>
      <c r="U395" s="4"/>
      <c r="V395" s="4"/>
      <c r="W395" s="4"/>
      <c r="X395" s="4"/>
      <c r="Y395" s="4"/>
    </row>
    <row r="396">
      <c r="A396" s="12">
        <v>395.0</v>
      </c>
      <c r="B396" s="11" t="s">
        <v>1108</v>
      </c>
      <c r="C396" s="6" t="s">
        <v>1109</v>
      </c>
      <c r="D396" s="11">
        <v>2021.0</v>
      </c>
      <c r="E396" s="11" t="s">
        <v>1110</v>
      </c>
      <c r="F396" s="11" t="s">
        <v>20</v>
      </c>
      <c r="G396" s="11" t="s">
        <v>1033</v>
      </c>
      <c r="H396" s="11" t="s">
        <v>1224</v>
      </c>
      <c r="I396" s="4"/>
      <c r="J396" s="4"/>
      <c r="K396" s="4"/>
      <c r="L396" s="4"/>
      <c r="M396" s="4"/>
      <c r="N396" s="4"/>
      <c r="O396" s="4"/>
      <c r="P396" s="4"/>
      <c r="Q396" s="4"/>
      <c r="R396" s="4"/>
      <c r="S396" s="4"/>
      <c r="T396" s="4"/>
      <c r="U396" s="4"/>
      <c r="V396" s="4"/>
      <c r="W396" s="4"/>
      <c r="X396" s="4"/>
      <c r="Y396" s="4"/>
    </row>
    <row r="397">
      <c r="A397" s="11">
        <v>396.0</v>
      </c>
      <c r="B397" s="11" t="s">
        <v>1111</v>
      </c>
      <c r="C397" s="6" t="s">
        <v>1112</v>
      </c>
      <c r="D397" s="11">
        <v>2023.0</v>
      </c>
      <c r="E397" s="11" t="s">
        <v>1113</v>
      </c>
      <c r="F397" s="11" t="s">
        <v>20</v>
      </c>
      <c r="G397" s="11" t="s">
        <v>1033</v>
      </c>
      <c r="H397" s="11" t="s">
        <v>1224</v>
      </c>
      <c r="I397" s="4"/>
      <c r="J397" s="4"/>
      <c r="K397" s="4"/>
      <c r="L397" s="4"/>
      <c r="M397" s="4"/>
      <c r="N397" s="4"/>
      <c r="O397" s="4"/>
      <c r="P397" s="4"/>
      <c r="Q397" s="4"/>
      <c r="R397" s="4"/>
      <c r="S397" s="4"/>
      <c r="T397" s="4"/>
      <c r="U397" s="4"/>
      <c r="V397" s="4"/>
      <c r="W397" s="4"/>
      <c r="X397" s="4"/>
      <c r="Y397" s="4"/>
    </row>
    <row r="398">
      <c r="A398" s="11">
        <v>397.0</v>
      </c>
      <c r="B398" s="11" t="s">
        <v>1114</v>
      </c>
      <c r="C398" s="6" t="s">
        <v>1115</v>
      </c>
      <c r="D398" s="11">
        <v>2022.0</v>
      </c>
      <c r="E398" s="11" t="s">
        <v>1116</v>
      </c>
      <c r="F398" s="11" t="s">
        <v>20</v>
      </c>
      <c r="G398" s="11" t="s">
        <v>49</v>
      </c>
      <c r="H398" s="11" t="s">
        <v>1224</v>
      </c>
      <c r="I398" s="4"/>
      <c r="J398" s="4"/>
      <c r="K398" s="4"/>
      <c r="L398" s="4"/>
      <c r="M398" s="4"/>
      <c r="N398" s="4"/>
      <c r="O398" s="4"/>
      <c r="P398" s="4"/>
      <c r="Q398" s="4"/>
      <c r="R398" s="4"/>
      <c r="S398" s="4"/>
      <c r="T398" s="4"/>
      <c r="U398" s="4"/>
      <c r="V398" s="4"/>
      <c r="W398" s="4"/>
      <c r="X398" s="4"/>
      <c r="Y398" s="4"/>
    </row>
    <row r="399">
      <c r="A399" s="12">
        <v>398.0</v>
      </c>
      <c r="B399" s="11" t="s">
        <v>1117</v>
      </c>
      <c r="C399" s="6" t="s">
        <v>1118</v>
      </c>
      <c r="D399" s="11">
        <v>2025.0</v>
      </c>
      <c r="E399" s="4"/>
      <c r="F399" s="11" t="s">
        <v>20</v>
      </c>
      <c r="G399" s="11" t="s">
        <v>49</v>
      </c>
      <c r="H399" s="11" t="s">
        <v>1224</v>
      </c>
      <c r="I399" s="4"/>
      <c r="J399" s="4"/>
      <c r="K399" s="4"/>
      <c r="L399" s="4"/>
      <c r="M399" s="4"/>
      <c r="N399" s="4"/>
      <c r="O399" s="4"/>
      <c r="P399" s="4"/>
      <c r="Q399" s="4"/>
      <c r="R399" s="4"/>
      <c r="S399" s="4"/>
      <c r="T399" s="4"/>
      <c r="U399" s="4"/>
      <c r="V399" s="4"/>
      <c r="W399" s="4"/>
      <c r="X399" s="4"/>
      <c r="Y399" s="4"/>
    </row>
    <row r="400">
      <c r="A400" s="11">
        <v>399.0</v>
      </c>
      <c r="B400" s="11" t="s">
        <v>1119</v>
      </c>
      <c r="C400" s="6" t="s">
        <v>1120</v>
      </c>
      <c r="D400" s="11">
        <v>2021.0</v>
      </c>
      <c r="E400" s="11" t="s">
        <v>1121</v>
      </c>
      <c r="F400" s="11" t="s">
        <v>20</v>
      </c>
      <c r="G400" s="11" t="s">
        <v>1033</v>
      </c>
      <c r="H400" s="11" t="s">
        <v>1224</v>
      </c>
      <c r="I400" s="4"/>
      <c r="J400" s="4"/>
      <c r="K400" s="4"/>
      <c r="L400" s="4"/>
      <c r="M400" s="4"/>
      <c r="N400" s="4"/>
      <c r="O400" s="4"/>
      <c r="P400" s="4"/>
      <c r="Q400" s="4"/>
      <c r="R400" s="4"/>
      <c r="S400" s="4"/>
      <c r="T400" s="4"/>
      <c r="U400" s="4"/>
      <c r="V400" s="4"/>
      <c r="W400" s="4"/>
      <c r="X400" s="4"/>
      <c r="Y400" s="4"/>
    </row>
    <row r="401">
      <c r="A401" s="11">
        <v>400.0</v>
      </c>
      <c r="B401" s="11" t="s">
        <v>1122</v>
      </c>
      <c r="C401" s="6" t="s">
        <v>1123</v>
      </c>
      <c r="D401" s="11">
        <v>2021.0</v>
      </c>
      <c r="E401" s="11" t="s">
        <v>1124</v>
      </c>
      <c r="F401" s="11" t="s">
        <v>20</v>
      </c>
      <c r="G401" s="11" t="s">
        <v>1033</v>
      </c>
      <c r="H401" s="11" t="s">
        <v>1224</v>
      </c>
      <c r="I401" s="4"/>
      <c r="J401" s="4"/>
      <c r="K401" s="4"/>
      <c r="L401" s="4"/>
      <c r="M401" s="4"/>
      <c r="N401" s="4"/>
      <c r="O401" s="4"/>
      <c r="P401" s="4"/>
      <c r="Q401" s="4"/>
      <c r="R401" s="4"/>
      <c r="S401" s="4"/>
      <c r="T401" s="4"/>
      <c r="U401" s="4"/>
      <c r="V401" s="4"/>
      <c r="W401" s="4"/>
      <c r="X401" s="4"/>
      <c r="Y401" s="4"/>
    </row>
    <row r="402">
      <c r="A402" s="12">
        <v>401.0</v>
      </c>
      <c r="B402" s="11" t="s">
        <v>1125</v>
      </c>
      <c r="C402" s="6" t="s">
        <v>1126</v>
      </c>
      <c r="D402" s="11">
        <v>2025.0</v>
      </c>
      <c r="E402" s="11" t="s">
        <v>1127</v>
      </c>
      <c r="F402" s="11" t="s">
        <v>20</v>
      </c>
      <c r="G402" s="11" t="s">
        <v>1033</v>
      </c>
      <c r="H402" s="11" t="s">
        <v>1224</v>
      </c>
      <c r="I402" s="4"/>
      <c r="J402" s="4"/>
      <c r="K402" s="4"/>
      <c r="L402" s="4"/>
      <c r="M402" s="4"/>
      <c r="N402" s="4"/>
      <c r="O402" s="4"/>
      <c r="P402" s="4"/>
      <c r="Q402" s="4"/>
      <c r="R402" s="4"/>
      <c r="S402" s="4"/>
      <c r="T402" s="4"/>
      <c r="U402" s="4"/>
      <c r="V402" s="4"/>
      <c r="W402" s="4"/>
      <c r="X402" s="4"/>
      <c r="Y402" s="4"/>
    </row>
    <row r="403">
      <c r="A403" s="11">
        <v>402.0</v>
      </c>
      <c r="B403" s="11" t="s">
        <v>1128</v>
      </c>
      <c r="C403" s="6" t="s">
        <v>1129</v>
      </c>
      <c r="D403" s="11">
        <v>2025.0</v>
      </c>
      <c r="E403" s="11" t="s">
        <v>1130</v>
      </c>
      <c r="F403" s="11" t="s">
        <v>20</v>
      </c>
      <c r="G403" s="11" t="s">
        <v>1033</v>
      </c>
      <c r="H403" s="11" t="s">
        <v>1224</v>
      </c>
      <c r="I403" s="4"/>
      <c r="J403" s="4"/>
      <c r="K403" s="4"/>
      <c r="L403" s="4"/>
      <c r="M403" s="4"/>
      <c r="N403" s="4"/>
      <c r="O403" s="4"/>
      <c r="P403" s="4"/>
      <c r="Q403" s="4"/>
      <c r="R403" s="4"/>
      <c r="S403" s="4"/>
      <c r="T403" s="4"/>
      <c r="U403" s="4"/>
      <c r="V403" s="4"/>
      <c r="W403" s="4"/>
      <c r="X403" s="4"/>
      <c r="Y403" s="4"/>
    </row>
    <row r="404">
      <c r="A404" s="11">
        <v>403.0</v>
      </c>
      <c r="B404" s="11" t="s">
        <v>1131</v>
      </c>
      <c r="C404" s="6" t="s">
        <v>1132</v>
      </c>
      <c r="D404" s="11">
        <v>2020.0</v>
      </c>
      <c r="E404" s="11" t="s">
        <v>1133</v>
      </c>
      <c r="F404" s="11" t="s">
        <v>20</v>
      </c>
      <c r="G404" s="11" t="s">
        <v>1033</v>
      </c>
      <c r="H404" s="11" t="s">
        <v>1224</v>
      </c>
      <c r="I404" s="4"/>
      <c r="J404" s="4"/>
      <c r="K404" s="4"/>
      <c r="L404" s="4"/>
      <c r="M404" s="4"/>
      <c r="N404" s="4"/>
      <c r="O404" s="4"/>
      <c r="P404" s="4"/>
      <c r="Q404" s="4"/>
      <c r="R404" s="4"/>
      <c r="S404" s="4"/>
      <c r="T404" s="4"/>
      <c r="U404" s="4"/>
      <c r="V404" s="4"/>
      <c r="W404" s="4"/>
      <c r="X404" s="4"/>
      <c r="Y404" s="4"/>
    </row>
    <row r="405">
      <c r="A405" s="12">
        <v>404.0</v>
      </c>
      <c r="B405" s="11" t="s">
        <v>1134</v>
      </c>
      <c r="C405" s="6" t="s">
        <v>1135</v>
      </c>
      <c r="D405" s="11">
        <v>2016.0</v>
      </c>
      <c r="E405" s="11" t="s">
        <v>1136</v>
      </c>
      <c r="F405" s="11" t="s">
        <v>20</v>
      </c>
      <c r="G405" s="11" t="s">
        <v>49</v>
      </c>
      <c r="H405" s="11" t="s">
        <v>1224</v>
      </c>
      <c r="I405" s="4"/>
      <c r="J405" s="4"/>
      <c r="K405" s="4"/>
      <c r="L405" s="4"/>
      <c r="M405" s="4"/>
      <c r="N405" s="4"/>
      <c r="O405" s="4"/>
      <c r="P405" s="4"/>
      <c r="Q405" s="4"/>
      <c r="R405" s="4"/>
      <c r="S405" s="4"/>
      <c r="T405" s="4"/>
      <c r="U405" s="4"/>
      <c r="V405" s="4"/>
      <c r="W405" s="4"/>
      <c r="X405" s="4"/>
      <c r="Y405" s="4"/>
    </row>
    <row r="406">
      <c r="A406" s="11">
        <v>405.0</v>
      </c>
      <c r="B406" s="11" t="s">
        <v>1137</v>
      </c>
      <c r="C406" s="6" t="s">
        <v>1138</v>
      </c>
      <c r="D406" s="11">
        <v>2018.0</v>
      </c>
      <c r="E406" s="11" t="s">
        <v>1139</v>
      </c>
      <c r="F406" s="11" t="s">
        <v>20</v>
      </c>
      <c r="G406" s="11" t="s">
        <v>1033</v>
      </c>
      <c r="H406" s="11" t="s">
        <v>1224</v>
      </c>
      <c r="I406" s="4"/>
      <c r="J406" s="4"/>
      <c r="K406" s="4"/>
      <c r="L406" s="4"/>
      <c r="M406" s="4"/>
      <c r="N406" s="4"/>
      <c r="O406" s="4"/>
      <c r="P406" s="4"/>
      <c r="Q406" s="4"/>
      <c r="R406" s="4"/>
      <c r="S406" s="4"/>
      <c r="T406" s="4"/>
      <c r="U406" s="4"/>
      <c r="V406" s="4"/>
      <c r="W406" s="4"/>
      <c r="X406" s="4"/>
      <c r="Y406" s="4"/>
    </row>
    <row r="407">
      <c r="A407" s="11">
        <v>406.0</v>
      </c>
      <c r="B407" s="11" t="s">
        <v>1140</v>
      </c>
      <c r="C407" s="6" t="s">
        <v>1141</v>
      </c>
      <c r="D407" s="11">
        <v>2024.0</v>
      </c>
      <c r="E407" s="11" t="s">
        <v>1142</v>
      </c>
      <c r="F407" s="11" t="s">
        <v>20</v>
      </c>
      <c r="G407" s="11" t="s">
        <v>1033</v>
      </c>
      <c r="H407" s="11" t="s">
        <v>1224</v>
      </c>
      <c r="I407" s="4"/>
      <c r="J407" s="4"/>
      <c r="K407" s="4"/>
      <c r="L407" s="4"/>
      <c r="M407" s="4"/>
      <c r="N407" s="4"/>
      <c r="O407" s="4"/>
      <c r="P407" s="4"/>
      <c r="Q407" s="4"/>
      <c r="R407" s="4"/>
      <c r="S407" s="4"/>
      <c r="T407" s="4"/>
      <c r="U407" s="4"/>
      <c r="V407" s="4"/>
      <c r="W407" s="4"/>
      <c r="X407" s="4"/>
      <c r="Y407" s="4"/>
    </row>
    <row r="408">
      <c r="A408" s="12">
        <v>407.0</v>
      </c>
      <c r="B408" s="11" t="s">
        <v>1143</v>
      </c>
      <c r="C408" s="6" t="s">
        <v>1144</v>
      </c>
      <c r="D408" s="11">
        <v>2019.0</v>
      </c>
      <c r="E408" s="11" t="s">
        <v>1145</v>
      </c>
      <c r="F408" s="11" t="s">
        <v>20</v>
      </c>
      <c r="G408" s="11" t="s">
        <v>1033</v>
      </c>
      <c r="H408" s="11" t="s">
        <v>1224</v>
      </c>
      <c r="I408" s="4"/>
      <c r="J408" s="4"/>
      <c r="K408" s="4"/>
      <c r="L408" s="4"/>
      <c r="M408" s="4"/>
      <c r="N408" s="4"/>
      <c r="O408" s="4"/>
      <c r="P408" s="4"/>
      <c r="Q408" s="4"/>
      <c r="R408" s="4"/>
      <c r="S408" s="4"/>
      <c r="T408" s="4"/>
      <c r="U408" s="4"/>
      <c r="V408" s="4"/>
      <c r="W408" s="4"/>
      <c r="X408" s="4"/>
      <c r="Y408" s="4"/>
    </row>
    <row r="409">
      <c r="A409" s="11">
        <v>408.0</v>
      </c>
      <c r="B409" s="11" t="s">
        <v>1146</v>
      </c>
      <c r="C409" s="6" t="s">
        <v>1147</v>
      </c>
      <c r="D409" s="11">
        <v>2022.0</v>
      </c>
      <c r="E409" s="4"/>
      <c r="F409" s="11" t="s">
        <v>20</v>
      </c>
      <c r="G409" s="11" t="s">
        <v>49</v>
      </c>
      <c r="H409" s="11" t="s">
        <v>1224</v>
      </c>
      <c r="I409" s="4"/>
      <c r="J409" s="4"/>
      <c r="K409" s="4"/>
      <c r="L409" s="4"/>
      <c r="M409" s="4"/>
      <c r="N409" s="4"/>
      <c r="O409" s="4"/>
      <c r="P409" s="4"/>
      <c r="Q409" s="4"/>
      <c r="R409" s="4"/>
      <c r="S409" s="4"/>
      <c r="T409" s="4"/>
      <c r="U409" s="4"/>
      <c r="V409" s="4"/>
      <c r="W409" s="4"/>
      <c r="X409" s="4"/>
      <c r="Y409" s="4"/>
    </row>
    <row r="410">
      <c r="A410" s="11">
        <v>409.0</v>
      </c>
      <c r="B410" s="11" t="s">
        <v>1148</v>
      </c>
      <c r="C410" s="6" t="s">
        <v>1149</v>
      </c>
      <c r="D410" s="11">
        <v>2021.0</v>
      </c>
      <c r="E410" s="11" t="s">
        <v>1150</v>
      </c>
      <c r="F410" s="11" t="s">
        <v>20</v>
      </c>
      <c r="G410" s="11" t="s">
        <v>1033</v>
      </c>
      <c r="H410" s="11" t="s">
        <v>1224</v>
      </c>
      <c r="I410" s="4"/>
      <c r="J410" s="4"/>
      <c r="K410" s="4"/>
      <c r="L410" s="4"/>
      <c r="M410" s="4"/>
      <c r="N410" s="4"/>
      <c r="O410" s="4"/>
      <c r="P410" s="4"/>
      <c r="Q410" s="4"/>
      <c r="R410" s="4"/>
      <c r="S410" s="4"/>
      <c r="T410" s="4"/>
      <c r="U410" s="4"/>
      <c r="V410" s="4"/>
      <c r="W410" s="4"/>
      <c r="X410" s="4"/>
      <c r="Y410" s="4"/>
    </row>
    <row r="411">
      <c r="A411" s="12">
        <v>410.0</v>
      </c>
      <c r="B411" s="18" t="s">
        <v>1151</v>
      </c>
      <c r="C411" s="6" t="s">
        <v>1152</v>
      </c>
      <c r="D411" s="4"/>
      <c r="E411" s="4"/>
      <c r="F411" s="11" t="s">
        <v>20</v>
      </c>
      <c r="G411" s="11" t="s">
        <v>49</v>
      </c>
      <c r="H411" s="11" t="s">
        <v>1225</v>
      </c>
      <c r="I411" s="4"/>
      <c r="J411" s="4"/>
      <c r="K411" s="4"/>
      <c r="L411" s="4"/>
      <c r="M411" s="4"/>
      <c r="N411" s="4"/>
      <c r="O411" s="4"/>
      <c r="P411" s="4"/>
      <c r="Q411" s="4"/>
      <c r="R411" s="4"/>
      <c r="S411" s="4"/>
      <c r="T411" s="4"/>
      <c r="U411" s="4"/>
      <c r="V411" s="4"/>
      <c r="W411" s="4"/>
      <c r="X411" s="4"/>
      <c r="Y411" s="4"/>
    </row>
    <row r="412">
      <c r="A412" s="11">
        <v>411.0</v>
      </c>
      <c r="B412" s="11" t="s">
        <v>1153</v>
      </c>
      <c r="C412" s="6" t="s">
        <v>1154</v>
      </c>
      <c r="D412" s="11">
        <v>2017.0</v>
      </c>
      <c r="E412" s="11" t="s">
        <v>1127</v>
      </c>
      <c r="F412" s="11" t="s">
        <v>20</v>
      </c>
      <c r="G412" s="11" t="s">
        <v>1033</v>
      </c>
      <c r="H412" s="11" t="s">
        <v>1224</v>
      </c>
      <c r="I412" s="4"/>
      <c r="J412" s="4"/>
      <c r="K412" s="4"/>
      <c r="L412" s="4"/>
      <c r="M412" s="4"/>
      <c r="N412" s="4"/>
      <c r="O412" s="4"/>
      <c r="P412" s="4"/>
      <c r="Q412" s="4"/>
      <c r="R412" s="4"/>
      <c r="S412" s="4"/>
      <c r="T412" s="4"/>
      <c r="U412" s="4"/>
      <c r="V412" s="4"/>
      <c r="W412" s="4"/>
      <c r="X412" s="4"/>
      <c r="Y412" s="4"/>
    </row>
    <row r="413">
      <c r="A413" s="11">
        <v>412.0</v>
      </c>
      <c r="B413" s="11" t="s">
        <v>1155</v>
      </c>
      <c r="C413" s="6" t="s">
        <v>1156</v>
      </c>
      <c r="D413" s="11">
        <v>2015.0</v>
      </c>
      <c r="E413" s="11" t="s">
        <v>1157</v>
      </c>
      <c r="F413" s="11" t="s">
        <v>20</v>
      </c>
      <c r="G413" s="11" t="s">
        <v>1033</v>
      </c>
      <c r="H413" s="11" t="s">
        <v>1224</v>
      </c>
      <c r="I413" s="4"/>
      <c r="J413" s="4"/>
      <c r="K413" s="4"/>
      <c r="L413" s="4"/>
      <c r="M413" s="4"/>
      <c r="N413" s="4"/>
      <c r="O413" s="4"/>
      <c r="P413" s="4"/>
      <c r="Q413" s="4"/>
      <c r="R413" s="4"/>
      <c r="S413" s="4"/>
      <c r="T413" s="4"/>
      <c r="U413" s="4"/>
      <c r="V413" s="4"/>
      <c r="W413" s="4"/>
      <c r="X413" s="4"/>
      <c r="Y413" s="4"/>
    </row>
    <row r="414">
      <c r="A414" s="12">
        <v>413.0</v>
      </c>
      <c r="B414" s="11" t="s">
        <v>1158</v>
      </c>
      <c r="C414" s="6" t="s">
        <v>1159</v>
      </c>
      <c r="D414" s="11">
        <v>2022.0</v>
      </c>
      <c r="E414" s="11" t="s">
        <v>1160</v>
      </c>
      <c r="F414" s="11" t="s">
        <v>20</v>
      </c>
      <c r="G414" s="11" t="s">
        <v>1033</v>
      </c>
      <c r="H414" s="11" t="s">
        <v>1224</v>
      </c>
      <c r="I414" s="4"/>
      <c r="J414" s="4"/>
      <c r="K414" s="4"/>
      <c r="L414" s="4"/>
      <c r="M414" s="4"/>
      <c r="N414" s="4"/>
      <c r="O414" s="4"/>
      <c r="P414" s="4"/>
      <c r="Q414" s="4"/>
      <c r="R414" s="4"/>
      <c r="S414" s="4"/>
      <c r="T414" s="4"/>
      <c r="U414" s="4"/>
      <c r="V414" s="4"/>
      <c r="W414" s="4"/>
      <c r="X414" s="4"/>
      <c r="Y414" s="4"/>
    </row>
    <row r="415">
      <c r="A415" s="11">
        <v>414.0</v>
      </c>
      <c r="B415" s="18" t="s">
        <v>1161</v>
      </c>
      <c r="C415" s="6" t="s">
        <v>1162</v>
      </c>
      <c r="D415" s="11">
        <v>2020.0</v>
      </c>
      <c r="E415" s="11" t="s">
        <v>1163</v>
      </c>
      <c r="F415" s="11" t="s">
        <v>20</v>
      </c>
      <c r="G415" s="11" t="s">
        <v>1033</v>
      </c>
      <c r="H415" s="11" t="s">
        <v>1225</v>
      </c>
      <c r="I415" s="4"/>
      <c r="J415" s="4"/>
      <c r="K415" s="4"/>
      <c r="L415" s="4"/>
      <c r="M415" s="4"/>
      <c r="N415" s="4"/>
      <c r="O415" s="4"/>
      <c r="P415" s="4"/>
      <c r="Q415" s="4"/>
      <c r="R415" s="4"/>
      <c r="S415" s="4"/>
      <c r="T415" s="4"/>
      <c r="U415" s="4"/>
      <c r="V415" s="4"/>
      <c r="W415" s="4"/>
      <c r="X415" s="4"/>
      <c r="Y415" s="4"/>
    </row>
    <row r="416">
      <c r="A416" s="11">
        <v>415.0</v>
      </c>
      <c r="B416" s="11" t="s">
        <v>1164</v>
      </c>
      <c r="C416" s="6" t="s">
        <v>1165</v>
      </c>
      <c r="D416" s="11">
        <v>2025.0</v>
      </c>
      <c r="E416" s="11" t="s">
        <v>1166</v>
      </c>
      <c r="F416" s="11" t="s">
        <v>20</v>
      </c>
      <c r="G416" s="11" t="s">
        <v>49</v>
      </c>
      <c r="H416" s="11" t="s">
        <v>1224</v>
      </c>
      <c r="I416" s="4"/>
      <c r="J416" s="4"/>
      <c r="K416" s="4"/>
      <c r="L416" s="4"/>
      <c r="M416" s="4"/>
      <c r="N416" s="4"/>
      <c r="O416" s="4"/>
      <c r="P416" s="4"/>
      <c r="Q416" s="4"/>
      <c r="R416" s="4"/>
      <c r="S416" s="4"/>
      <c r="T416" s="4"/>
      <c r="U416" s="4"/>
      <c r="V416" s="4"/>
      <c r="W416" s="4"/>
      <c r="X416" s="4"/>
      <c r="Y416" s="4"/>
    </row>
    <row r="417">
      <c r="A417" s="12">
        <v>416.0</v>
      </c>
      <c r="B417" s="4" t="s">
        <v>1167</v>
      </c>
      <c r="C417" s="3" t="s">
        <v>1168</v>
      </c>
      <c r="D417" s="4">
        <v>2017.0</v>
      </c>
      <c r="E417" s="4" t="s">
        <v>1169</v>
      </c>
      <c r="F417" s="4" t="s">
        <v>22</v>
      </c>
      <c r="G417" s="4" t="s">
        <v>49</v>
      </c>
      <c r="H417" s="11" t="s">
        <v>1225</v>
      </c>
      <c r="I417" s="11"/>
      <c r="J417" s="4"/>
      <c r="K417" s="4"/>
      <c r="L417" s="4"/>
      <c r="M417" s="4"/>
      <c r="N417" s="4"/>
      <c r="O417" s="4"/>
      <c r="P417" s="4"/>
      <c r="Q417" s="4"/>
      <c r="R417" s="4"/>
      <c r="S417" s="4"/>
      <c r="T417" s="4"/>
      <c r="U417" s="4"/>
      <c r="V417" s="4"/>
      <c r="W417" s="4"/>
      <c r="X417" s="4"/>
      <c r="Y417" s="4"/>
    </row>
    <row r="418">
      <c r="A418" s="4">
        <v>417.0</v>
      </c>
      <c r="B418" s="4" t="s">
        <v>1170</v>
      </c>
      <c r="C418" s="3" t="s">
        <v>1171</v>
      </c>
      <c r="D418" s="4">
        <v>2020.0</v>
      </c>
      <c r="E418" s="4" t="s">
        <v>1172</v>
      </c>
      <c r="F418" s="4" t="s">
        <v>22</v>
      </c>
      <c r="G418" s="4" t="s">
        <v>49</v>
      </c>
      <c r="H418" s="11" t="s">
        <v>1225</v>
      </c>
      <c r="I418" s="11"/>
      <c r="J418" s="4"/>
      <c r="K418" s="4"/>
      <c r="L418" s="4"/>
      <c r="M418" s="4"/>
      <c r="N418" s="4"/>
      <c r="O418" s="4"/>
      <c r="P418" s="4"/>
      <c r="Q418" s="4"/>
      <c r="R418" s="4"/>
      <c r="S418" s="4"/>
      <c r="T418" s="4"/>
      <c r="U418" s="4"/>
      <c r="V418" s="4"/>
      <c r="W418" s="4"/>
      <c r="X418" s="4"/>
      <c r="Y418" s="4"/>
    </row>
    <row r="419">
      <c r="A419" s="4">
        <v>418.0</v>
      </c>
      <c r="B419" s="4" t="s">
        <v>43</v>
      </c>
      <c r="C419" s="3" t="s">
        <v>1173</v>
      </c>
      <c r="D419" s="4">
        <v>2020.0</v>
      </c>
      <c r="E419" s="4" t="s">
        <v>45</v>
      </c>
      <c r="F419" s="4" t="s">
        <v>22</v>
      </c>
      <c r="G419" s="4" t="s">
        <v>49</v>
      </c>
      <c r="H419" s="11" t="s">
        <v>1225</v>
      </c>
      <c r="I419" s="11" t="s">
        <v>1227</v>
      </c>
      <c r="J419" s="4"/>
      <c r="K419" s="4"/>
      <c r="L419" s="4"/>
      <c r="M419" s="4"/>
      <c r="N419" s="4"/>
      <c r="O419" s="4"/>
      <c r="P419" s="4"/>
      <c r="Q419" s="4"/>
      <c r="R419" s="4"/>
      <c r="S419" s="4"/>
      <c r="T419" s="4"/>
      <c r="U419" s="4"/>
      <c r="V419" s="4"/>
      <c r="W419" s="4"/>
      <c r="X419" s="4"/>
      <c r="Y419" s="4"/>
    </row>
    <row r="420">
      <c r="A420" s="4">
        <v>419.0</v>
      </c>
      <c r="B420" s="4" t="s">
        <v>153</v>
      </c>
      <c r="C420" s="3" t="s">
        <v>1174</v>
      </c>
      <c r="D420" s="4">
        <v>2020.0</v>
      </c>
      <c r="E420" s="4" t="s">
        <v>1175</v>
      </c>
      <c r="F420" s="4" t="s">
        <v>22</v>
      </c>
      <c r="G420" s="4" t="s">
        <v>49</v>
      </c>
      <c r="H420" s="11" t="s">
        <v>1225</v>
      </c>
      <c r="I420" s="11" t="s">
        <v>1227</v>
      </c>
      <c r="J420" s="4"/>
      <c r="K420" s="4"/>
      <c r="L420" s="4"/>
      <c r="M420" s="4"/>
      <c r="N420" s="4"/>
      <c r="O420" s="4"/>
      <c r="P420" s="4"/>
      <c r="Q420" s="4"/>
      <c r="R420" s="4"/>
      <c r="S420" s="4"/>
      <c r="T420" s="4"/>
      <c r="U420" s="4"/>
      <c r="V420" s="4"/>
      <c r="W420" s="4"/>
      <c r="X420" s="4"/>
      <c r="Y420" s="4"/>
    </row>
    <row r="421">
      <c r="A421" s="4">
        <v>420.0</v>
      </c>
      <c r="B421" s="4" t="s">
        <v>1176</v>
      </c>
      <c r="C421" s="3" t="s">
        <v>1177</v>
      </c>
      <c r="D421" s="4">
        <v>2020.0</v>
      </c>
      <c r="E421" s="4"/>
      <c r="F421" s="4" t="s">
        <v>22</v>
      </c>
      <c r="G421" s="4"/>
      <c r="H421" s="11" t="s">
        <v>1224</v>
      </c>
      <c r="I421" s="4"/>
      <c r="J421" s="4"/>
      <c r="K421" s="4"/>
      <c r="L421" s="4"/>
      <c r="M421" s="4"/>
      <c r="N421" s="4"/>
      <c r="O421" s="4"/>
      <c r="P421" s="4"/>
      <c r="Q421" s="4"/>
      <c r="R421" s="4"/>
      <c r="S421" s="4"/>
      <c r="T421" s="4"/>
      <c r="U421" s="4"/>
      <c r="V421" s="4"/>
      <c r="W421" s="4"/>
      <c r="X421" s="4"/>
      <c r="Y421" s="4"/>
    </row>
    <row r="422">
      <c r="A422" s="4">
        <v>421.0</v>
      </c>
      <c r="B422" s="4" t="s">
        <v>56</v>
      </c>
      <c r="C422" s="3" t="s">
        <v>1178</v>
      </c>
      <c r="D422" s="4">
        <v>2015.0</v>
      </c>
      <c r="E422" s="4" t="s">
        <v>58</v>
      </c>
      <c r="F422" s="4" t="s">
        <v>22</v>
      </c>
      <c r="G422" s="4" t="s">
        <v>49</v>
      </c>
      <c r="H422" s="11" t="s">
        <v>1225</v>
      </c>
      <c r="I422" s="11" t="s">
        <v>1227</v>
      </c>
      <c r="J422" s="4"/>
      <c r="K422" s="4"/>
      <c r="L422" s="4"/>
      <c r="M422" s="4"/>
      <c r="N422" s="4"/>
      <c r="O422" s="4"/>
      <c r="P422" s="4"/>
      <c r="Q422" s="4"/>
      <c r="R422" s="4"/>
      <c r="S422" s="4"/>
      <c r="T422" s="4"/>
      <c r="U422" s="4"/>
      <c r="V422" s="4"/>
      <c r="W422" s="4"/>
      <c r="X422" s="4"/>
      <c r="Y422" s="4"/>
    </row>
    <row r="423">
      <c r="A423" s="4">
        <v>422.0</v>
      </c>
      <c r="B423" s="4" t="s">
        <v>1179</v>
      </c>
      <c r="C423" s="3" t="s">
        <v>1180</v>
      </c>
      <c r="D423" s="4">
        <v>2024.0</v>
      </c>
      <c r="E423" s="4" t="s">
        <v>1181</v>
      </c>
      <c r="F423" s="4" t="s">
        <v>22</v>
      </c>
      <c r="G423" s="4" t="s">
        <v>49</v>
      </c>
      <c r="H423" s="11" t="s">
        <v>1224</v>
      </c>
      <c r="I423" s="4"/>
      <c r="J423" s="4"/>
      <c r="K423" s="4"/>
      <c r="L423" s="4"/>
      <c r="M423" s="4"/>
      <c r="N423" s="4"/>
      <c r="O423" s="4"/>
      <c r="P423" s="4"/>
      <c r="Q423" s="4"/>
      <c r="R423" s="4"/>
      <c r="S423" s="4"/>
      <c r="T423" s="4"/>
      <c r="U423" s="4"/>
      <c r="V423" s="4"/>
      <c r="W423" s="4"/>
      <c r="X423" s="4"/>
      <c r="Y423" s="4"/>
    </row>
    <row r="424">
      <c r="A424" s="4">
        <v>423.0</v>
      </c>
      <c r="B424" s="4" t="s">
        <v>1182</v>
      </c>
      <c r="C424" s="3" t="s">
        <v>1183</v>
      </c>
      <c r="D424" s="4">
        <v>2024.0</v>
      </c>
      <c r="E424" s="4" t="s">
        <v>1184</v>
      </c>
      <c r="F424" s="4" t="s">
        <v>22</v>
      </c>
      <c r="G424" s="4"/>
      <c r="H424" s="11" t="s">
        <v>1225</v>
      </c>
      <c r="I424" s="4"/>
      <c r="J424" s="4"/>
      <c r="K424" s="4"/>
      <c r="L424" s="4"/>
      <c r="M424" s="4"/>
      <c r="N424" s="4"/>
      <c r="O424" s="4"/>
      <c r="P424" s="4"/>
      <c r="Q424" s="4"/>
      <c r="R424" s="4"/>
      <c r="S424" s="4"/>
      <c r="T424" s="4"/>
      <c r="U424" s="4"/>
      <c r="V424" s="4"/>
      <c r="W424" s="4"/>
      <c r="X424" s="4"/>
      <c r="Y424" s="4"/>
    </row>
    <row r="425">
      <c r="A425" s="4">
        <v>424.0</v>
      </c>
      <c r="B425" s="4" t="s">
        <v>1185</v>
      </c>
      <c r="C425" s="3" t="s">
        <v>1186</v>
      </c>
      <c r="D425" s="4">
        <v>2017.0</v>
      </c>
      <c r="E425" s="4" t="s">
        <v>1184</v>
      </c>
      <c r="F425" s="4" t="s">
        <v>22</v>
      </c>
      <c r="G425" s="4"/>
      <c r="H425" s="11" t="s">
        <v>1225</v>
      </c>
      <c r="I425" s="4"/>
      <c r="J425" s="4"/>
      <c r="K425" s="4"/>
      <c r="L425" s="4"/>
      <c r="M425" s="4"/>
      <c r="N425" s="4"/>
      <c r="O425" s="4"/>
      <c r="P425" s="4"/>
      <c r="Q425" s="4"/>
      <c r="R425" s="4"/>
      <c r="S425" s="4"/>
      <c r="T425" s="4"/>
      <c r="U425" s="4"/>
      <c r="V425" s="4"/>
      <c r="W425" s="4"/>
      <c r="X425" s="4"/>
      <c r="Y425" s="4"/>
    </row>
    <row r="426">
      <c r="A426" s="4">
        <v>425.0</v>
      </c>
      <c r="B426" s="4" t="s">
        <v>1187</v>
      </c>
      <c r="C426" s="3" t="s">
        <v>1188</v>
      </c>
      <c r="D426" s="4">
        <v>2019.0</v>
      </c>
      <c r="E426" s="4" t="s">
        <v>1184</v>
      </c>
      <c r="F426" s="4" t="s">
        <v>22</v>
      </c>
      <c r="G426" s="4"/>
      <c r="H426" s="11" t="s">
        <v>1225</v>
      </c>
      <c r="I426" s="4"/>
      <c r="J426" s="4"/>
      <c r="K426" s="4"/>
      <c r="L426" s="4"/>
      <c r="M426" s="4"/>
      <c r="N426" s="4"/>
      <c r="O426" s="4"/>
      <c r="P426" s="4"/>
      <c r="Q426" s="4"/>
      <c r="R426" s="4"/>
      <c r="S426" s="4"/>
      <c r="T426" s="4"/>
      <c r="U426" s="4"/>
      <c r="V426" s="4"/>
      <c r="W426" s="4"/>
      <c r="X426" s="4"/>
      <c r="Y426" s="4"/>
    </row>
    <row r="427">
      <c r="A427" s="4">
        <v>426.0</v>
      </c>
      <c r="B427" s="4" t="s">
        <v>1189</v>
      </c>
      <c r="C427" s="3" t="s">
        <v>1184</v>
      </c>
      <c r="D427" s="4">
        <v>2016.0</v>
      </c>
      <c r="E427" s="4" t="s">
        <v>1184</v>
      </c>
      <c r="F427" s="4" t="s">
        <v>22</v>
      </c>
      <c r="G427" s="4"/>
      <c r="H427" s="11" t="s">
        <v>1225</v>
      </c>
      <c r="I427" s="4"/>
      <c r="J427" s="4"/>
      <c r="K427" s="4"/>
      <c r="L427" s="4"/>
      <c r="M427" s="4"/>
      <c r="N427" s="4"/>
      <c r="O427" s="4"/>
      <c r="P427" s="4"/>
      <c r="Q427" s="4"/>
      <c r="R427" s="4"/>
      <c r="S427" s="4"/>
      <c r="T427" s="4"/>
      <c r="U427" s="4"/>
      <c r="V427" s="4"/>
      <c r="W427" s="4"/>
      <c r="X427" s="4"/>
      <c r="Y427" s="4"/>
    </row>
    <row r="428">
      <c r="A428" s="4">
        <v>427.0</v>
      </c>
      <c r="B428" s="4" t="s">
        <v>1190</v>
      </c>
      <c r="C428" s="3" t="s">
        <v>1191</v>
      </c>
      <c r="D428" s="4">
        <v>2019.0</v>
      </c>
      <c r="E428" s="4" t="s">
        <v>1192</v>
      </c>
      <c r="F428" s="4" t="s">
        <v>22</v>
      </c>
      <c r="G428" s="4" t="s">
        <v>49</v>
      </c>
      <c r="H428" s="11" t="s">
        <v>1225</v>
      </c>
      <c r="I428" s="4"/>
      <c r="J428" s="4"/>
      <c r="K428" s="4"/>
      <c r="L428" s="4"/>
      <c r="M428" s="4"/>
      <c r="N428" s="4"/>
      <c r="O428" s="4"/>
      <c r="P428" s="4"/>
      <c r="Q428" s="4"/>
      <c r="R428" s="4"/>
      <c r="S428" s="4"/>
      <c r="T428" s="4"/>
      <c r="U428" s="4"/>
      <c r="V428" s="4"/>
      <c r="W428" s="4"/>
      <c r="X428" s="4"/>
      <c r="Y428" s="4"/>
    </row>
    <row r="429">
      <c r="A429" s="4">
        <v>428.0</v>
      </c>
      <c r="B429" s="4" t="s">
        <v>1193</v>
      </c>
      <c r="C429" s="3" t="s">
        <v>1194</v>
      </c>
      <c r="D429" s="4">
        <v>2019.0</v>
      </c>
      <c r="E429" s="4" t="s">
        <v>1184</v>
      </c>
      <c r="F429" s="4" t="s">
        <v>22</v>
      </c>
      <c r="G429" s="4"/>
      <c r="H429" s="11" t="s">
        <v>1225</v>
      </c>
      <c r="I429" s="11"/>
      <c r="J429" s="4"/>
      <c r="K429" s="4"/>
      <c r="L429" s="4"/>
      <c r="M429" s="4"/>
      <c r="N429" s="4"/>
      <c r="O429" s="4"/>
      <c r="P429" s="4"/>
      <c r="Q429" s="4"/>
      <c r="R429" s="4"/>
      <c r="S429" s="4"/>
      <c r="T429" s="4"/>
      <c r="U429" s="4"/>
      <c r="V429" s="4"/>
      <c r="W429" s="4"/>
      <c r="X429" s="4"/>
      <c r="Y429" s="4"/>
    </row>
    <row r="430">
      <c r="A430" s="4">
        <v>429.0</v>
      </c>
      <c r="B430" s="4" t="s">
        <v>1195</v>
      </c>
      <c r="C430" s="3" t="s">
        <v>1196</v>
      </c>
      <c r="D430" s="4">
        <v>2021.0</v>
      </c>
      <c r="E430" s="4" t="s">
        <v>1197</v>
      </c>
      <c r="F430" s="4" t="s">
        <v>24</v>
      </c>
      <c r="G430" s="4"/>
      <c r="H430" s="11" t="s">
        <v>1224</v>
      </c>
      <c r="I430" s="4"/>
      <c r="J430" s="4"/>
      <c r="K430" s="4"/>
      <c r="L430" s="4"/>
      <c r="M430" s="4"/>
      <c r="N430" s="4"/>
      <c r="O430" s="4"/>
      <c r="P430" s="4"/>
      <c r="Q430" s="4"/>
      <c r="R430" s="4"/>
      <c r="S430" s="4"/>
      <c r="T430" s="4"/>
      <c r="U430" s="4"/>
      <c r="V430" s="4"/>
      <c r="W430" s="4"/>
      <c r="X430" s="4"/>
      <c r="Y430" s="4"/>
    </row>
    <row r="431">
      <c r="A431" s="4">
        <v>430.0</v>
      </c>
      <c r="B431" s="4" t="s">
        <v>1198</v>
      </c>
      <c r="C431" s="3" t="s">
        <v>1199</v>
      </c>
      <c r="D431" s="4">
        <v>2017.0</v>
      </c>
      <c r="E431" s="4" t="s">
        <v>1200</v>
      </c>
      <c r="F431" s="4" t="s">
        <v>24</v>
      </c>
      <c r="G431" s="4"/>
      <c r="H431" s="11" t="s">
        <v>1225</v>
      </c>
      <c r="I431" s="11" t="s">
        <v>1227</v>
      </c>
      <c r="J431" s="4"/>
      <c r="K431" s="4"/>
      <c r="L431" s="4"/>
      <c r="M431" s="4"/>
      <c r="N431" s="4"/>
      <c r="O431" s="4"/>
      <c r="P431" s="4"/>
      <c r="Q431" s="4"/>
      <c r="R431" s="4"/>
      <c r="S431" s="4"/>
      <c r="T431" s="4"/>
      <c r="U431" s="4"/>
      <c r="V431" s="4"/>
      <c r="W431" s="4"/>
      <c r="X431" s="4"/>
      <c r="Y431" s="4"/>
    </row>
    <row r="432">
      <c r="A432" s="4">
        <v>431.0</v>
      </c>
      <c r="B432" s="4" t="s">
        <v>43</v>
      </c>
      <c r="C432" s="3" t="s">
        <v>1201</v>
      </c>
      <c r="D432" s="4">
        <v>2020.0</v>
      </c>
      <c r="E432" s="4" t="s">
        <v>1202</v>
      </c>
      <c r="F432" s="4" t="s">
        <v>24</v>
      </c>
      <c r="G432" s="4"/>
      <c r="H432" s="11" t="s">
        <v>1225</v>
      </c>
      <c r="I432" s="11" t="s">
        <v>1227</v>
      </c>
      <c r="J432" s="4"/>
      <c r="K432" s="4"/>
      <c r="L432" s="4"/>
      <c r="M432" s="4"/>
      <c r="N432" s="4"/>
      <c r="O432" s="4"/>
      <c r="P432" s="4"/>
      <c r="Q432" s="4"/>
      <c r="R432" s="4"/>
      <c r="S432" s="4"/>
      <c r="T432" s="4"/>
      <c r="U432" s="4"/>
      <c r="V432" s="4"/>
      <c r="W432" s="4"/>
      <c r="X432" s="4"/>
      <c r="Y432" s="4"/>
    </row>
    <row r="433">
      <c r="A433" s="4">
        <v>432.0</v>
      </c>
      <c r="B433" s="4" t="s">
        <v>1170</v>
      </c>
      <c r="C433" s="3" t="s">
        <v>1203</v>
      </c>
      <c r="D433" s="4">
        <v>2020.0</v>
      </c>
      <c r="E433" s="4" t="s">
        <v>1204</v>
      </c>
      <c r="F433" s="4" t="s">
        <v>24</v>
      </c>
      <c r="G433" s="4"/>
      <c r="H433" s="11" t="s">
        <v>1225</v>
      </c>
      <c r="I433" s="11" t="s">
        <v>1227</v>
      </c>
      <c r="J433" s="4"/>
      <c r="K433" s="4"/>
      <c r="L433" s="4"/>
      <c r="M433" s="4"/>
      <c r="N433" s="4"/>
      <c r="O433" s="4"/>
      <c r="P433" s="4"/>
      <c r="Q433" s="4"/>
      <c r="R433" s="4"/>
      <c r="S433" s="4"/>
      <c r="T433" s="4"/>
      <c r="U433" s="4"/>
      <c r="V433" s="4"/>
      <c r="W433" s="4"/>
      <c r="X433" s="4"/>
      <c r="Y433" s="4"/>
    </row>
    <row r="434">
      <c r="A434" s="4">
        <v>433.0</v>
      </c>
      <c r="B434" s="4" t="s">
        <v>153</v>
      </c>
      <c r="C434" s="3" t="s">
        <v>1205</v>
      </c>
      <c r="D434" s="4">
        <v>2020.0</v>
      </c>
      <c r="E434" s="4" t="s">
        <v>1206</v>
      </c>
      <c r="F434" s="4" t="s">
        <v>24</v>
      </c>
      <c r="G434" s="4"/>
      <c r="H434" s="11" t="s">
        <v>1225</v>
      </c>
      <c r="I434" s="11" t="s">
        <v>1227</v>
      </c>
      <c r="J434" s="4"/>
      <c r="K434" s="4"/>
      <c r="L434" s="4"/>
      <c r="M434" s="4"/>
      <c r="N434" s="4"/>
      <c r="O434" s="4"/>
      <c r="P434" s="4"/>
      <c r="Q434" s="4"/>
      <c r="R434" s="4"/>
      <c r="S434" s="4"/>
      <c r="T434" s="4"/>
      <c r="U434" s="4"/>
      <c r="V434" s="4"/>
      <c r="W434" s="4"/>
      <c r="X434" s="4"/>
      <c r="Y434" s="4"/>
    </row>
    <row r="435">
      <c r="A435" s="4">
        <v>434.0</v>
      </c>
      <c r="B435" s="4" t="s">
        <v>1207</v>
      </c>
      <c r="C435" s="3" t="s">
        <v>1208</v>
      </c>
      <c r="D435" s="4">
        <v>2015.0</v>
      </c>
      <c r="E435" s="4" t="s">
        <v>1209</v>
      </c>
      <c r="F435" s="4" t="s">
        <v>24</v>
      </c>
      <c r="G435" s="4"/>
      <c r="H435" s="11" t="s">
        <v>1225</v>
      </c>
      <c r="I435" s="11" t="s">
        <v>1227</v>
      </c>
      <c r="J435" s="4"/>
      <c r="K435" s="4"/>
      <c r="L435" s="4"/>
      <c r="M435" s="4"/>
      <c r="N435" s="4"/>
      <c r="O435" s="4"/>
      <c r="P435" s="4"/>
      <c r="Q435" s="4"/>
      <c r="R435" s="4"/>
      <c r="S435" s="4"/>
      <c r="T435" s="4"/>
      <c r="U435" s="4"/>
      <c r="V435" s="4"/>
      <c r="W435" s="4"/>
      <c r="X435" s="4"/>
      <c r="Y435" s="4"/>
    </row>
    <row r="436">
      <c r="A436" s="4">
        <v>435.0</v>
      </c>
      <c r="B436" s="4" t="s">
        <v>1210</v>
      </c>
      <c r="C436" s="3" t="s">
        <v>1211</v>
      </c>
      <c r="D436" s="4">
        <v>2024.0</v>
      </c>
      <c r="E436" s="4" t="s">
        <v>48</v>
      </c>
      <c r="F436" s="4" t="s">
        <v>24</v>
      </c>
      <c r="G436" s="4"/>
      <c r="H436" s="11" t="s">
        <v>1225</v>
      </c>
      <c r="I436" s="11" t="s">
        <v>1227</v>
      </c>
      <c r="J436" s="4"/>
      <c r="K436" s="4"/>
      <c r="L436" s="4"/>
      <c r="M436" s="4"/>
      <c r="N436" s="4"/>
      <c r="O436" s="4"/>
      <c r="P436" s="4"/>
      <c r="Q436" s="4"/>
      <c r="R436" s="4"/>
      <c r="S436" s="4"/>
      <c r="T436" s="4"/>
      <c r="U436" s="4"/>
      <c r="V436" s="4"/>
      <c r="W436" s="4"/>
      <c r="X436" s="4"/>
      <c r="Y436" s="4"/>
    </row>
    <row r="437">
      <c r="A437" s="4">
        <v>436.0</v>
      </c>
      <c r="B437" s="4" t="s">
        <v>1212</v>
      </c>
      <c r="C437" s="3" t="s">
        <v>1213</v>
      </c>
      <c r="D437" s="4">
        <v>2024.0</v>
      </c>
      <c r="E437" s="4" t="s">
        <v>1214</v>
      </c>
      <c r="F437" s="4" t="s">
        <v>24</v>
      </c>
      <c r="G437" s="4"/>
      <c r="H437" s="11" t="s">
        <v>1225</v>
      </c>
      <c r="I437" s="4"/>
      <c r="J437" s="4"/>
      <c r="K437" s="4"/>
      <c r="L437" s="4"/>
      <c r="M437" s="4"/>
      <c r="N437" s="4"/>
      <c r="O437" s="4"/>
      <c r="P437" s="4"/>
      <c r="Q437" s="4"/>
      <c r="R437" s="4"/>
      <c r="S437" s="4"/>
      <c r="T437" s="4"/>
      <c r="U437" s="4"/>
      <c r="V437" s="4"/>
      <c r="W437" s="4"/>
      <c r="X437" s="4"/>
      <c r="Y437" s="4"/>
    </row>
    <row r="438">
      <c r="A438" s="4">
        <v>437.0</v>
      </c>
      <c r="B438" s="4" t="s">
        <v>1215</v>
      </c>
      <c r="C438" s="3" t="s">
        <v>1216</v>
      </c>
      <c r="D438" s="4">
        <v>2017.0</v>
      </c>
      <c r="E438" s="4" t="s">
        <v>1217</v>
      </c>
      <c r="F438" s="4" t="s">
        <v>24</v>
      </c>
      <c r="G438" s="4"/>
      <c r="H438" s="11" t="s">
        <v>1224</v>
      </c>
      <c r="I438" s="4"/>
      <c r="J438" s="4"/>
      <c r="K438" s="4"/>
      <c r="L438" s="4"/>
      <c r="M438" s="4"/>
      <c r="N438" s="4"/>
      <c r="O438" s="4"/>
      <c r="P438" s="4"/>
      <c r="Q438" s="4"/>
      <c r="R438" s="4"/>
      <c r="S438" s="4"/>
      <c r="T438" s="4"/>
      <c r="U438" s="4"/>
      <c r="V438" s="4"/>
      <c r="W438" s="4"/>
      <c r="X438" s="4"/>
      <c r="Y438" s="4"/>
    </row>
    <row r="439">
      <c r="A439" s="4">
        <v>438.0</v>
      </c>
      <c r="B439" s="4" t="s">
        <v>1218</v>
      </c>
      <c r="C439" s="3"/>
      <c r="D439" s="4">
        <v>2022.0</v>
      </c>
      <c r="E439" s="4" t="s">
        <v>1206</v>
      </c>
      <c r="F439" s="4" t="s">
        <v>24</v>
      </c>
      <c r="G439" s="4"/>
      <c r="H439" s="11" t="s">
        <v>1225</v>
      </c>
      <c r="I439" s="4"/>
      <c r="J439" s="4"/>
      <c r="K439" s="4"/>
      <c r="L439" s="4"/>
      <c r="M439" s="4"/>
      <c r="N439" s="4"/>
      <c r="O439" s="4"/>
      <c r="P439" s="4"/>
      <c r="Q439" s="4"/>
      <c r="R439" s="4"/>
      <c r="S439" s="4"/>
      <c r="T439" s="4"/>
      <c r="U439" s="4"/>
      <c r="V439" s="4"/>
      <c r="W439" s="4"/>
      <c r="X439" s="4"/>
      <c r="Y439" s="4"/>
    </row>
    <row r="440">
      <c r="A440" s="4">
        <v>439.0</v>
      </c>
      <c r="B440" s="4" t="s">
        <v>1219</v>
      </c>
      <c r="C440" s="3"/>
      <c r="D440" s="4">
        <v>2020.0</v>
      </c>
      <c r="E440" s="4" t="s">
        <v>1206</v>
      </c>
      <c r="F440" s="4" t="s">
        <v>24</v>
      </c>
      <c r="G440" s="4"/>
      <c r="H440" s="11" t="s">
        <v>1225</v>
      </c>
      <c r="I440" s="4"/>
      <c r="J440" s="4"/>
      <c r="K440" s="4"/>
      <c r="L440" s="4"/>
      <c r="M440" s="4"/>
      <c r="N440" s="4"/>
      <c r="O440" s="4"/>
      <c r="P440" s="4"/>
      <c r="Q440" s="4"/>
      <c r="R440" s="4"/>
      <c r="S440" s="4"/>
      <c r="T440" s="4"/>
      <c r="U440" s="4"/>
      <c r="V440" s="4"/>
      <c r="W440" s="4"/>
      <c r="X440" s="4"/>
      <c r="Y440" s="4"/>
    </row>
    <row r="441">
      <c r="A441" s="4">
        <v>440.0</v>
      </c>
      <c r="B441" s="4" t="s">
        <v>1220</v>
      </c>
      <c r="C441" s="3" t="s">
        <v>1221</v>
      </c>
      <c r="D441" s="4">
        <v>2019.0</v>
      </c>
      <c r="E441" s="4" t="s">
        <v>1222</v>
      </c>
      <c r="F441" s="4" t="s">
        <v>24</v>
      </c>
      <c r="G441" s="4"/>
      <c r="H441" s="11" t="s">
        <v>1225</v>
      </c>
      <c r="I441" s="11" t="s">
        <v>1227</v>
      </c>
      <c r="J441" s="4"/>
      <c r="K441" s="4"/>
      <c r="L441" s="4"/>
      <c r="M441" s="4"/>
      <c r="N441" s="4"/>
      <c r="O441" s="4"/>
      <c r="P441" s="4"/>
      <c r="Q441" s="4"/>
      <c r="R441" s="4"/>
      <c r="S441" s="4"/>
      <c r="T441" s="4"/>
      <c r="U441" s="4"/>
      <c r="V441" s="4"/>
      <c r="W441" s="4"/>
      <c r="X441" s="4"/>
      <c r="Y441" s="4"/>
    </row>
    <row r="442">
      <c r="A442" s="4"/>
      <c r="B442" s="4"/>
      <c r="C442" s="3"/>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3"/>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3"/>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3"/>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3"/>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3"/>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3"/>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3"/>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3"/>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3"/>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3"/>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3"/>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3"/>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3"/>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3"/>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3"/>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3"/>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3"/>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3"/>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3"/>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3"/>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3"/>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3"/>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3"/>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3"/>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3"/>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3"/>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3"/>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3"/>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3"/>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3"/>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3"/>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3"/>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3"/>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3"/>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3"/>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3"/>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3"/>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3"/>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3"/>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3"/>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3"/>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3"/>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3"/>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3"/>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3"/>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3"/>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3"/>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3"/>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3"/>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3"/>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3"/>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3"/>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3"/>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3"/>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3"/>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3"/>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3"/>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3"/>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3"/>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3"/>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3"/>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3"/>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3"/>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3"/>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3"/>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3"/>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3"/>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3"/>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3"/>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3"/>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3"/>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3"/>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3"/>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3"/>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3"/>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3"/>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3"/>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3"/>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3"/>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3"/>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3"/>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3"/>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3"/>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3"/>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3"/>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3"/>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3"/>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3"/>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3"/>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3"/>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3"/>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3"/>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3"/>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3"/>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3"/>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3"/>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3"/>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3"/>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3"/>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3"/>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3"/>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3"/>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3"/>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3"/>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3"/>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3"/>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3"/>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3"/>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3"/>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3"/>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3"/>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3"/>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3"/>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3"/>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3"/>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3"/>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3"/>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3"/>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3"/>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3"/>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3"/>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3"/>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3"/>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3"/>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3"/>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3"/>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3"/>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3"/>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3"/>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3"/>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3"/>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3"/>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3"/>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3"/>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3"/>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3"/>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3"/>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3"/>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3"/>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3"/>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3"/>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3"/>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3"/>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3"/>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3"/>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3"/>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3"/>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3"/>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3"/>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3"/>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3"/>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3"/>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3"/>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3"/>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3"/>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3"/>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3"/>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3"/>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3"/>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3"/>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3"/>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3"/>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3"/>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3"/>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3"/>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3"/>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3"/>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3"/>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3"/>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3"/>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3"/>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3"/>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3"/>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3"/>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3"/>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3"/>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3"/>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3"/>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3"/>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3"/>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3"/>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3"/>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3"/>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3"/>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3"/>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3"/>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3"/>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3"/>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3"/>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3"/>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3"/>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3"/>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3"/>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3"/>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3"/>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3"/>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3"/>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3"/>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3"/>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3"/>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3"/>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3"/>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3"/>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3"/>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3"/>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3"/>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3"/>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3"/>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3"/>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3"/>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3"/>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3"/>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3"/>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3"/>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3"/>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3"/>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3"/>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3"/>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3"/>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3"/>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3"/>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3"/>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3"/>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3"/>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3"/>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3"/>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3"/>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3"/>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3"/>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3"/>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3"/>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3"/>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3"/>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3"/>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3"/>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3"/>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3"/>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3"/>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3"/>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3"/>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3"/>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3"/>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3"/>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3"/>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3"/>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3"/>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3"/>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3"/>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3"/>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3"/>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3"/>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3"/>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3"/>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3"/>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3"/>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3"/>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3"/>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3"/>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3"/>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3"/>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3"/>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3"/>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3"/>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3"/>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3"/>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3"/>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3"/>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3"/>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3"/>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3"/>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3"/>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3"/>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3"/>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3"/>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3"/>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3"/>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3"/>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3"/>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3"/>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3"/>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3"/>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3"/>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3"/>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3"/>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3"/>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3"/>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3"/>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3"/>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3"/>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3"/>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3"/>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3"/>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3"/>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3"/>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3"/>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3"/>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3"/>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3"/>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3"/>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3"/>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3"/>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3"/>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3"/>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3"/>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3"/>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3"/>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3"/>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3"/>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3"/>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3"/>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3"/>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3"/>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3"/>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3"/>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3"/>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3"/>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3"/>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3"/>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3"/>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3"/>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3"/>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3"/>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3"/>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3"/>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3"/>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3"/>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3"/>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3"/>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3"/>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3"/>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3"/>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3"/>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3"/>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3"/>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3"/>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3"/>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3"/>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3"/>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3"/>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3"/>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3"/>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3"/>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3"/>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3"/>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3"/>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3"/>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3"/>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3"/>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3"/>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3"/>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3"/>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3"/>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3"/>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3"/>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3"/>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3"/>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3"/>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3"/>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3"/>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3"/>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3"/>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3"/>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3"/>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3"/>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3"/>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3"/>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3"/>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3"/>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3"/>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3"/>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3"/>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3"/>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3"/>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3"/>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3"/>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3"/>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3"/>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3"/>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3"/>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3"/>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3"/>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3"/>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3"/>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3"/>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3"/>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3"/>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3"/>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3"/>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3"/>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3"/>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3"/>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3"/>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3"/>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3"/>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3"/>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3"/>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3"/>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3"/>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3"/>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3"/>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3"/>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3"/>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3"/>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3"/>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3"/>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3"/>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3"/>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3"/>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3"/>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3"/>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3"/>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3"/>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3"/>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3"/>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3"/>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3"/>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3"/>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3"/>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3"/>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3"/>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3"/>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3"/>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3"/>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3"/>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3"/>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3"/>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3"/>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3"/>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3"/>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3"/>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3"/>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3"/>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3"/>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3"/>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3"/>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3"/>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3"/>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3"/>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3"/>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3"/>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3"/>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3"/>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3"/>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3"/>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3"/>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3"/>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3"/>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3"/>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3"/>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3"/>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3"/>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3"/>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3"/>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3"/>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3"/>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3"/>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3"/>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3"/>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3"/>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3"/>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3"/>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3"/>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3"/>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3"/>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3"/>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3"/>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3"/>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3"/>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3"/>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3"/>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3"/>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3"/>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3"/>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3"/>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3"/>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3"/>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3"/>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3"/>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3"/>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3"/>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3"/>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3"/>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3"/>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3"/>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3"/>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3"/>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3"/>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3"/>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3"/>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3"/>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3"/>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3"/>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3"/>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3"/>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3"/>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3"/>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3"/>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3"/>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3"/>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3"/>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3"/>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3"/>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3"/>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3"/>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3"/>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3"/>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3"/>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3"/>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3"/>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3"/>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3"/>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3"/>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3"/>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3"/>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3"/>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3"/>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3"/>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3"/>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3"/>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3"/>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3"/>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3"/>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3"/>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3"/>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3"/>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3"/>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3"/>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3"/>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3"/>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3"/>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3"/>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3"/>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3"/>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3"/>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3"/>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3"/>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3"/>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3"/>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3"/>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3"/>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3"/>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3"/>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3"/>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3"/>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3"/>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3"/>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3"/>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3"/>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3"/>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3"/>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3"/>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3"/>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3"/>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3"/>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3"/>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3"/>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3"/>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3"/>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3"/>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3"/>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3"/>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3"/>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3"/>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3"/>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3"/>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3"/>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3"/>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3"/>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3"/>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3"/>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4"/>
      <c r="C1013" s="3"/>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4"/>
      <c r="C1014" s="3"/>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4"/>
      <c r="C1015" s="3"/>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4"/>
      <c r="C1016" s="3"/>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4"/>
      <c r="C1017" s="3"/>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4"/>
      <c r="C1018" s="3"/>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4"/>
      <c r="C1019" s="3"/>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4"/>
      <c r="C1020" s="3"/>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4"/>
      <c r="C1021" s="3"/>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4"/>
      <c r="C1022" s="3"/>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4"/>
      <c r="C1023" s="3"/>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4"/>
      <c r="C1024" s="3"/>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4"/>
      <c r="C1025" s="3"/>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4"/>
      <c r="C1026" s="3"/>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4"/>
      <c r="C1027" s="3"/>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4"/>
      <c r="C1028" s="3"/>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4"/>
      <c r="C1029" s="3"/>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4"/>
      <c r="C1030" s="3"/>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4"/>
      <c r="C1031" s="3"/>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4"/>
      <c r="C1032" s="3"/>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4"/>
      <c r="C1033" s="3"/>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4"/>
      <c r="C1034" s="3"/>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4"/>
      <c r="C1035" s="3"/>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4"/>
      <c r="C1036" s="3"/>
      <c r="D1036" s="4"/>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4"/>
      <c r="C1037" s="3"/>
      <c r="D1037" s="4"/>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4"/>
      <c r="C1038" s="3"/>
      <c r="D1038" s="4"/>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4"/>
      <c r="C1039" s="3"/>
      <c r="D1039" s="4"/>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4"/>
      <c r="C1040" s="3"/>
      <c r="D1040" s="4"/>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4"/>
      <c r="C1041" s="3"/>
      <c r="D1041" s="4"/>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4"/>
      <c r="C1042" s="3"/>
      <c r="D1042" s="4"/>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4"/>
      <c r="C1043" s="3"/>
      <c r="D1043" s="4"/>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4"/>
      <c r="C1044" s="3"/>
      <c r="D1044" s="4"/>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4"/>
      <c r="C1045" s="3"/>
      <c r="D1045" s="4"/>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4"/>
      <c r="C1046" s="3"/>
      <c r="D1046" s="4"/>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4"/>
      <c r="C1047" s="3"/>
      <c r="D1047" s="4"/>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4"/>
      <c r="C1048" s="3"/>
      <c r="D1048" s="4"/>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4"/>
      <c r="C1049" s="3"/>
      <c r="D1049" s="4"/>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4"/>
      <c r="C1050" s="3"/>
      <c r="D1050" s="4"/>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4"/>
      <c r="C1051" s="3"/>
      <c r="D1051" s="4"/>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4"/>
      <c r="C1052" s="3"/>
      <c r="D1052" s="4"/>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4"/>
      <c r="C1053" s="3"/>
      <c r="D1053" s="4"/>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4"/>
      <c r="C1054" s="3"/>
      <c r="D1054" s="4"/>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4"/>
      <c r="C1055" s="3"/>
      <c r="D1055" s="4"/>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4"/>
      <c r="C1056" s="3"/>
      <c r="D1056" s="4"/>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4"/>
      <c r="C1057" s="3"/>
      <c r="D1057" s="4"/>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4"/>
      <c r="C1058" s="3"/>
      <c r="D1058" s="4"/>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4"/>
      <c r="C1059" s="3"/>
      <c r="D1059" s="4"/>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4"/>
      <c r="C1060" s="3"/>
      <c r="D1060" s="4"/>
      <c r="E1060" s="4"/>
      <c r="F1060" s="4"/>
      <c r="G1060" s="4"/>
      <c r="H1060" s="4"/>
      <c r="I1060" s="4"/>
      <c r="J1060" s="4"/>
      <c r="K1060" s="4"/>
      <c r="L1060" s="4"/>
      <c r="M1060" s="4"/>
      <c r="N1060" s="4"/>
      <c r="O1060" s="4"/>
      <c r="P1060" s="4"/>
      <c r="Q1060" s="4"/>
      <c r="R1060" s="4"/>
      <c r="S1060" s="4"/>
      <c r="T1060" s="4"/>
      <c r="U1060" s="4"/>
      <c r="V1060" s="4"/>
      <c r="W1060" s="4"/>
      <c r="X1060" s="4"/>
      <c r="Y1060" s="4"/>
    </row>
    <row r="1061">
      <c r="A1061" s="4"/>
      <c r="B1061" s="4"/>
      <c r="C1061" s="3"/>
      <c r="D1061" s="4"/>
      <c r="E1061" s="4"/>
      <c r="F1061" s="4"/>
      <c r="G1061" s="4"/>
      <c r="H1061" s="4"/>
      <c r="I1061" s="4"/>
      <c r="J1061" s="4"/>
      <c r="K1061" s="4"/>
      <c r="L1061" s="4"/>
      <c r="M1061" s="4"/>
      <c r="N1061" s="4"/>
      <c r="O1061" s="4"/>
      <c r="P1061" s="4"/>
      <c r="Q1061" s="4"/>
      <c r="R1061" s="4"/>
      <c r="S1061" s="4"/>
      <c r="T1061" s="4"/>
      <c r="U1061" s="4"/>
      <c r="V1061" s="4"/>
      <c r="W1061" s="4"/>
      <c r="X1061" s="4"/>
      <c r="Y1061" s="4"/>
    </row>
    <row r="1062">
      <c r="A1062" s="4"/>
      <c r="B1062" s="4"/>
      <c r="C1062" s="3"/>
      <c r="D1062" s="4"/>
      <c r="E1062" s="4"/>
      <c r="F1062" s="4"/>
      <c r="G1062" s="4"/>
      <c r="H1062" s="4"/>
      <c r="I1062" s="4"/>
      <c r="J1062" s="4"/>
      <c r="K1062" s="4"/>
      <c r="L1062" s="4"/>
      <c r="M1062" s="4"/>
      <c r="N1062" s="4"/>
      <c r="O1062" s="4"/>
      <c r="P1062" s="4"/>
      <c r="Q1062" s="4"/>
      <c r="R1062" s="4"/>
      <c r="S1062" s="4"/>
      <c r="T1062" s="4"/>
      <c r="U1062" s="4"/>
      <c r="V1062" s="4"/>
      <c r="W1062" s="4"/>
      <c r="X1062" s="4"/>
      <c r="Y1062" s="4"/>
    </row>
    <row r="1063">
      <c r="A1063" s="4"/>
      <c r="B1063" s="4"/>
      <c r="C1063" s="3"/>
      <c r="D1063" s="4"/>
      <c r="E1063" s="4"/>
      <c r="F1063" s="4"/>
      <c r="G1063" s="4"/>
      <c r="H1063" s="4"/>
      <c r="I1063" s="4"/>
      <c r="J1063" s="4"/>
      <c r="K1063" s="4"/>
      <c r="L1063" s="4"/>
      <c r="M1063" s="4"/>
      <c r="N1063" s="4"/>
      <c r="O1063" s="4"/>
      <c r="P1063" s="4"/>
      <c r="Q1063" s="4"/>
      <c r="R1063" s="4"/>
      <c r="S1063" s="4"/>
      <c r="T1063" s="4"/>
      <c r="U1063" s="4"/>
      <c r="V1063" s="4"/>
      <c r="W1063" s="4"/>
      <c r="X1063" s="4"/>
      <c r="Y1063" s="4"/>
    </row>
    <row r="1064">
      <c r="A1064" s="4"/>
      <c r="B1064" s="4"/>
      <c r="C1064" s="3"/>
      <c r="D1064" s="4"/>
      <c r="E1064" s="4"/>
      <c r="F1064" s="4"/>
      <c r="G1064" s="4"/>
      <c r="H1064" s="4"/>
      <c r="I1064" s="4"/>
      <c r="J1064" s="4"/>
      <c r="K1064" s="4"/>
      <c r="L1064" s="4"/>
      <c r="M1064" s="4"/>
      <c r="N1064" s="4"/>
      <c r="O1064" s="4"/>
      <c r="P1064" s="4"/>
      <c r="Q1064" s="4"/>
      <c r="R1064" s="4"/>
      <c r="S1064" s="4"/>
      <c r="T1064" s="4"/>
      <c r="U1064" s="4"/>
      <c r="V1064" s="4"/>
      <c r="W1064" s="4"/>
      <c r="X1064" s="4"/>
      <c r="Y1064" s="4"/>
    </row>
    <row r="1065">
      <c r="A1065" s="4"/>
      <c r="B1065" s="4"/>
      <c r="C1065" s="3"/>
      <c r="D1065" s="4"/>
      <c r="E1065" s="4"/>
      <c r="F1065" s="4"/>
      <c r="G1065" s="4"/>
      <c r="H1065" s="4"/>
      <c r="I1065" s="4"/>
      <c r="J1065" s="4"/>
      <c r="K1065" s="4"/>
      <c r="L1065" s="4"/>
      <c r="M1065" s="4"/>
      <c r="N1065" s="4"/>
      <c r="O1065" s="4"/>
      <c r="P1065" s="4"/>
      <c r="Q1065" s="4"/>
      <c r="R1065" s="4"/>
      <c r="S1065" s="4"/>
      <c r="T1065" s="4"/>
      <c r="U1065" s="4"/>
      <c r="V1065" s="4"/>
      <c r="W1065" s="4"/>
      <c r="X1065" s="4"/>
      <c r="Y1065" s="4"/>
    </row>
    <row r="1066">
      <c r="A1066" s="4"/>
      <c r="B1066" s="4"/>
      <c r="C1066" s="3"/>
      <c r="D1066" s="4"/>
      <c r="E1066" s="4"/>
      <c r="F1066" s="4"/>
      <c r="G1066" s="4"/>
      <c r="H1066" s="4"/>
      <c r="I1066" s="4"/>
      <c r="J1066" s="4"/>
      <c r="K1066" s="4"/>
      <c r="L1066" s="4"/>
      <c r="M1066" s="4"/>
      <c r="N1066" s="4"/>
      <c r="O1066" s="4"/>
      <c r="P1066" s="4"/>
      <c r="Q1066" s="4"/>
      <c r="R1066" s="4"/>
      <c r="S1066" s="4"/>
      <c r="T1066" s="4"/>
      <c r="U1066" s="4"/>
      <c r="V1066" s="4"/>
      <c r="W1066" s="4"/>
      <c r="X1066" s="4"/>
      <c r="Y1066" s="4"/>
    </row>
    <row r="1067">
      <c r="A1067" s="4"/>
      <c r="B1067" s="4"/>
      <c r="C1067" s="3"/>
      <c r="D1067" s="4"/>
      <c r="E1067" s="4"/>
      <c r="F1067" s="4"/>
      <c r="G1067" s="4"/>
      <c r="H1067" s="4"/>
      <c r="I1067" s="4"/>
      <c r="J1067" s="4"/>
      <c r="K1067" s="4"/>
      <c r="L1067" s="4"/>
      <c r="M1067" s="4"/>
      <c r="N1067" s="4"/>
      <c r="O1067" s="4"/>
      <c r="P1067" s="4"/>
      <c r="Q1067" s="4"/>
      <c r="R1067" s="4"/>
      <c r="S1067" s="4"/>
      <c r="T1067" s="4"/>
      <c r="U1067" s="4"/>
      <c r="V1067" s="4"/>
      <c r="W1067" s="4"/>
      <c r="X1067" s="4"/>
      <c r="Y1067" s="4"/>
    </row>
    <row r="1068">
      <c r="A1068" s="4"/>
      <c r="B1068" s="4"/>
      <c r="C1068" s="3"/>
      <c r="D1068" s="4"/>
      <c r="E1068" s="4"/>
      <c r="F1068" s="4"/>
      <c r="G1068" s="4"/>
      <c r="H1068" s="4"/>
      <c r="I1068" s="4"/>
      <c r="J1068" s="4"/>
      <c r="K1068" s="4"/>
      <c r="L1068" s="4"/>
      <c r="M1068" s="4"/>
      <c r="N1068" s="4"/>
      <c r="O1068" s="4"/>
      <c r="P1068" s="4"/>
      <c r="Q1068" s="4"/>
      <c r="R1068" s="4"/>
      <c r="S1068" s="4"/>
      <c r="T1068" s="4"/>
      <c r="U1068" s="4"/>
      <c r="V1068" s="4"/>
      <c r="W1068" s="4"/>
      <c r="X1068" s="4"/>
      <c r="Y1068" s="4"/>
    </row>
    <row r="1069">
      <c r="A1069" s="4"/>
      <c r="B1069" s="4"/>
      <c r="C1069" s="3"/>
      <c r="D1069" s="4"/>
      <c r="E1069" s="4"/>
      <c r="F1069" s="4"/>
      <c r="G1069" s="4"/>
      <c r="H1069" s="4"/>
      <c r="I1069" s="4"/>
      <c r="J1069" s="4"/>
      <c r="K1069" s="4"/>
      <c r="L1069" s="4"/>
      <c r="M1069" s="4"/>
      <c r="N1069" s="4"/>
      <c r="O1069" s="4"/>
      <c r="P1069" s="4"/>
      <c r="Q1069" s="4"/>
      <c r="R1069" s="4"/>
      <c r="S1069" s="4"/>
      <c r="T1069" s="4"/>
      <c r="U1069" s="4"/>
      <c r="V1069" s="4"/>
      <c r="W1069" s="4"/>
      <c r="X1069" s="4"/>
      <c r="Y1069" s="4"/>
    </row>
    <row r="1070">
      <c r="A1070" s="4"/>
      <c r="B1070" s="4"/>
      <c r="C1070" s="3"/>
      <c r="D1070" s="4"/>
      <c r="E1070" s="4"/>
      <c r="F1070" s="4"/>
      <c r="G1070" s="4"/>
      <c r="H1070" s="4"/>
      <c r="I1070" s="4"/>
      <c r="J1070" s="4"/>
      <c r="K1070" s="4"/>
      <c r="L1070" s="4"/>
      <c r="M1070" s="4"/>
      <c r="N1070" s="4"/>
      <c r="O1070" s="4"/>
      <c r="P1070" s="4"/>
      <c r="Q1070" s="4"/>
      <c r="R1070" s="4"/>
      <c r="S1070" s="4"/>
      <c r="T1070" s="4"/>
      <c r="U1070" s="4"/>
      <c r="V1070" s="4"/>
      <c r="W1070" s="4"/>
      <c r="X1070" s="4"/>
      <c r="Y1070" s="4"/>
    </row>
    <row r="1071">
      <c r="A1071" s="4"/>
      <c r="B1071" s="4"/>
      <c r="C1071" s="3"/>
      <c r="D1071" s="4"/>
      <c r="E1071" s="4"/>
      <c r="F1071" s="4"/>
      <c r="G1071" s="4"/>
      <c r="H1071" s="4"/>
      <c r="I1071" s="4"/>
      <c r="J1071" s="4"/>
      <c r="K1071" s="4"/>
      <c r="L1071" s="4"/>
      <c r="M1071" s="4"/>
      <c r="N1071" s="4"/>
      <c r="O1071" s="4"/>
      <c r="P1071" s="4"/>
      <c r="Q1071" s="4"/>
      <c r="R1071" s="4"/>
      <c r="S1071" s="4"/>
      <c r="T1071" s="4"/>
      <c r="U1071" s="4"/>
      <c r="V1071" s="4"/>
      <c r="W1071" s="4"/>
      <c r="X1071" s="4"/>
      <c r="Y1071" s="4"/>
    </row>
    <row r="1072">
      <c r="A1072" s="4"/>
      <c r="B1072" s="4"/>
      <c r="C1072" s="3"/>
      <c r="D1072" s="4"/>
      <c r="E1072" s="4"/>
      <c r="F1072" s="4"/>
      <c r="G1072" s="4"/>
      <c r="H1072" s="4"/>
      <c r="I1072" s="4"/>
      <c r="J1072" s="4"/>
      <c r="K1072" s="4"/>
      <c r="L1072" s="4"/>
      <c r="M1072" s="4"/>
      <c r="N1072" s="4"/>
      <c r="O1072" s="4"/>
      <c r="P1072" s="4"/>
      <c r="Q1072" s="4"/>
      <c r="R1072" s="4"/>
      <c r="S1072" s="4"/>
      <c r="T1072" s="4"/>
      <c r="U1072" s="4"/>
      <c r="V1072" s="4"/>
      <c r="W1072" s="4"/>
      <c r="X1072" s="4"/>
      <c r="Y1072" s="4"/>
    </row>
    <row r="1073">
      <c r="A1073" s="4"/>
      <c r="B1073" s="4"/>
      <c r="C1073" s="3"/>
      <c r="D1073" s="4"/>
      <c r="E1073" s="4"/>
      <c r="F1073" s="4"/>
      <c r="G1073" s="4"/>
      <c r="H1073" s="4"/>
      <c r="I1073" s="4"/>
      <c r="J1073" s="4"/>
      <c r="K1073" s="4"/>
      <c r="L1073" s="4"/>
      <c r="M1073" s="4"/>
      <c r="N1073" s="4"/>
      <c r="O1073" s="4"/>
      <c r="P1073" s="4"/>
      <c r="Q1073" s="4"/>
      <c r="R1073" s="4"/>
      <c r="S1073" s="4"/>
      <c r="T1073" s="4"/>
      <c r="U1073" s="4"/>
      <c r="V1073" s="4"/>
      <c r="W1073" s="4"/>
      <c r="X1073" s="4"/>
      <c r="Y1073" s="4"/>
    </row>
    <row r="1074">
      <c r="A1074" s="4"/>
      <c r="B1074" s="4"/>
      <c r="C1074" s="3"/>
      <c r="D1074" s="4"/>
      <c r="E1074" s="4"/>
      <c r="F1074" s="4"/>
      <c r="G1074" s="4"/>
      <c r="H1074" s="4"/>
      <c r="I1074" s="4"/>
      <c r="J1074" s="4"/>
      <c r="K1074" s="4"/>
      <c r="L1074" s="4"/>
      <c r="M1074" s="4"/>
      <c r="N1074" s="4"/>
      <c r="O1074" s="4"/>
      <c r="P1074" s="4"/>
      <c r="Q1074" s="4"/>
      <c r="R1074" s="4"/>
      <c r="S1074" s="4"/>
      <c r="T1074" s="4"/>
      <c r="U1074" s="4"/>
      <c r="V1074" s="4"/>
      <c r="W1074" s="4"/>
      <c r="X1074" s="4"/>
      <c r="Y1074" s="4"/>
    </row>
    <row r="1075">
      <c r="A1075" s="4"/>
      <c r="B1075" s="4"/>
      <c r="C1075" s="3"/>
      <c r="D1075" s="4"/>
      <c r="E1075" s="4"/>
      <c r="F1075" s="4"/>
      <c r="G1075" s="4"/>
      <c r="H1075" s="4"/>
      <c r="I1075" s="4"/>
      <c r="J1075" s="4"/>
      <c r="K1075" s="4"/>
      <c r="L1075" s="4"/>
      <c r="M1075" s="4"/>
      <c r="N1075" s="4"/>
      <c r="O1075" s="4"/>
      <c r="P1075" s="4"/>
      <c r="Q1075" s="4"/>
      <c r="R1075" s="4"/>
      <c r="S1075" s="4"/>
      <c r="T1075" s="4"/>
      <c r="U1075" s="4"/>
      <c r="V1075" s="4"/>
      <c r="W1075" s="4"/>
      <c r="X1075" s="4"/>
      <c r="Y1075" s="4"/>
    </row>
    <row r="1076">
      <c r="A1076" s="4"/>
      <c r="B1076" s="4"/>
      <c r="C1076" s="3"/>
      <c r="D1076" s="4"/>
      <c r="E1076" s="4"/>
      <c r="F1076" s="4"/>
      <c r="G1076" s="4"/>
      <c r="H1076" s="4"/>
      <c r="I1076" s="4"/>
      <c r="J1076" s="4"/>
      <c r="K1076" s="4"/>
      <c r="L1076" s="4"/>
      <c r="M1076" s="4"/>
      <c r="N1076" s="4"/>
      <c r="O1076" s="4"/>
      <c r="P1076" s="4"/>
      <c r="Q1076" s="4"/>
      <c r="R1076" s="4"/>
      <c r="S1076" s="4"/>
      <c r="T1076" s="4"/>
      <c r="U1076" s="4"/>
      <c r="V1076" s="4"/>
      <c r="W1076" s="4"/>
      <c r="X1076" s="4"/>
      <c r="Y1076" s="4"/>
    </row>
    <row r="1077">
      <c r="A1077" s="4"/>
      <c r="B1077" s="4"/>
      <c r="C1077" s="3"/>
      <c r="D1077" s="4"/>
      <c r="E1077" s="4"/>
      <c r="F1077" s="4"/>
      <c r="G1077" s="4"/>
      <c r="H1077" s="4"/>
      <c r="I1077" s="4"/>
      <c r="J1077" s="4"/>
      <c r="K1077" s="4"/>
      <c r="L1077" s="4"/>
      <c r="M1077" s="4"/>
      <c r="N1077" s="4"/>
      <c r="O1077" s="4"/>
      <c r="P1077" s="4"/>
      <c r="Q1077" s="4"/>
      <c r="R1077" s="4"/>
      <c r="S1077" s="4"/>
      <c r="T1077" s="4"/>
      <c r="U1077" s="4"/>
      <c r="V1077" s="4"/>
      <c r="W1077" s="4"/>
      <c r="X1077" s="4"/>
      <c r="Y1077" s="4"/>
    </row>
    <row r="1078">
      <c r="A1078" s="4"/>
      <c r="B1078" s="4"/>
      <c r="C1078" s="3"/>
      <c r="D1078" s="4"/>
      <c r="E1078" s="4"/>
      <c r="F1078" s="4"/>
      <c r="G1078" s="4"/>
      <c r="H1078" s="4"/>
      <c r="I1078" s="4"/>
      <c r="J1078" s="4"/>
      <c r="K1078" s="4"/>
      <c r="L1078" s="4"/>
      <c r="M1078" s="4"/>
      <c r="N1078" s="4"/>
      <c r="O1078" s="4"/>
      <c r="P1078" s="4"/>
      <c r="Q1078" s="4"/>
      <c r="R1078" s="4"/>
      <c r="S1078" s="4"/>
      <c r="T1078" s="4"/>
      <c r="U1078" s="4"/>
      <c r="V1078" s="4"/>
      <c r="W1078" s="4"/>
      <c r="X1078" s="4"/>
      <c r="Y1078" s="4"/>
    </row>
    <row r="1079">
      <c r="A1079" s="4"/>
      <c r="B1079" s="4"/>
      <c r="C1079" s="3"/>
      <c r="D1079" s="4"/>
      <c r="E1079" s="4"/>
      <c r="F1079" s="4"/>
      <c r="G1079" s="4"/>
      <c r="H1079" s="4"/>
      <c r="I1079" s="4"/>
      <c r="J1079" s="4"/>
      <c r="K1079" s="4"/>
      <c r="L1079" s="4"/>
      <c r="M1079" s="4"/>
      <c r="N1079" s="4"/>
      <c r="O1079" s="4"/>
      <c r="P1079" s="4"/>
      <c r="Q1079" s="4"/>
      <c r="R1079" s="4"/>
      <c r="S1079" s="4"/>
      <c r="T1079" s="4"/>
      <c r="U1079" s="4"/>
      <c r="V1079" s="4"/>
      <c r="W1079" s="4"/>
      <c r="X1079" s="4"/>
      <c r="Y1079" s="4"/>
    </row>
    <row r="1080">
      <c r="A1080" s="4"/>
      <c r="B1080" s="4"/>
      <c r="C1080" s="3"/>
      <c r="D1080" s="4"/>
      <c r="E1080" s="4"/>
      <c r="F1080" s="4"/>
      <c r="G1080" s="4"/>
      <c r="H1080" s="4"/>
      <c r="I1080" s="4"/>
      <c r="J1080" s="4"/>
      <c r="K1080" s="4"/>
      <c r="L1080" s="4"/>
      <c r="M1080" s="4"/>
      <c r="N1080" s="4"/>
      <c r="O1080" s="4"/>
      <c r="P1080" s="4"/>
      <c r="Q1080" s="4"/>
      <c r="R1080" s="4"/>
      <c r="S1080" s="4"/>
      <c r="T1080" s="4"/>
      <c r="U1080" s="4"/>
      <c r="V1080" s="4"/>
      <c r="W1080" s="4"/>
      <c r="X1080" s="4"/>
      <c r="Y1080" s="4"/>
    </row>
    <row r="1081">
      <c r="A1081" s="4"/>
      <c r="B1081" s="4"/>
      <c r="C1081" s="3"/>
      <c r="D1081" s="4"/>
      <c r="E1081" s="4"/>
      <c r="F1081" s="4"/>
      <c r="G1081" s="4"/>
      <c r="H1081" s="4"/>
      <c r="I1081" s="4"/>
      <c r="J1081" s="4"/>
      <c r="K1081" s="4"/>
      <c r="L1081" s="4"/>
      <c r="M1081" s="4"/>
      <c r="N1081" s="4"/>
      <c r="O1081" s="4"/>
      <c r="P1081" s="4"/>
      <c r="Q1081" s="4"/>
      <c r="R1081" s="4"/>
      <c r="S1081" s="4"/>
      <c r="T1081" s="4"/>
      <c r="U1081" s="4"/>
      <c r="V1081" s="4"/>
      <c r="W1081" s="4"/>
      <c r="X1081" s="4"/>
      <c r="Y1081" s="4"/>
    </row>
    <row r="1082">
      <c r="A1082" s="4"/>
      <c r="B1082" s="4"/>
      <c r="C1082" s="3"/>
      <c r="D1082" s="4"/>
      <c r="E1082" s="4"/>
      <c r="F1082" s="4"/>
      <c r="G1082" s="4"/>
      <c r="H1082" s="4"/>
      <c r="I1082" s="4"/>
      <c r="J1082" s="4"/>
      <c r="K1082" s="4"/>
      <c r="L1082" s="4"/>
      <c r="M1082" s="4"/>
      <c r="N1082" s="4"/>
      <c r="O1082" s="4"/>
      <c r="P1082" s="4"/>
      <c r="Q1082" s="4"/>
      <c r="R1082" s="4"/>
      <c r="S1082" s="4"/>
      <c r="T1082" s="4"/>
      <c r="U1082" s="4"/>
      <c r="V1082" s="4"/>
      <c r="W1082" s="4"/>
      <c r="X1082" s="4"/>
      <c r="Y1082" s="4"/>
    </row>
    <row r="1083">
      <c r="A1083" s="4"/>
      <c r="B1083" s="4"/>
      <c r="C1083" s="3"/>
      <c r="D1083" s="4"/>
      <c r="E1083" s="4"/>
      <c r="F1083" s="4"/>
      <c r="G1083" s="4"/>
      <c r="H1083" s="4"/>
      <c r="I1083" s="4"/>
      <c r="J1083" s="4"/>
      <c r="K1083" s="4"/>
      <c r="L1083" s="4"/>
      <c r="M1083" s="4"/>
      <c r="N1083" s="4"/>
      <c r="O1083" s="4"/>
      <c r="P1083" s="4"/>
      <c r="Q1083" s="4"/>
      <c r="R1083" s="4"/>
      <c r="S1083" s="4"/>
      <c r="T1083" s="4"/>
      <c r="U1083" s="4"/>
      <c r="V1083" s="4"/>
      <c r="W1083" s="4"/>
      <c r="X1083" s="4"/>
      <c r="Y1083" s="4"/>
    </row>
    <row r="1084">
      <c r="A1084" s="4"/>
      <c r="B1084" s="4"/>
      <c r="C1084" s="3"/>
      <c r="D1084" s="4"/>
      <c r="E1084" s="4"/>
      <c r="F1084" s="4"/>
      <c r="G1084" s="4"/>
      <c r="H1084" s="4"/>
      <c r="I1084" s="4"/>
      <c r="J1084" s="4"/>
      <c r="K1084" s="4"/>
      <c r="L1084" s="4"/>
      <c r="M1084" s="4"/>
      <c r="N1084" s="4"/>
      <c r="O1084" s="4"/>
      <c r="P1084" s="4"/>
      <c r="Q1084" s="4"/>
      <c r="R1084" s="4"/>
      <c r="S1084" s="4"/>
      <c r="T1084" s="4"/>
      <c r="U1084" s="4"/>
      <c r="V1084" s="4"/>
      <c r="W1084" s="4"/>
      <c r="X1084" s="4"/>
      <c r="Y1084" s="4"/>
    </row>
    <row r="1085">
      <c r="A1085" s="4"/>
      <c r="B1085" s="4"/>
      <c r="C1085" s="3"/>
      <c r="D1085" s="4"/>
      <c r="E1085" s="4"/>
      <c r="F1085" s="4"/>
      <c r="G1085" s="4"/>
      <c r="H1085" s="4"/>
      <c r="I1085" s="4"/>
      <c r="J1085" s="4"/>
      <c r="K1085" s="4"/>
      <c r="L1085" s="4"/>
      <c r="M1085" s="4"/>
      <c r="N1085" s="4"/>
      <c r="O1085" s="4"/>
      <c r="P1085" s="4"/>
      <c r="Q1085" s="4"/>
      <c r="R1085" s="4"/>
      <c r="S1085" s="4"/>
      <c r="T1085" s="4"/>
      <c r="U1085" s="4"/>
      <c r="V1085" s="4"/>
      <c r="W1085" s="4"/>
      <c r="X1085" s="4"/>
      <c r="Y1085" s="4"/>
    </row>
    <row r="1086">
      <c r="A1086" s="4"/>
      <c r="B1086" s="4"/>
      <c r="C1086" s="3"/>
      <c r="D1086" s="4"/>
      <c r="E1086" s="4"/>
      <c r="F1086" s="4"/>
      <c r="G1086" s="4"/>
      <c r="H1086" s="4"/>
      <c r="I1086" s="4"/>
      <c r="J1086" s="4"/>
      <c r="K1086" s="4"/>
      <c r="L1086" s="4"/>
      <c r="M1086" s="4"/>
      <c r="N1086" s="4"/>
      <c r="O1086" s="4"/>
      <c r="P1086" s="4"/>
      <c r="Q1086" s="4"/>
      <c r="R1086" s="4"/>
      <c r="S1086" s="4"/>
      <c r="T1086" s="4"/>
      <c r="U1086" s="4"/>
      <c r="V1086" s="4"/>
      <c r="W1086" s="4"/>
      <c r="X1086" s="4"/>
      <c r="Y1086" s="4"/>
    </row>
    <row r="1087">
      <c r="A1087" s="4"/>
      <c r="B1087" s="4"/>
      <c r="C1087" s="3"/>
      <c r="D1087" s="4"/>
      <c r="E1087" s="4"/>
      <c r="F1087" s="4"/>
      <c r="G1087" s="4"/>
      <c r="H1087" s="4"/>
      <c r="I1087" s="4"/>
      <c r="J1087" s="4"/>
      <c r="K1087" s="4"/>
      <c r="L1087" s="4"/>
      <c r="M1087" s="4"/>
      <c r="N1087" s="4"/>
      <c r="O1087" s="4"/>
      <c r="P1087" s="4"/>
      <c r="Q1087" s="4"/>
      <c r="R1087" s="4"/>
      <c r="S1087" s="4"/>
      <c r="T1087" s="4"/>
      <c r="U1087" s="4"/>
      <c r="V1087" s="4"/>
      <c r="W1087" s="4"/>
      <c r="X1087" s="4"/>
      <c r="Y1087" s="4"/>
    </row>
    <row r="1088">
      <c r="A1088" s="4"/>
      <c r="B1088" s="4"/>
      <c r="C1088" s="3"/>
      <c r="D1088" s="4"/>
      <c r="E1088" s="4"/>
      <c r="F1088" s="4"/>
      <c r="G1088" s="4"/>
      <c r="H1088" s="4"/>
      <c r="I1088" s="4"/>
      <c r="J1088" s="4"/>
      <c r="K1088" s="4"/>
      <c r="L1088" s="4"/>
      <c r="M1088" s="4"/>
      <c r="N1088" s="4"/>
      <c r="O1088" s="4"/>
      <c r="P1088" s="4"/>
      <c r="Q1088" s="4"/>
      <c r="R1088" s="4"/>
      <c r="S1088" s="4"/>
      <c r="T1088" s="4"/>
      <c r="U1088" s="4"/>
      <c r="V1088" s="4"/>
      <c r="W1088" s="4"/>
      <c r="X1088" s="4"/>
      <c r="Y1088" s="4"/>
    </row>
    <row r="1089">
      <c r="A1089" s="4"/>
      <c r="B1089" s="4"/>
      <c r="C1089" s="3"/>
      <c r="D1089" s="4"/>
      <c r="E1089" s="4"/>
      <c r="F1089" s="4"/>
      <c r="G1089" s="4"/>
      <c r="H1089" s="4"/>
      <c r="I1089" s="4"/>
      <c r="J1089" s="4"/>
      <c r="K1089" s="4"/>
      <c r="L1089" s="4"/>
      <c r="M1089" s="4"/>
      <c r="N1089" s="4"/>
      <c r="O1089" s="4"/>
      <c r="P1089" s="4"/>
      <c r="Q1089" s="4"/>
      <c r="R1089" s="4"/>
      <c r="S1089" s="4"/>
      <c r="T1089" s="4"/>
      <c r="U1089" s="4"/>
      <c r="V1089" s="4"/>
      <c r="W1089" s="4"/>
      <c r="X1089" s="4"/>
      <c r="Y1089" s="4"/>
    </row>
    <row r="1090">
      <c r="A1090" s="4"/>
      <c r="B1090" s="4"/>
      <c r="C1090" s="3"/>
      <c r="D1090" s="4"/>
      <c r="E1090" s="4"/>
      <c r="F1090" s="4"/>
      <c r="G1090" s="4"/>
      <c r="H1090" s="4"/>
      <c r="I1090" s="4"/>
      <c r="J1090" s="4"/>
      <c r="K1090" s="4"/>
      <c r="L1090" s="4"/>
      <c r="M1090" s="4"/>
      <c r="N1090" s="4"/>
      <c r="O1090" s="4"/>
      <c r="P1090" s="4"/>
      <c r="Q1090" s="4"/>
      <c r="R1090" s="4"/>
      <c r="S1090" s="4"/>
      <c r="T1090" s="4"/>
      <c r="U1090" s="4"/>
      <c r="V1090" s="4"/>
      <c r="W1090" s="4"/>
      <c r="X1090" s="4"/>
      <c r="Y1090" s="4"/>
    </row>
    <row r="1091">
      <c r="A1091" s="4"/>
      <c r="B1091" s="4"/>
      <c r="C1091" s="3"/>
      <c r="D1091" s="4"/>
      <c r="E1091" s="4"/>
      <c r="F1091" s="4"/>
      <c r="G1091" s="4"/>
      <c r="H1091" s="4"/>
      <c r="I1091" s="4"/>
      <c r="J1091" s="4"/>
      <c r="K1091" s="4"/>
      <c r="L1091" s="4"/>
      <c r="M1091" s="4"/>
      <c r="N1091" s="4"/>
      <c r="O1091" s="4"/>
      <c r="P1091" s="4"/>
      <c r="Q1091" s="4"/>
      <c r="R1091" s="4"/>
      <c r="S1091" s="4"/>
      <c r="T1091" s="4"/>
      <c r="U1091" s="4"/>
      <c r="V1091" s="4"/>
      <c r="W1091" s="4"/>
      <c r="X1091" s="4"/>
      <c r="Y1091" s="4"/>
    </row>
    <row r="1092">
      <c r="A1092" s="4"/>
      <c r="B1092" s="4"/>
      <c r="C1092" s="3"/>
      <c r="D1092" s="4"/>
      <c r="E1092" s="4"/>
      <c r="F1092" s="4"/>
      <c r="G1092" s="4"/>
      <c r="H1092" s="4"/>
      <c r="I1092" s="4"/>
      <c r="J1092" s="4"/>
      <c r="K1092" s="4"/>
      <c r="L1092" s="4"/>
      <c r="M1092" s="4"/>
      <c r="N1092" s="4"/>
      <c r="O1092" s="4"/>
      <c r="P1092" s="4"/>
      <c r="Q1092" s="4"/>
      <c r="R1092" s="4"/>
      <c r="S1092" s="4"/>
      <c r="T1092" s="4"/>
      <c r="U1092" s="4"/>
      <c r="V1092" s="4"/>
      <c r="W1092" s="4"/>
      <c r="X1092" s="4"/>
      <c r="Y1092" s="4"/>
    </row>
    <row r="1093">
      <c r="A1093" s="4"/>
      <c r="B1093" s="4"/>
      <c r="C1093" s="3"/>
      <c r="D1093" s="4"/>
      <c r="E1093" s="4"/>
      <c r="F1093" s="4"/>
      <c r="G1093" s="4"/>
      <c r="H1093" s="4"/>
      <c r="I1093" s="4"/>
      <c r="J1093" s="4"/>
      <c r="K1093" s="4"/>
      <c r="L1093" s="4"/>
      <c r="M1093" s="4"/>
      <c r="N1093" s="4"/>
      <c r="O1093" s="4"/>
      <c r="P1093" s="4"/>
      <c r="Q1093" s="4"/>
      <c r="R1093" s="4"/>
      <c r="S1093" s="4"/>
      <c r="T1093" s="4"/>
      <c r="U1093" s="4"/>
      <c r="V1093" s="4"/>
      <c r="W1093" s="4"/>
      <c r="X1093" s="4"/>
      <c r="Y1093" s="4"/>
    </row>
    <row r="1094">
      <c r="A1094" s="4"/>
      <c r="B1094" s="4"/>
      <c r="C1094" s="3"/>
      <c r="D1094" s="4"/>
      <c r="E1094" s="4"/>
      <c r="F1094" s="4"/>
      <c r="G1094" s="4"/>
      <c r="H1094" s="4"/>
      <c r="I1094" s="4"/>
      <c r="J1094" s="4"/>
      <c r="K1094" s="4"/>
      <c r="L1094" s="4"/>
      <c r="M1094" s="4"/>
      <c r="N1094" s="4"/>
      <c r="O1094" s="4"/>
      <c r="P1094" s="4"/>
      <c r="Q1094" s="4"/>
      <c r="R1094" s="4"/>
      <c r="S1094" s="4"/>
      <c r="T1094" s="4"/>
      <c r="U1094" s="4"/>
      <c r="V1094" s="4"/>
      <c r="W1094" s="4"/>
      <c r="X1094" s="4"/>
      <c r="Y1094" s="4"/>
    </row>
    <row r="1095">
      <c r="A1095" s="4"/>
      <c r="B1095" s="4"/>
      <c r="C1095" s="3"/>
      <c r="D1095" s="4"/>
      <c r="E1095" s="4"/>
      <c r="F1095" s="4"/>
      <c r="G1095" s="4"/>
      <c r="H1095" s="4"/>
      <c r="I1095" s="4"/>
      <c r="J1095" s="4"/>
      <c r="K1095" s="4"/>
      <c r="L1095" s="4"/>
      <c r="M1095" s="4"/>
      <c r="N1095" s="4"/>
      <c r="O1095" s="4"/>
      <c r="P1095" s="4"/>
      <c r="Q1095" s="4"/>
      <c r="R1095" s="4"/>
      <c r="S1095" s="4"/>
      <c r="T1095" s="4"/>
      <c r="U1095" s="4"/>
      <c r="V1095" s="4"/>
      <c r="W1095" s="4"/>
      <c r="X1095" s="4"/>
      <c r="Y1095" s="4"/>
    </row>
    <row r="1096">
      <c r="A1096" s="4"/>
      <c r="B1096" s="4"/>
      <c r="C1096" s="3"/>
      <c r="D1096" s="4"/>
      <c r="E1096" s="4"/>
      <c r="F1096" s="4"/>
      <c r="G1096" s="4"/>
      <c r="H1096" s="4"/>
      <c r="I1096" s="4"/>
      <c r="J1096" s="4"/>
      <c r="K1096" s="4"/>
      <c r="L1096" s="4"/>
      <c r="M1096" s="4"/>
      <c r="N1096" s="4"/>
      <c r="O1096" s="4"/>
      <c r="P1096" s="4"/>
      <c r="Q1096" s="4"/>
      <c r="R1096" s="4"/>
      <c r="S1096" s="4"/>
      <c r="T1096" s="4"/>
      <c r="U1096" s="4"/>
      <c r="V1096" s="4"/>
      <c r="W1096" s="4"/>
      <c r="X1096" s="4"/>
      <c r="Y1096" s="4"/>
    </row>
    <row r="1097">
      <c r="A1097" s="4"/>
      <c r="B1097" s="4"/>
      <c r="C1097" s="3"/>
      <c r="D1097" s="4"/>
      <c r="E1097" s="4"/>
      <c r="F1097" s="4"/>
      <c r="G1097" s="4"/>
      <c r="H1097" s="4"/>
      <c r="I1097" s="4"/>
      <c r="J1097" s="4"/>
      <c r="K1097" s="4"/>
      <c r="L1097" s="4"/>
      <c r="M1097" s="4"/>
      <c r="N1097" s="4"/>
      <c r="O1097" s="4"/>
      <c r="P1097" s="4"/>
      <c r="Q1097" s="4"/>
      <c r="R1097" s="4"/>
      <c r="S1097" s="4"/>
      <c r="T1097" s="4"/>
      <c r="U1097" s="4"/>
      <c r="V1097" s="4"/>
      <c r="W1097" s="4"/>
      <c r="X1097" s="4"/>
      <c r="Y1097" s="4"/>
    </row>
    <row r="1098">
      <c r="A1098" s="4"/>
      <c r="B1098" s="4"/>
      <c r="C1098" s="3"/>
      <c r="D1098" s="4"/>
      <c r="E1098" s="4"/>
      <c r="F1098" s="4"/>
      <c r="G1098" s="4"/>
      <c r="H1098" s="4"/>
      <c r="I1098" s="4"/>
      <c r="J1098" s="4"/>
      <c r="K1098" s="4"/>
      <c r="L1098" s="4"/>
      <c r="M1098" s="4"/>
      <c r="N1098" s="4"/>
      <c r="O1098" s="4"/>
      <c r="P1098" s="4"/>
      <c r="Q1098" s="4"/>
      <c r="R1098" s="4"/>
      <c r="S1098" s="4"/>
      <c r="T1098" s="4"/>
      <c r="U1098" s="4"/>
      <c r="V1098" s="4"/>
      <c r="W1098" s="4"/>
      <c r="X1098" s="4"/>
      <c r="Y1098" s="4"/>
    </row>
    <row r="1099">
      <c r="A1099" s="4"/>
      <c r="B1099" s="4"/>
      <c r="C1099" s="3"/>
      <c r="D1099" s="4"/>
      <c r="E1099" s="4"/>
      <c r="F1099" s="4"/>
      <c r="G1099" s="4"/>
      <c r="H1099" s="4"/>
      <c r="I1099" s="4"/>
      <c r="J1099" s="4"/>
      <c r="K1099" s="4"/>
      <c r="L1099" s="4"/>
      <c r="M1099" s="4"/>
      <c r="N1099" s="4"/>
      <c r="O1099" s="4"/>
      <c r="P1099" s="4"/>
      <c r="Q1099" s="4"/>
      <c r="R1099" s="4"/>
      <c r="S1099" s="4"/>
      <c r="T1099" s="4"/>
      <c r="U1099" s="4"/>
      <c r="V1099" s="4"/>
      <c r="W1099" s="4"/>
      <c r="X1099" s="4"/>
      <c r="Y1099" s="4"/>
    </row>
    <row r="1100">
      <c r="A1100" s="4"/>
      <c r="B1100" s="4"/>
      <c r="C1100" s="3"/>
      <c r="D1100" s="4"/>
      <c r="E1100" s="4"/>
      <c r="F1100" s="4"/>
      <c r="G1100" s="4"/>
      <c r="H1100" s="4"/>
      <c r="I1100" s="4"/>
      <c r="J1100" s="4"/>
      <c r="K1100" s="4"/>
      <c r="L1100" s="4"/>
      <c r="M1100" s="4"/>
      <c r="N1100" s="4"/>
      <c r="O1100" s="4"/>
      <c r="P1100" s="4"/>
      <c r="Q1100" s="4"/>
      <c r="R1100" s="4"/>
      <c r="S1100" s="4"/>
      <c r="T1100" s="4"/>
      <c r="U1100" s="4"/>
      <c r="V1100" s="4"/>
      <c r="W1100" s="4"/>
      <c r="X1100" s="4"/>
      <c r="Y1100" s="4"/>
    </row>
    <row r="1101">
      <c r="A1101" s="4"/>
      <c r="B1101" s="4"/>
      <c r="C1101" s="3"/>
      <c r="D1101" s="4"/>
      <c r="E1101" s="4"/>
      <c r="F1101" s="4"/>
      <c r="G1101" s="4"/>
      <c r="H1101" s="4"/>
      <c r="I1101" s="4"/>
      <c r="J1101" s="4"/>
      <c r="K1101" s="4"/>
      <c r="L1101" s="4"/>
      <c r="M1101" s="4"/>
      <c r="N1101" s="4"/>
      <c r="O1101" s="4"/>
      <c r="P1101" s="4"/>
      <c r="Q1101" s="4"/>
      <c r="R1101" s="4"/>
      <c r="S1101" s="4"/>
      <c r="T1101" s="4"/>
      <c r="U1101" s="4"/>
      <c r="V1101" s="4"/>
      <c r="W1101" s="4"/>
      <c r="X1101" s="4"/>
      <c r="Y1101" s="4"/>
    </row>
    <row r="1102">
      <c r="A1102" s="4"/>
      <c r="B1102" s="4"/>
      <c r="C1102" s="3"/>
      <c r="D1102" s="4"/>
      <c r="E1102" s="4"/>
      <c r="F1102" s="4"/>
      <c r="G1102" s="4"/>
      <c r="H1102" s="4"/>
      <c r="I1102" s="4"/>
      <c r="J1102" s="4"/>
      <c r="K1102" s="4"/>
      <c r="L1102" s="4"/>
      <c r="M1102" s="4"/>
      <c r="N1102" s="4"/>
      <c r="O1102" s="4"/>
      <c r="P1102" s="4"/>
      <c r="Q1102" s="4"/>
      <c r="R1102" s="4"/>
      <c r="S1102" s="4"/>
      <c r="T1102" s="4"/>
      <c r="U1102" s="4"/>
      <c r="V1102" s="4"/>
      <c r="W1102" s="4"/>
      <c r="X1102" s="4"/>
      <c r="Y1102" s="4"/>
    </row>
    <row r="1103">
      <c r="A1103" s="4"/>
      <c r="B1103" s="4"/>
      <c r="C1103" s="3"/>
      <c r="D1103" s="4"/>
      <c r="E1103" s="4"/>
      <c r="F1103" s="4"/>
      <c r="G1103" s="4"/>
      <c r="H1103" s="4"/>
      <c r="I1103" s="4"/>
      <c r="J1103" s="4"/>
      <c r="K1103" s="4"/>
      <c r="L1103" s="4"/>
      <c r="M1103" s="4"/>
      <c r="N1103" s="4"/>
      <c r="O1103" s="4"/>
      <c r="P1103" s="4"/>
      <c r="Q1103" s="4"/>
      <c r="R1103" s="4"/>
      <c r="S1103" s="4"/>
      <c r="T1103" s="4"/>
      <c r="U1103" s="4"/>
      <c r="V1103" s="4"/>
      <c r="W1103" s="4"/>
      <c r="X1103" s="4"/>
      <c r="Y1103" s="4"/>
    </row>
    <row r="1104">
      <c r="A1104" s="4"/>
      <c r="B1104" s="4"/>
      <c r="C1104" s="3"/>
      <c r="D1104" s="4"/>
      <c r="E1104" s="4"/>
      <c r="F1104" s="4"/>
      <c r="G1104" s="4"/>
      <c r="H1104" s="4"/>
      <c r="I1104" s="4"/>
      <c r="J1104" s="4"/>
      <c r="K1104" s="4"/>
      <c r="L1104" s="4"/>
      <c r="M1104" s="4"/>
      <c r="N1104" s="4"/>
      <c r="O1104" s="4"/>
      <c r="P1104" s="4"/>
      <c r="Q1104" s="4"/>
      <c r="R1104" s="4"/>
      <c r="S1104" s="4"/>
      <c r="T1104" s="4"/>
      <c r="U1104" s="4"/>
      <c r="V1104" s="4"/>
      <c r="W1104" s="4"/>
      <c r="X1104" s="4"/>
      <c r="Y1104" s="4"/>
    </row>
    <row r="1105">
      <c r="A1105" s="4"/>
      <c r="B1105" s="4"/>
      <c r="C1105" s="3"/>
      <c r="D1105" s="4"/>
      <c r="E1105" s="4"/>
      <c r="F1105" s="4"/>
      <c r="G1105" s="4"/>
      <c r="H1105" s="4"/>
      <c r="I1105" s="4"/>
      <c r="J1105" s="4"/>
      <c r="K1105" s="4"/>
      <c r="L1105" s="4"/>
      <c r="M1105" s="4"/>
      <c r="N1105" s="4"/>
      <c r="O1105" s="4"/>
      <c r="P1105" s="4"/>
      <c r="Q1105" s="4"/>
      <c r="R1105" s="4"/>
      <c r="S1105" s="4"/>
      <c r="T1105" s="4"/>
      <c r="U1105" s="4"/>
      <c r="V1105" s="4"/>
      <c r="W1105" s="4"/>
      <c r="X1105" s="4"/>
      <c r="Y1105" s="4"/>
    </row>
    <row r="1106">
      <c r="A1106" s="4"/>
      <c r="B1106" s="4"/>
      <c r="C1106" s="3"/>
      <c r="D1106" s="4"/>
      <c r="E1106" s="4"/>
      <c r="F1106" s="4"/>
      <c r="G1106" s="4"/>
      <c r="H1106" s="4"/>
      <c r="I1106" s="4"/>
      <c r="J1106" s="4"/>
      <c r="K1106" s="4"/>
      <c r="L1106" s="4"/>
      <c r="M1106" s="4"/>
      <c r="N1106" s="4"/>
      <c r="O1106" s="4"/>
      <c r="P1106" s="4"/>
      <c r="Q1106" s="4"/>
      <c r="R1106" s="4"/>
      <c r="S1106" s="4"/>
      <c r="T1106" s="4"/>
      <c r="U1106" s="4"/>
      <c r="V1106" s="4"/>
      <c r="W1106" s="4"/>
      <c r="X1106" s="4"/>
      <c r="Y1106" s="4"/>
    </row>
    <row r="1107">
      <c r="A1107" s="4"/>
      <c r="B1107" s="4"/>
      <c r="C1107" s="3"/>
      <c r="D1107" s="4"/>
      <c r="E1107" s="4"/>
      <c r="F1107" s="4"/>
      <c r="G1107" s="4"/>
      <c r="H1107" s="4"/>
      <c r="I1107" s="4"/>
      <c r="J1107" s="4"/>
      <c r="K1107" s="4"/>
      <c r="L1107" s="4"/>
      <c r="M1107" s="4"/>
      <c r="N1107" s="4"/>
      <c r="O1107" s="4"/>
      <c r="P1107" s="4"/>
      <c r="Q1107" s="4"/>
      <c r="R1107" s="4"/>
      <c r="S1107" s="4"/>
      <c r="T1107" s="4"/>
      <c r="U1107" s="4"/>
      <c r="V1107" s="4"/>
      <c r="W1107" s="4"/>
      <c r="X1107" s="4"/>
      <c r="Y1107" s="4"/>
    </row>
    <row r="1108">
      <c r="A1108" s="4"/>
      <c r="B1108" s="4"/>
      <c r="C1108" s="3"/>
      <c r="D1108" s="4"/>
      <c r="E1108" s="4"/>
      <c r="F1108" s="4"/>
      <c r="G1108" s="4"/>
      <c r="H1108" s="4"/>
      <c r="I1108" s="4"/>
      <c r="J1108" s="4"/>
      <c r="K1108" s="4"/>
      <c r="L1108" s="4"/>
      <c r="M1108" s="4"/>
      <c r="N1108" s="4"/>
      <c r="O1108" s="4"/>
      <c r="P1108" s="4"/>
      <c r="Q1108" s="4"/>
      <c r="R1108" s="4"/>
      <c r="S1108" s="4"/>
      <c r="T1108" s="4"/>
      <c r="U1108" s="4"/>
      <c r="V1108" s="4"/>
      <c r="W1108" s="4"/>
      <c r="X1108" s="4"/>
      <c r="Y1108" s="4"/>
    </row>
    <row r="1109">
      <c r="A1109" s="4"/>
      <c r="B1109" s="4"/>
      <c r="C1109" s="3"/>
      <c r="D1109" s="4"/>
      <c r="E1109" s="4"/>
      <c r="F1109" s="4"/>
      <c r="G1109" s="4"/>
      <c r="H1109" s="4"/>
      <c r="I1109" s="4"/>
      <c r="J1109" s="4"/>
      <c r="K1109" s="4"/>
      <c r="L1109" s="4"/>
      <c r="M1109" s="4"/>
      <c r="N1109" s="4"/>
      <c r="O1109" s="4"/>
      <c r="P1109" s="4"/>
      <c r="Q1109" s="4"/>
      <c r="R1109" s="4"/>
      <c r="S1109" s="4"/>
      <c r="T1109" s="4"/>
      <c r="U1109" s="4"/>
      <c r="V1109" s="4"/>
      <c r="W1109" s="4"/>
      <c r="X1109" s="4"/>
      <c r="Y1109" s="4"/>
    </row>
    <row r="1110">
      <c r="A1110" s="4"/>
      <c r="B1110" s="4"/>
      <c r="C1110" s="3"/>
      <c r="D1110" s="4"/>
      <c r="E1110" s="4"/>
      <c r="F1110" s="4"/>
      <c r="G1110" s="4"/>
      <c r="H1110" s="4"/>
      <c r="I1110" s="4"/>
      <c r="J1110" s="4"/>
      <c r="K1110" s="4"/>
      <c r="L1110" s="4"/>
      <c r="M1110" s="4"/>
      <c r="N1110" s="4"/>
      <c r="O1110" s="4"/>
      <c r="P1110" s="4"/>
      <c r="Q1110" s="4"/>
      <c r="R1110" s="4"/>
      <c r="S1110" s="4"/>
      <c r="T1110" s="4"/>
      <c r="U1110" s="4"/>
      <c r="V1110" s="4"/>
      <c r="W1110" s="4"/>
      <c r="X1110" s="4"/>
      <c r="Y1110" s="4"/>
    </row>
    <row r="1111">
      <c r="A1111" s="4"/>
      <c r="B1111" s="4"/>
      <c r="C1111" s="3"/>
      <c r="D1111" s="4"/>
      <c r="E1111" s="4"/>
      <c r="F1111" s="4"/>
      <c r="G1111" s="4"/>
      <c r="H1111" s="4"/>
      <c r="I1111" s="4"/>
      <c r="J1111" s="4"/>
      <c r="K1111" s="4"/>
      <c r="L1111" s="4"/>
      <c r="M1111" s="4"/>
      <c r="N1111" s="4"/>
      <c r="O1111" s="4"/>
      <c r="P1111" s="4"/>
      <c r="Q1111" s="4"/>
      <c r="R1111" s="4"/>
      <c r="S1111" s="4"/>
      <c r="T1111" s="4"/>
      <c r="U1111" s="4"/>
      <c r="V1111" s="4"/>
      <c r="W1111" s="4"/>
      <c r="X1111" s="4"/>
      <c r="Y1111" s="4"/>
    </row>
    <row r="1112">
      <c r="A1112" s="4"/>
      <c r="B1112" s="4"/>
      <c r="C1112" s="3"/>
      <c r="D1112" s="4"/>
      <c r="E1112" s="4"/>
      <c r="F1112" s="4"/>
      <c r="G1112" s="4"/>
      <c r="H1112" s="4"/>
      <c r="I1112" s="4"/>
      <c r="J1112" s="4"/>
      <c r="K1112" s="4"/>
      <c r="L1112" s="4"/>
      <c r="M1112" s="4"/>
      <c r="N1112" s="4"/>
      <c r="O1112" s="4"/>
      <c r="P1112" s="4"/>
      <c r="Q1112" s="4"/>
      <c r="R1112" s="4"/>
      <c r="S1112" s="4"/>
      <c r="T1112" s="4"/>
      <c r="U1112" s="4"/>
      <c r="V1112" s="4"/>
      <c r="W1112" s="4"/>
      <c r="X1112" s="4"/>
      <c r="Y1112" s="4"/>
    </row>
    <row r="1113">
      <c r="A1113" s="4"/>
      <c r="B1113" s="4"/>
      <c r="C1113" s="3"/>
      <c r="D1113" s="4"/>
      <c r="E1113" s="4"/>
      <c r="F1113" s="4"/>
      <c r="G1113" s="4"/>
      <c r="H1113" s="4"/>
      <c r="I1113" s="4"/>
      <c r="J1113" s="4"/>
      <c r="K1113" s="4"/>
      <c r="L1113" s="4"/>
      <c r="M1113" s="4"/>
      <c r="N1113" s="4"/>
      <c r="O1113" s="4"/>
      <c r="P1113" s="4"/>
      <c r="Q1113" s="4"/>
      <c r="R1113" s="4"/>
      <c r="S1113" s="4"/>
      <c r="T1113" s="4"/>
      <c r="U1113" s="4"/>
      <c r="V1113" s="4"/>
      <c r="W1113" s="4"/>
      <c r="X1113" s="4"/>
      <c r="Y1113" s="4"/>
    </row>
    <row r="1114">
      <c r="A1114" s="4"/>
      <c r="B1114" s="4"/>
      <c r="C1114" s="3"/>
      <c r="D1114" s="4"/>
      <c r="E1114" s="4"/>
      <c r="F1114" s="4"/>
      <c r="G1114" s="4"/>
      <c r="H1114" s="4"/>
      <c r="I1114" s="4"/>
      <c r="J1114" s="4"/>
      <c r="K1114" s="4"/>
      <c r="L1114" s="4"/>
      <c r="M1114" s="4"/>
      <c r="N1114" s="4"/>
      <c r="O1114" s="4"/>
      <c r="P1114" s="4"/>
      <c r="Q1114" s="4"/>
      <c r="R1114" s="4"/>
      <c r="S1114" s="4"/>
      <c r="T1114" s="4"/>
      <c r="U1114" s="4"/>
      <c r="V1114" s="4"/>
      <c r="W1114" s="4"/>
      <c r="X1114" s="4"/>
      <c r="Y1114" s="4"/>
    </row>
    <row r="1115">
      <c r="A1115" s="4"/>
      <c r="B1115" s="4"/>
      <c r="C1115" s="3"/>
      <c r="D1115" s="4"/>
      <c r="E1115" s="4"/>
      <c r="F1115" s="4"/>
      <c r="G1115" s="4"/>
      <c r="H1115" s="4"/>
      <c r="I1115" s="4"/>
      <c r="J1115" s="4"/>
      <c r="K1115" s="4"/>
      <c r="L1115" s="4"/>
      <c r="M1115" s="4"/>
      <c r="N1115" s="4"/>
      <c r="O1115" s="4"/>
      <c r="P1115" s="4"/>
      <c r="Q1115" s="4"/>
      <c r="R1115" s="4"/>
      <c r="S1115" s="4"/>
      <c r="T1115" s="4"/>
      <c r="U1115" s="4"/>
      <c r="V1115" s="4"/>
      <c r="W1115" s="4"/>
      <c r="X1115" s="4"/>
      <c r="Y1115" s="4"/>
    </row>
    <row r="1116">
      <c r="A1116" s="4"/>
      <c r="B1116" s="4"/>
      <c r="C1116" s="3"/>
      <c r="D1116" s="4"/>
      <c r="E1116" s="4"/>
      <c r="F1116" s="4"/>
      <c r="G1116" s="4"/>
      <c r="H1116" s="4"/>
      <c r="I1116" s="4"/>
      <c r="J1116" s="4"/>
      <c r="K1116" s="4"/>
      <c r="L1116" s="4"/>
      <c r="M1116" s="4"/>
      <c r="N1116" s="4"/>
      <c r="O1116" s="4"/>
      <c r="P1116" s="4"/>
      <c r="Q1116" s="4"/>
      <c r="R1116" s="4"/>
      <c r="S1116" s="4"/>
      <c r="T1116" s="4"/>
      <c r="U1116" s="4"/>
      <c r="V1116" s="4"/>
      <c r="W1116" s="4"/>
      <c r="X1116" s="4"/>
      <c r="Y1116" s="4"/>
    </row>
    <row r="1117">
      <c r="A1117" s="4"/>
      <c r="B1117" s="4"/>
      <c r="C1117" s="3"/>
      <c r="D1117" s="4"/>
      <c r="E1117" s="4"/>
      <c r="F1117" s="4"/>
      <c r="G1117" s="4"/>
      <c r="H1117" s="4"/>
      <c r="I1117" s="4"/>
      <c r="J1117" s="4"/>
      <c r="K1117" s="4"/>
      <c r="L1117" s="4"/>
      <c r="M1117" s="4"/>
      <c r="N1117" s="4"/>
      <c r="O1117" s="4"/>
      <c r="P1117" s="4"/>
      <c r="Q1117" s="4"/>
      <c r="R1117" s="4"/>
      <c r="S1117" s="4"/>
      <c r="T1117" s="4"/>
      <c r="U1117" s="4"/>
      <c r="V1117" s="4"/>
      <c r="W1117" s="4"/>
      <c r="X1117" s="4"/>
      <c r="Y1117" s="4"/>
    </row>
    <row r="1118">
      <c r="A1118" s="4"/>
      <c r="B1118" s="4"/>
      <c r="C1118" s="3"/>
      <c r="D1118" s="4"/>
      <c r="E1118" s="4"/>
      <c r="F1118" s="4"/>
      <c r="G1118" s="4"/>
      <c r="H1118" s="4"/>
      <c r="I1118" s="4"/>
      <c r="J1118" s="4"/>
      <c r="K1118" s="4"/>
      <c r="L1118" s="4"/>
      <c r="M1118" s="4"/>
      <c r="N1118" s="4"/>
      <c r="O1118" s="4"/>
      <c r="P1118" s="4"/>
      <c r="Q1118" s="4"/>
      <c r="R1118" s="4"/>
      <c r="S1118" s="4"/>
      <c r="T1118" s="4"/>
      <c r="U1118" s="4"/>
      <c r="V1118" s="4"/>
      <c r="W1118" s="4"/>
      <c r="X1118" s="4"/>
      <c r="Y1118" s="4"/>
    </row>
    <row r="1119">
      <c r="A1119" s="4"/>
      <c r="B1119" s="4"/>
      <c r="C1119" s="3"/>
      <c r="D1119" s="4"/>
      <c r="E1119" s="4"/>
      <c r="F1119" s="4"/>
      <c r="G1119" s="4"/>
      <c r="H1119" s="4"/>
      <c r="I1119" s="4"/>
      <c r="J1119" s="4"/>
      <c r="K1119" s="4"/>
      <c r="L1119" s="4"/>
      <c r="M1119" s="4"/>
      <c r="N1119" s="4"/>
      <c r="O1119" s="4"/>
      <c r="P1119" s="4"/>
      <c r="Q1119" s="4"/>
      <c r="R1119" s="4"/>
      <c r="S1119" s="4"/>
      <c r="T1119" s="4"/>
      <c r="U1119" s="4"/>
      <c r="V1119" s="4"/>
      <c r="W1119" s="4"/>
      <c r="X1119" s="4"/>
      <c r="Y1119" s="4"/>
    </row>
    <row r="1120">
      <c r="A1120" s="4"/>
      <c r="B1120" s="4"/>
      <c r="C1120" s="3"/>
      <c r="D1120" s="4"/>
      <c r="E1120" s="4"/>
      <c r="F1120" s="4"/>
      <c r="G1120" s="4"/>
      <c r="H1120" s="4"/>
      <c r="I1120" s="4"/>
      <c r="J1120" s="4"/>
      <c r="K1120" s="4"/>
      <c r="L1120" s="4"/>
      <c r="M1120" s="4"/>
      <c r="N1120" s="4"/>
      <c r="O1120" s="4"/>
      <c r="P1120" s="4"/>
      <c r="Q1120" s="4"/>
      <c r="R1120" s="4"/>
      <c r="S1120" s="4"/>
      <c r="T1120" s="4"/>
      <c r="U1120" s="4"/>
      <c r="V1120" s="4"/>
      <c r="W1120" s="4"/>
      <c r="X1120" s="4"/>
      <c r="Y1120" s="4"/>
    </row>
    <row r="1121">
      <c r="A1121" s="4"/>
      <c r="B1121" s="4"/>
      <c r="C1121" s="3"/>
      <c r="D1121" s="4"/>
      <c r="E1121" s="4"/>
      <c r="F1121" s="4"/>
      <c r="G1121" s="4"/>
      <c r="H1121" s="4"/>
      <c r="I1121" s="4"/>
      <c r="J1121" s="4"/>
      <c r="K1121" s="4"/>
      <c r="L1121" s="4"/>
      <c r="M1121" s="4"/>
      <c r="N1121" s="4"/>
      <c r="O1121" s="4"/>
      <c r="P1121" s="4"/>
      <c r="Q1121" s="4"/>
      <c r="R1121" s="4"/>
      <c r="S1121" s="4"/>
      <c r="T1121" s="4"/>
      <c r="U1121" s="4"/>
      <c r="V1121" s="4"/>
      <c r="W1121" s="4"/>
      <c r="X1121" s="4"/>
      <c r="Y1121" s="4"/>
    </row>
    <row r="1122">
      <c r="A1122" s="4"/>
      <c r="B1122" s="4"/>
      <c r="C1122" s="3"/>
      <c r="D1122" s="4"/>
      <c r="E1122" s="4"/>
      <c r="F1122" s="4"/>
      <c r="G1122" s="4"/>
      <c r="H1122" s="4"/>
      <c r="I1122" s="4"/>
      <c r="J1122" s="4"/>
      <c r="K1122" s="4"/>
      <c r="L1122" s="4"/>
      <c r="M1122" s="4"/>
      <c r="N1122" s="4"/>
      <c r="O1122" s="4"/>
      <c r="P1122" s="4"/>
      <c r="Q1122" s="4"/>
      <c r="R1122" s="4"/>
      <c r="S1122" s="4"/>
      <c r="T1122" s="4"/>
      <c r="U1122" s="4"/>
      <c r="V1122" s="4"/>
      <c r="W1122" s="4"/>
      <c r="X1122" s="4"/>
      <c r="Y1122" s="4"/>
    </row>
    <row r="1123">
      <c r="A1123" s="4"/>
      <c r="B1123" s="4"/>
      <c r="C1123" s="3"/>
      <c r="D1123" s="4"/>
      <c r="E1123" s="4"/>
      <c r="F1123" s="4"/>
      <c r="G1123" s="4"/>
      <c r="H1123" s="4"/>
      <c r="I1123" s="4"/>
      <c r="J1123" s="4"/>
      <c r="K1123" s="4"/>
      <c r="L1123" s="4"/>
      <c r="M1123" s="4"/>
      <c r="N1123" s="4"/>
      <c r="O1123" s="4"/>
      <c r="P1123" s="4"/>
      <c r="Q1123" s="4"/>
      <c r="R1123" s="4"/>
      <c r="S1123" s="4"/>
      <c r="T1123" s="4"/>
      <c r="U1123" s="4"/>
      <c r="V1123" s="4"/>
      <c r="W1123" s="4"/>
      <c r="X1123" s="4"/>
      <c r="Y1123" s="4"/>
    </row>
    <row r="1124">
      <c r="A1124" s="4"/>
      <c r="B1124" s="4"/>
      <c r="C1124" s="3"/>
      <c r="D1124" s="4"/>
      <c r="E1124" s="4"/>
      <c r="F1124" s="4"/>
      <c r="G1124" s="4"/>
      <c r="H1124" s="4"/>
      <c r="I1124" s="4"/>
      <c r="J1124" s="4"/>
      <c r="K1124" s="4"/>
      <c r="L1124" s="4"/>
      <c r="M1124" s="4"/>
      <c r="N1124" s="4"/>
      <c r="O1124" s="4"/>
      <c r="P1124" s="4"/>
      <c r="Q1124" s="4"/>
      <c r="R1124" s="4"/>
      <c r="S1124" s="4"/>
      <c r="T1124" s="4"/>
      <c r="U1124" s="4"/>
      <c r="V1124" s="4"/>
      <c r="W1124" s="4"/>
      <c r="X1124" s="4"/>
      <c r="Y1124" s="4"/>
    </row>
    <row r="1125">
      <c r="A1125" s="4"/>
      <c r="B1125" s="4"/>
      <c r="C1125" s="3"/>
      <c r="D1125" s="4"/>
      <c r="E1125" s="4"/>
      <c r="F1125" s="4"/>
      <c r="G1125" s="4"/>
      <c r="H1125" s="4"/>
      <c r="I1125" s="4"/>
      <c r="J1125" s="4"/>
      <c r="K1125" s="4"/>
      <c r="L1125" s="4"/>
      <c r="M1125" s="4"/>
      <c r="N1125" s="4"/>
      <c r="O1125" s="4"/>
      <c r="P1125" s="4"/>
      <c r="Q1125" s="4"/>
      <c r="R1125" s="4"/>
      <c r="S1125" s="4"/>
      <c r="T1125" s="4"/>
      <c r="U1125" s="4"/>
      <c r="V1125" s="4"/>
      <c r="W1125" s="4"/>
      <c r="X1125" s="4"/>
      <c r="Y1125" s="4"/>
    </row>
    <row r="1126">
      <c r="A1126" s="4"/>
      <c r="B1126" s="4"/>
      <c r="C1126" s="3"/>
      <c r="D1126" s="4"/>
      <c r="E1126" s="4"/>
      <c r="F1126" s="4"/>
      <c r="G1126" s="4"/>
      <c r="H1126" s="4"/>
      <c r="I1126" s="4"/>
      <c r="J1126" s="4"/>
      <c r="K1126" s="4"/>
      <c r="L1126" s="4"/>
      <c r="M1126" s="4"/>
      <c r="N1126" s="4"/>
      <c r="O1126" s="4"/>
      <c r="P1126" s="4"/>
      <c r="Q1126" s="4"/>
      <c r="R1126" s="4"/>
      <c r="S1126" s="4"/>
      <c r="T1126" s="4"/>
      <c r="U1126" s="4"/>
      <c r="V1126" s="4"/>
      <c r="W1126" s="4"/>
      <c r="X1126" s="4"/>
      <c r="Y1126" s="4"/>
    </row>
    <row r="1127">
      <c r="A1127" s="4"/>
      <c r="B1127" s="4"/>
      <c r="C1127" s="3"/>
      <c r="D1127" s="4"/>
      <c r="E1127" s="4"/>
      <c r="F1127" s="4"/>
      <c r="G1127" s="4"/>
      <c r="H1127" s="4"/>
      <c r="I1127" s="4"/>
      <c r="J1127" s="4"/>
      <c r="K1127" s="4"/>
      <c r="L1127" s="4"/>
      <c r="M1127" s="4"/>
      <c r="N1127" s="4"/>
      <c r="O1127" s="4"/>
      <c r="P1127" s="4"/>
      <c r="Q1127" s="4"/>
      <c r="R1127" s="4"/>
      <c r="S1127" s="4"/>
      <c r="T1127" s="4"/>
      <c r="U1127" s="4"/>
      <c r="V1127" s="4"/>
      <c r="W1127" s="4"/>
      <c r="X1127" s="4"/>
      <c r="Y1127" s="4"/>
    </row>
    <row r="1128">
      <c r="A1128" s="4"/>
      <c r="B1128" s="4"/>
      <c r="C1128" s="3"/>
      <c r="D1128" s="4"/>
      <c r="E1128" s="4"/>
      <c r="F1128" s="4"/>
      <c r="G1128" s="4"/>
      <c r="H1128" s="4"/>
      <c r="I1128" s="4"/>
      <c r="J1128" s="4"/>
      <c r="K1128" s="4"/>
      <c r="L1128" s="4"/>
      <c r="M1128" s="4"/>
      <c r="N1128" s="4"/>
      <c r="O1128" s="4"/>
      <c r="P1128" s="4"/>
      <c r="Q1128" s="4"/>
      <c r="R1128" s="4"/>
      <c r="S1128" s="4"/>
      <c r="T1128" s="4"/>
      <c r="U1128" s="4"/>
      <c r="V1128" s="4"/>
      <c r="W1128" s="4"/>
      <c r="X1128" s="4"/>
      <c r="Y1128" s="4"/>
    </row>
    <row r="1129">
      <c r="A1129" s="4"/>
      <c r="B1129" s="4"/>
      <c r="C1129" s="3"/>
      <c r="D1129" s="4"/>
      <c r="E1129" s="4"/>
      <c r="F1129" s="4"/>
      <c r="G1129" s="4"/>
      <c r="H1129" s="4"/>
      <c r="I1129" s="4"/>
      <c r="J1129" s="4"/>
      <c r="K1129" s="4"/>
      <c r="L1129" s="4"/>
      <c r="M1129" s="4"/>
      <c r="N1129" s="4"/>
      <c r="O1129" s="4"/>
      <c r="P1129" s="4"/>
      <c r="Q1129" s="4"/>
      <c r="R1129" s="4"/>
      <c r="S1129" s="4"/>
      <c r="T1129" s="4"/>
      <c r="U1129" s="4"/>
      <c r="V1129" s="4"/>
      <c r="W1129" s="4"/>
      <c r="X1129" s="4"/>
      <c r="Y1129" s="4"/>
    </row>
    <row r="1130">
      <c r="A1130" s="4"/>
      <c r="B1130" s="4"/>
      <c r="C1130" s="3"/>
      <c r="D1130" s="4"/>
      <c r="E1130" s="4"/>
      <c r="F1130" s="4"/>
      <c r="G1130" s="4"/>
      <c r="H1130" s="4"/>
      <c r="I1130" s="4"/>
      <c r="J1130" s="4"/>
      <c r="K1130" s="4"/>
      <c r="L1130" s="4"/>
      <c r="M1130" s="4"/>
      <c r="N1130" s="4"/>
      <c r="O1130" s="4"/>
      <c r="P1130" s="4"/>
      <c r="Q1130" s="4"/>
      <c r="R1130" s="4"/>
      <c r="S1130" s="4"/>
      <c r="T1130" s="4"/>
      <c r="U1130" s="4"/>
      <c r="V1130" s="4"/>
      <c r="W1130" s="4"/>
      <c r="X1130" s="4"/>
      <c r="Y1130" s="4"/>
    </row>
    <row r="1131">
      <c r="A1131" s="4"/>
      <c r="B1131" s="4"/>
      <c r="C1131" s="3"/>
      <c r="D1131" s="4"/>
      <c r="E1131" s="4"/>
      <c r="F1131" s="4"/>
      <c r="G1131" s="4"/>
      <c r="H1131" s="4"/>
      <c r="I1131" s="4"/>
      <c r="J1131" s="4"/>
      <c r="K1131" s="4"/>
      <c r="L1131" s="4"/>
      <c r="M1131" s="4"/>
      <c r="N1131" s="4"/>
      <c r="O1131" s="4"/>
      <c r="P1131" s="4"/>
      <c r="Q1131" s="4"/>
      <c r="R1131" s="4"/>
      <c r="S1131" s="4"/>
      <c r="T1131" s="4"/>
      <c r="U1131" s="4"/>
      <c r="V1131" s="4"/>
      <c r="W1131" s="4"/>
      <c r="X1131" s="4"/>
      <c r="Y1131" s="4"/>
    </row>
    <row r="1132">
      <c r="A1132" s="4"/>
      <c r="B1132" s="4"/>
      <c r="C1132" s="3"/>
      <c r="D1132" s="4"/>
      <c r="E1132" s="4"/>
      <c r="F1132" s="4"/>
      <c r="G1132" s="4"/>
      <c r="H1132" s="4"/>
      <c r="I1132" s="4"/>
      <c r="J1132" s="4"/>
      <c r="K1132" s="4"/>
      <c r="L1132" s="4"/>
      <c r="M1132" s="4"/>
      <c r="N1132" s="4"/>
      <c r="O1132" s="4"/>
      <c r="P1132" s="4"/>
      <c r="Q1132" s="4"/>
      <c r="R1132" s="4"/>
      <c r="S1132" s="4"/>
      <c r="T1132" s="4"/>
      <c r="U1132" s="4"/>
      <c r="V1132" s="4"/>
      <c r="W1132" s="4"/>
      <c r="X1132" s="4"/>
      <c r="Y1132" s="4"/>
    </row>
    <row r="1133">
      <c r="A1133" s="4"/>
      <c r="B1133" s="4"/>
      <c r="C1133" s="3"/>
      <c r="D1133" s="4"/>
      <c r="E1133" s="4"/>
      <c r="F1133" s="4"/>
      <c r="G1133" s="4"/>
      <c r="H1133" s="4"/>
      <c r="I1133" s="4"/>
      <c r="J1133" s="4"/>
      <c r="K1133" s="4"/>
      <c r="L1133" s="4"/>
      <c r="M1133" s="4"/>
      <c r="N1133" s="4"/>
      <c r="O1133" s="4"/>
      <c r="P1133" s="4"/>
      <c r="Q1133" s="4"/>
      <c r="R1133" s="4"/>
      <c r="S1133" s="4"/>
      <c r="T1133" s="4"/>
      <c r="U1133" s="4"/>
      <c r="V1133" s="4"/>
      <c r="W1133" s="4"/>
      <c r="X1133" s="4"/>
      <c r="Y1133" s="4"/>
    </row>
    <row r="1134">
      <c r="A1134" s="4"/>
      <c r="B1134" s="4"/>
      <c r="C1134" s="3"/>
      <c r="D1134" s="4"/>
      <c r="E1134" s="4"/>
      <c r="F1134" s="4"/>
      <c r="G1134" s="4"/>
      <c r="H1134" s="4"/>
      <c r="I1134" s="4"/>
      <c r="J1134" s="4"/>
      <c r="K1134" s="4"/>
      <c r="L1134" s="4"/>
      <c r="M1134" s="4"/>
      <c r="N1134" s="4"/>
      <c r="O1134" s="4"/>
      <c r="P1134" s="4"/>
      <c r="Q1134" s="4"/>
      <c r="R1134" s="4"/>
      <c r="S1134" s="4"/>
      <c r="T1134" s="4"/>
      <c r="U1134" s="4"/>
      <c r="V1134" s="4"/>
      <c r="W1134" s="4"/>
      <c r="X1134" s="4"/>
      <c r="Y1134" s="4"/>
    </row>
    <row r="1135">
      <c r="A1135" s="4"/>
      <c r="B1135" s="4"/>
      <c r="C1135" s="3"/>
      <c r="D1135" s="4"/>
      <c r="E1135" s="4"/>
      <c r="F1135" s="4"/>
      <c r="G1135" s="4"/>
      <c r="H1135" s="4"/>
      <c r="I1135" s="4"/>
      <c r="J1135" s="4"/>
      <c r="K1135" s="4"/>
      <c r="L1135" s="4"/>
      <c r="M1135" s="4"/>
      <c r="N1135" s="4"/>
      <c r="O1135" s="4"/>
      <c r="P1135" s="4"/>
      <c r="Q1135" s="4"/>
      <c r="R1135" s="4"/>
      <c r="S1135" s="4"/>
      <c r="T1135" s="4"/>
      <c r="U1135" s="4"/>
      <c r="V1135" s="4"/>
      <c r="W1135" s="4"/>
      <c r="X1135" s="4"/>
      <c r="Y1135" s="4"/>
    </row>
    <row r="1136">
      <c r="A1136" s="4"/>
      <c r="B1136" s="4"/>
      <c r="C1136" s="3"/>
      <c r="D1136" s="4"/>
      <c r="E1136" s="4"/>
      <c r="F1136" s="4"/>
      <c r="G1136" s="4"/>
      <c r="H1136" s="4"/>
      <c r="I1136" s="4"/>
      <c r="J1136" s="4"/>
      <c r="K1136" s="4"/>
      <c r="L1136" s="4"/>
      <c r="M1136" s="4"/>
      <c r="N1136" s="4"/>
      <c r="O1136" s="4"/>
      <c r="P1136" s="4"/>
      <c r="Q1136" s="4"/>
      <c r="R1136" s="4"/>
      <c r="S1136" s="4"/>
      <c r="T1136" s="4"/>
      <c r="U1136" s="4"/>
      <c r="V1136" s="4"/>
      <c r="W1136" s="4"/>
      <c r="X1136" s="4"/>
      <c r="Y1136" s="4"/>
    </row>
    <row r="1137">
      <c r="A1137" s="4"/>
      <c r="B1137" s="4"/>
      <c r="C1137" s="3"/>
      <c r="D1137" s="4"/>
      <c r="E1137" s="4"/>
      <c r="F1137" s="4"/>
      <c r="G1137" s="4"/>
      <c r="H1137" s="4"/>
      <c r="I1137" s="4"/>
      <c r="J1137" s="4"/>
      <c r="K1137" s="4"/>
      <c r="L1137" s="4"/>
      <c r="M1137" s="4"/>
      <c r="N1137" s="4"/>
      <c r="O1137" s="4"/>
      <c r="P1137" s="4"/>
      <c r="Q1137" s="4"/>
      <c r="R1137" s="4"/>
      <c r="S1137" s="4"/>
      <c r="T1137" s="4"/>
      <c r="U1137" s="4"/>
      <c r="V1137" s="4"/>
      <c r="W1137" s="4"/>
      <c r="X1137" s="4"/>
      <c r="Y1137" s="4"/>
    </row>
    <row r="1138">
      <c r="A1138" s="4"/>
      <c r="B1138" s="4"/>
      <c r="C1138" s="3"/>
      <c r="D1138" s="4"/>
      <c r="E1138" s="4"/>
      <c r="F1138" s="4"/>
      <c r="G1138" s="4"/>
      <c r="H1138" s="4"/>
      <c r="I1138" s="4"/>
      <c r="J1138" s="4"/>
      <c r="K1138" s="4"/>
      <c r="L1138" s="4"/>
      <c r="M1138" s="4"/>
      <c r="N1138" s="4"/>
      <c r="O1138" s="4"/>
      <c r="P1138" s="4"/>
      <c r="Q1138" s="4"/>
      <c r="R1138" s="4"/>
      <c r="S1138" s="4"/>
      <c r="T1138" s="4"/>
      <c r="U1138" s="4"/>
      <c r="V1138" s="4"/>
      <c r="W1138" s="4"/>
      <c r="X1138" s="4"/>
      <c r="Y1138" s="4"/>
    </row>
    <row r="1139">
      <c r="A1139" s="4"/>
      <c r="B1139" s="4"/>
      <c r="C1139" s="3"/>
      <c r="D1139" s="4"/>
      <c r="E1139" s="4"/>
      <c r="F1139" s="4"/>
      <c r="G1139" s="4"/>
      <c r="H1139" s="4"/>
      <c r="I1139" s="4"/>
      <c r="J1139" s="4"/>
      <c r="K1139" s="4"/>
      <c r="L1139" s="4"/>
      <c r="M1139" s="4"/>
      <c r="N1139" s="4"/>
      <c r="O1139" s="4"/>
      <c r="P1139" s="4"/>
      <c r="Q1139" s="4"/>
      <c r="R1139" s="4"/>
      <c r="S1139" s="4"/>
      <c r="T1139" s="4"/>
      <c r="U1139" s="4"/>
      <c r="V1139" s="4"/>
      <c r="W1139" s="4"/>
      <c r="X1139" s="4"/>
      <c r="Y1139" s="4"/>
    </row>
    <row r="1140">
      <c r="A1140" s="4"/>
      <c r="B1140" s="4"/>
      <c r="C1140" s="3"/>
      <c r="D1140" s="4"/>
      <c r="E1140" s="4"/>
      <c r="F1140" s="4"/>
      <c r="G1140" s="4"/>
      <c r="H1140" s="4"/>
      <c r="I1140" s="4"/>
      <c r="J1140" s="4"/>
      <c r="K1140" s="4"/>
      <c r="L1140" s="4"/>
      <c r="M1140" s="4"/>
      <c r="N1140" s="4"/>
      <c r="O1140" s="4"/>
      <c r="P1140" s="4"/>
      <c r="Q1140" s="4"/>
      <c r="R1140" s="4"/>
      <c r="S1140" s="4"/>
      <c r="T1140" s="4"/>
      <c r="U1140" s="4"/>
      <c r="V1140" s="4"/>
      <c r="W1140" s="4"/>
      <c r="X1140" s="4"/>
      <c r="Y1140" s="4"/>
    </row>
    <row r="1141">
      <c r="A1141" s="4"/>
      <c r="B1141" s="4"/>
      <c r="C1141" s="3"/>
      <c r="D1141" s="4"/>
      <c r="E1141" s="4"/>
      <c r="F1141" s="4"/>
      <c r="G1141" s="4"/>
      <c r="H1141" s="4"/>
      <c r="I1141" s="4"/>
      <c r="J1141" s="4"/>
      <c r="K1141" s="4"/>
      <c r="L1141" s="4"/>
      <c r="M1141" s="4"/>
      <c r="N1141" s="4"/>
      <c r="O1141" s="4"/>
      <c r="P1141" s="4"/>
      <c r="Q1141" s="4"/>
      <c r="R1141" s="4"/>
      <c r="S1141" s="4"/>
      <c r="T1141" s="4"/>
      <c r="U1141" s="4"/>
      <c r="V1141" s="4"/>
      <c r="W1141" s="4"/>
      <c r="X1141" s="4"/>
      <c r="Y1141" s="4"/>
    </row>
    <row r="1142">
      <c r="A1142" s="4"/>
      <c r="B1142" s="4"/>
      <c r="C1142" s="3"/>
      <c r="D1142" s="4"/>
      <c r="E1142" s="4"/>
      <c r="F1142" s="4"/>
      <c r="G1142" s="4"/>
      <c r="H1142" s="4"/>
      <c r="I1142" s="4"/>
      <c r="J1142" s="4"/>
      <c r="K1142" s="4"/>
      <c r="L1142" s="4"/>
      <c r="M1142" s="4"/>
      <c r="N1142" s="4"/>
      <c r="O1142" s="4"/>
      <c r="P1142" s="4"/>
      <c r="Q1142" s="4"/>
      <c r="R1142" s="4"/>
      <c r="S1142" s="4"/>
      <c r="T1142" s="4"/>
      <c r="U1142" s="4"/>
      <c r="V1142" s="4"/>
      <c r="W1142" s="4"/>
      <c r="X1142" s="4"/>
      <c r="Y1142" s="4"/>
    </row>
    <row r="1143">
      <c r="A1143" s="4"/>
      <c r="B1143" s="4"/>
      <c r="C1143" s="3"/>
      <c r="D1143" s="4"/>
      <c r="E1143" s="4"/>
      <c r="F1143" s="4"/>
      <c r="G1143" s="4"/>
      <c r="H1143" s="4"/>
      <c r="I1143" s="4"/>
      <c r="J1143" s="4"/>
      <c r="K1143" s="4"/>
      <c r="L1143" s="4"/>
      <c r="M1143" s="4"/>
      <c r="N1143" s="4"/>
      <c r="O1143" s="4"/>
      <c r="P1143" s="4"/>
      <c r="Q1143" s="4"/>
      <c r="R1143" s="4"/>
      <c r="S1143" s="4"/>
      <c r="T1143" s="4"/>
      <c r="U1143" s="4"/>
      <c r="V1143" s="4"/>
      <c r="W1143" s="4"/>
      <c r="X1143" s="4"/>
      <c r="Y1143" s="4"/>
    </row>
  </sheetData>
  <conditionalFormatting sqref="B1:B1143">
    <cfRule type="expression" dxfId="0" priority="1">
      <formula>COUNTIF(B:B, B1) &gt; 1</formula>
    </cfRule>
  </conditionalFormatting>
  <dataValidations>
    <dataValidation type="list" allowBlank="1" showErrorMessage="1" sqref="H2:H1143">
      <formula1>"Keep ,Discard"</formula1>
    </dataValidation>
    <dataValidation type="list" allowBlank="1" showErrorMessage="1" sqref="F1:F1143">
      <formula1>"IEEE,Springer,Science Direct,ACM,Taylor and Francis ,Wiley ,Google Scholar ,Source ,Scopus,Semantic Scholar,Source"</formula1>
    </dataValidation>
    <dataValidation type="list" allowBlank="1" showErrorMessage="1" sqref="G2:G1143">
      <formula1>"Conference,Journal"</formula1>
    </dataValidation>
    <dataValidation type="list" allowBlank="1" showErrorMessage="1" sqref="D2:D1143">
      <formula1>"2025,2024,2023,2022,2021,2020,2019,2018,2017,2016,2015"</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0"/>
    <col customWidth="1" min="2" max="2" width="31.25"/>
    <col customWidth="1" min="3" max="3" width="62.13"/>
    <col customWidth="1" min="5" max="5" width="34.13"/>
    <col customWidth="1" min="6" max="6" width="16.75"/>
    <col customWidth="1" min="7" max="7" width="25.13"/>
    <col customWidth="1" min="8" max="8" width="18.5"/>
  </cols>
  <sheetData>
    <row r="1">
      <c r="A1" s="13" t="s">
        <v>28</v>
      </c>
      <c r="B1" s="13" t="s">
        <v>29</v>
      </c>
      <c r="C1" s="14" t="s">
        <v>30</v>
      </c>
      <c r="D1" s="13" t="s">
        <v>31</v>
      </c>
      <c r="E1" s="14" t="s">
        <v>32</v>
      </c>
      <c r="F1" s="14" t="s">
        <v>33</v>
      </c>
      <c r="G1" s="14" t="s">
        <v>34</v>
      </c>
      <c r="H1" s="14" t="s">
        <v>1228</v>
      </c>
      <c r="I1" s="4"/>
      <c r="J1" s="4"/>
      <c r="K1" s="4"/>
      <c r="L1" s="4"/>
      <c r="M1" s="4"/>
      <c r="N1" s="4"/>
      <c r="O1" s="4"/>
      <c r="P1" s="4"/>
      <c r="Q1" s="4"/>
      <c r="R1" s="4"/>
      <c r="S1" s="4"/>
      <c r="T1" s="4"/>
      <c r="U1" s="4"/>
      <c r="V1" s="4"/>
      <c r="W1" s="4"/>
      <c r="X1" s="4"/>
      <c r="Y1" s="4"/>
    </row>
    <row r="2">
      <c r="A2" s="12">
        <v>1.0</v>
      </c>
      <c r="B2" s="11" t="s">
        <v>35</v>
      </c>
      <c r="C2" s="11" t="s">
        <v>36</v>
      </c>
      <c r="D2" s="15">
        <v>2024.0</v>
      </c>
      <c r="E2" s="11" t="s">
        <v>37</v>
      </c>
      <c r="F2" s="11" t="s">
        <v>38</v>
      </c>
      <c r="G2" s="11" t="s">
        <v>39</v>
      </c>
      <c r="H2" s="11" t="s">
        <v>1229</v>
      </c>
      <c r="I2" s="4"/>
      <c r="J2" s="4"/>
      <c r="K2" s="4"/>
      <c r="L2" s="4"/>
      <c r="M2" s="4"/>
      <c r="N2" s="4"/>
      <c r="O2" s="4"/>
      <c r="P2" s="4"/>
      <c r="Q2" s="4"/>
      <c r="R2" s="4"/>
      <c r="S2" s="4"/>
      <c r="T2" s="4"/>
      <c r="U2" s="4"/>
      <c r="V2" s="4"/>
      <c r="W2" s="4"/>
      <c r="X2" s="4"/>
      <c r="Y2" s="4"/>
    </row>
    <row r="3">
      <c r="A3" s="11">
        <v>2.0</v>
      </c>
      <c r="B3" s="11" t="s">
        <v>40</v>
      </c>
      <c r="C3" s="11" t="s">
        <v>41</v>
      </c>
      <c r="D3" s="11">
        <v>2016.0</v>
      </c>
      <c r="E3" s="11" t="s">
        <v>42</v>
      </c>
      <c r="F3" s="11" t="s">
        <v>38</v>
      </c>
      <c r="G3" s="11" t="s">
        <v>39</v>
      </c>
      <c r="H3" s="11" t="s">
        <v>1229</v>
      </c>
      <c r="I3" s="4"/>
      <c r="J3" s="4"/>
      <c r="K3" s="4"/>
      <c r="L3" s="4"/>
      <c r="M3" s="4"/>
      <c r="N3" s="4"/>
      <c r="O3" s="4"/>
      <c r="P3" s="4"/>
      <c r="Q3" s="4"/>
      <c r="R3" s="4"/>
      <c r="S3" s="4"/>
      <c r="T3" s="4"/>
      <c r="U3" s="4"/>
      <c r="V3" s="4"/>
      <c r="W3" s="4"/>
      <c r="X3" s="4"/>
      <c r="Y3" s="4"/>
    </row>
    <row r="4">
      <c r="A4" s="11">
        <v>3.0</v>
      </c>
      <c r="B4" s="11" t="s">
        <v>43</v>
      </c>
      <c r="C4" s="11" t="s">
        <v>44</v>
      </c>
      <c r="D4" s="11">
        <v>2020.0</v>
      </c>
      <c r="E4" s="11" t="s">
        <v>45</v>
      </c>
      <c r="F4" s="11" t="s">
        <v>38</v>
      </c>
      <c r="G4" s="11" t="s">
        <v>39</v>
      </c>
      <c r="H4" s="11" t="s">
        <v>1230</v>
      </c>
      <c r="I4" s="4"/>
      <c r="J4" s="4"/>
      <c r="K4" s="4"/>
      <c r="L4" s="4"/>
      <c r="M4" s="4"/>
      <c r="N4" s="4"/>
      <c r="O4" s="4"/>
      <c r="P4" s="4"/>
      <c r="Q4" s="4"/>
      <c r="R4" s="4"/>
      <c r="S4" s="4"/>
      <c r="T4" s="4"/>
      <c r="U4" s="4"/>
      <c r="V4" s="4"/>
      <c r="W4" s="4"/>
      <c r="X4" s="4"/>
      <c r="Y4" s="4"/>
    </row>
    <row r="5">
      <c r="A5" s="12">
        <v>4.0</v>
      </c>
      <c r="B5" s="11" t="s">
        <v>46</v>
      </c>
      <c r="C5" s="11" t="s">
        <v>47</v>
      </c>
      <c r="D5" s="11">
        <v>2024.0</v>
      </c>
      <c r="E5" s="11" t="s">
        <v>48</v>
      </c>
      <c r="F5" s="11" t="s">
        <v>38</v>
      </c>
      <c r="G5" s="11" t="s">
        <v>49</v>
      </c>
      <c r="H5" s="11" t="s">
        <v>1229</v>
      </c>
      <c r="I5" s="4"/>
      <c r="J5" s="4"/>
      <c r="K5" s="4"/>
      <c r="L5" s="4"/>
      <c r="M5" s="4"/>
      <c r="N5" s="4"/>
      <c r="O5" s="4"/>
      <c r="P5" s="4"/>
      <c r="Q5" s="4"/>
      <c r="R5" s="4"/>
      <c r="S5" s="4"/>
      <c r="T5" s="4"/>
      <c r="U5" s="4"/>
      <c r="V5" s="4"/>
      <c r="W5" s="4"/>
      <c r="X5" s="4"/>
      <c r="Y5" s="4"/>
    </row>
    <row r="6">
      <c r="A6" s="11">
        <v>5.0</v>
      </c>
      <c r="B6" s="11" t="s">
        <v>50</v>
      </c>
      <c r="C6" s="11" t="s">
        <v>51</v>
      </c>
      <c r="D6" s="11">
        <v>2023.0</v>
      </c>
      <c r="E6" s="11" t="s">
        <v>52</v>
      </c>
      <c r="F6" s="11" t="s">
        <v>38</v>
      </c>
      <c r="G6" s="11" t="s">
        <v>39</v>
      </c>
      <c r="H6" s="11" t="s">
        <v>1229</v>
      </c>
      <c r="I6" s="4"/>
      <c r="J6" s="4"/>
      <c r="K6" s="4"/>
      <c r="L6" s="4"/>
      <c r="M6" s="4"/>
      <c r="N6" s="4"/>
      <c r="O6" s="4"/>
      <c r="P6" s="4"/>
      <c r="Q6" s="4"/>
      <c r="R6" s="4"/>
      <c r="S6" s="4"/>
      <c r="T6" s="4"/>
      <c r="U6" s="4"/>
      <c r="V6" s="4"/>
      <c r="W6" s="4"/>
      <c r="X6" s="4"/>
      <c r="Y6" s="4"/>
    </row>
    <row r="7">
      <c r="A7" s="11">
        <v>6.0</v>
      </c>
      <c r="B7" s="11" t="s">
        <v>53</v>
      </c>
      <c r="C7" s="11" t="s">
        <v>54</v>
      </c>
      <c r="D7" s="11">
        <v>2021.0</v>
      </c>
      <c r="E7" s="11" t="s">
        <v>55</v>
      </c>
      <c r="F7" s="11" t="s">
        <v>38</v>
      </c>
      <c r="G7" s="11" t="s">
        <v>39</v>
      </c>
      <c r="H7" s="11" t="s">
        <v>1230</v>
      </c>
      <c r="I7" s="4"/>
      <c r="J7" s="4"/>
      <c r="K7" s="4"/>
      <c r="L7" s="4"/>
      <c r="M7" s="4"/>
      <c r="N7" s="4"/>
      <c r="O7" s="4"/>
      <c r="P7" s="4"/>
      <c r="Q7" s="4"/>
      <c r="R7" s="4"/>
      <c r="S7" s="4"/>
      <c r="T7" s="4"/>
      <c r="U7" s="4"/>
      <c r="V7" s="4"/>
      <c r="W7" s="4"/>
      <c r="X7" s="4"/>
      <c r="Y7" s="4"/>
    </row>
    <row r="8">
      <c r="A8" s="12">
        <v>7.0</v>
      </c>
      <c r="B8" s="11" t="s">
        <v>56</v>
      </c>
      <c r="C8" s="11" t="s">
        <v>57</v>
      </c>
      <c r="D8" s="11">
        <v>2015.0</v>
      </c>
      <c r="E8" s="11" t="s">
        <v>58</v>
      </c>
      <c r="F8" s="11" t="s">
        <v>38</v>
      </c>
      <c r="G8" s="11" t="s">
        <v>39</v>
      </c>
      <c r="H8" s="11" t="s">
        <v>1230</v>
      </c>
      <c r="I8" s="4"/>
      <c r="J8" s="4"/>
      <c r="K8" s="4"/>
      <c r="L8" s="4"/>
      <c r="M8" s="4"/>
      <c r="N8" s="4"/>
      <c r="O8" s="4"/>
      <c r="P8" s="4"/>
      <c r="Q8" s="4"/>
      <c r="R8" s="4"/>
      <c r="S8" s="4"/>
      <c r="T8" s="4"/>
      <c r="U8" s="4"/>
      <c r="V8" s="4"/>
      <c r="W8" s="4"/>
      <c r="X8" s="4"/>
      <c r="Y8" s="4"/>
    </row>
    <row r="9">
      <c r="A9" s="11">
        <v>8.0</v>
      </c>
      <c r="B9" s="11" t="s">
        <v>59</v>
      </c>
      <c r="C9" s="11" t="s">
        <v>60</v>
      </c>
      <c r="D9" s="11">
        <v>2020.0</v>
      </c>
      <c r="E9" s="11" t="s">
        <v>61</v>
      </c>
      <c r="F9" s="11" t="s">
        <v>38</v>
      </c>
      <c r="G9" s="11" t="s">
        <v>39</v>
      </c>
      <c r="H9" s="11" t="s">
        <v>1229</v>
      </c>
      <c r="I9" s="11"/>
      <c r="J9" s="4"/>
      <c r="K9" s="4"/>
      <c r="L9" s="4"/>
      <c r="M9" s="4"/>
      <c r="N9" s="4"/>
      <c r="O9" s="4"/>
      <c r="P9" s="4"/>
      <c r="Q9" s="4"/>
      <c r="R9" s="4"/>
      <c r="S9" s="4"/>
      <c r="T9" s="4"/>
      <c r="U9" s="4"/>
      <c r="V9" s="4"/>
      <c r="W9" s="4"/>
      <c r="X9" s="4"/>
      <c r="Y9" s="4"/>
    </row>
    <row r="10">
      <c r="A10" s="11">
        <v>9.0</v>
      </c>
      <c r="B10" s="11" t="s">
        <v>62</v>
      </c>
      <c r="C10" s="11" t="s">
        <v>63</v>
      </c>
      <c r="D10" s="11">
        <v>2025.0</v>
      </c>
      <c r="E10" s="11" t="s">
        <v>64</v>
      </c>
      <c r="F10" s="11" t="s">
        <v>65</v>
      </c>
      <c r="G10" s="11" t="s">
        <v>39</v>
      </c>
      <c r="H10" s="11" t="s">
        <v>1229</v>
      </c>
      <c r="I10" s="4"/>
      <c r="J10" s="4"/>
      <c r="K10" s="4"/>
      <c r="L10" s="4"/>
      <c r="M10" s="4"/>
      <c r="N10" s="4"/>
      <c r="O10" s="4"/>
      <c r="P10" s="4"/>
      <c r="Q10" s="4"/>
      <c r="R10" s="4"/>
      <c r="S10" s="4"/>
      <c r="T10" s="4"/>
      <c r="U10" s="4"/>
      <c r="V10" s="4"/>
      <c r="W10" s="4"/>
      <c r="X10" s="4"/>
      <c r="Y10" s="4"/>
    </row>
    <row r="11">
      <c r="A11" s="12">
        <v>10.0</v>
      </c>
      <c r="B11" s="11" t="s">
        <v>66</v>
      </c>
      <c r="C11" s="11" t="s">
        <v>67</v>
      </c>
      <c r="D11" s="11">
        <v>2024.0</v>
      </c>
      <c r="E11" s="11" t="s">
        <v>68</v>
      </c>
      <c r="F11" s="11" t="s">
        <v>65</v>
      </c>
      <c r="G11" s="11" t="s">
        <v>39</v>
      </c>
      <c r="H11" s="11" t="s">
        <v>1229</v>
      </c>
      <c r="I11" s="11"/>
      <c r="J11" s="4"/>
      <c r="K11" s="4"/>
      <c r="L11" s="4"/>
      <c r="M11" s="4"/>
      <c r="N11" s="4"/>
      <c r="O11" s="4"/>
      <c r="P11" s="4"/>
      <c r="Q11" s="4"/>
      <c r="R11" s="4"/>
      <c r="S11" s="4"/>
      <c r="T11" s="4"/>
      <c r="U11" s="4"/>
      <c r="V11" s="4"/>
      <c r="W11" s="4"/>
      <c r="X11" s="4"/>
      <c r="Y11" s="4"/>
    </row>
    <row r="12">
      <c r="A12" s="11">
        <v>11.0</v>
      </c>
      <c r="B12" s="11" t="s">
        <v>69</v>
      </c>
      <c r="C12" s="11" t="s">
        <v>70</v>
      </c>
      <c r="D12" s="11">
        <v>2024.0</v>
      </c>
      <c r="E12" s="11" t="s">
        <v>71</v>
      </c>
      <c r="F12" s="11" t="s">
        <v>65</v>
      </c>
      <c r="G12" s="11" t="s">
        <v>49</v>
      </c>
      <c r="H12" s="11" t="s">
        <v>1230</v>
      </c>
      <c r="I12" s="11"/>
      <c r="J12" s="4"/>
      <c r="K12" s="4"/>
      <c r="L12" s="4"/>
      <c r="M12" s="4"/>
      <c r="N12" s="4"/>
      <c r="O12" s="4"/>
      <c r="P12" s="4"/>
      <c r="Q12" s="4"/>
      <c r="R12" s="4"/>
      <c r="S12" s="4"/>
      <c r="T12" s="4"/>
      <c r="U12" s="4"/>
      <c r="V12" s="4"/>
      <c r="W12" s="4"/>
      <c r="X12" s="4"/>
      <c r="Y12" s="4"/>
    </row>
    <row r="13">
      <c r="A13" s="11">
        <v>12.0</v>
      </c>
      <c r="B13" s="11" t="s">
        <v>72</v>
      </c>
      <c r="C13" s="11" t="s">
        <v>73</v>
      </c>
      <c r="D13" s="11">
        <v>2024.0</v>
      </c>
      <c r="E13" s="11" t="s">
        <v>74</v>
      </c>
      <c r="F13" s="11" t="s">
        <v>65</v>
      </c>
      <c r="G13" s="11" t="s">
        <v>39</v>
      </c>
      <c r="H13" s="11" t="s">
        <v>1230</v>
      </c>
      <c r="I13" s="11"/>
      <c r="J13" s="4"/>
      <c r="K13" s="4"/>
      <c r="L13" s="4"/>
      <c r="M13" s="4"/>
      <c r="N13" s="4"/>
      <c r="O13" s="4"/>
      <c r="P13" s="4"/>
      <c r="Q13" s="4"/>
      <c r="R13" s="4"/>
      <c r="S13" s="4"/>
      <c r="T13" s="4"/>
      <c r="U13" s="4"/>
      <c r="V13" s="4"/>
      <c r="W13" s="4"/>
      <c r="X13" s="4"/>
      <c r="Y13" s="4"/>
    </row>
    <row r="14">
      <c r="A14" s="12">
        <v>13.0</v>
      </c>
      <c r="B14" s="11" t="s">
        <v>75</v>
      </c>
      <c r="C14" s="11" t="s">
        <v>76</v>
      </c>
      <c r="D14" s="11">
        <v>2023.0</v>
      </c>
      <c r="E14" s="11" t="s">
        <v>77</v>
      </c>
      <c r="F14" s="11" t="s">
        <v>65</v>
      </c>
      <c r="G14" s="11" t="s">
        <v>49</v>
      </c>
      <c r="H14" s="11" t="s">
        <v>1230</v>
      </c>
      <c r="I14" s="4"/>
      <c r="J14" s="4"/>
      <c r="K14" s="4"/>
      <c r="L14" s="4"/>
      <c r="M14" s="4"/>
      <c r="N14" s="4"/>
      <c r="O14" s="4"/>
      <c r="P14" s="4"/>
      <c r="Q14" s="4"/>
      <c r="R14" s="4"/>
      <c r="S14" s="4"/>
      <c r="T14" s="4"/>
      <c r="U14" s="4"/>
      <c r="V14" s="4"/>
      <c r="W14" s="4"/>
      <c r="X14" s="4"/>
      <c r="Y14" s="4"/>
    </row>
    <row r="15">
      <c r="A15" s="11">
        <v>14.0</v>
      </c>
      <c r="B15" s="11" t="s">
        <v>78</v>
      </c>
      <c r="C15" s="11" t="s">
        <v>79</v>
      </c>
      <c r="D15" s="11">
        <v>2025.0</v>
      </c>
      <c r="E15" s="11" t="s">
        <v>80</v>
      </c>
      <c r="F15" s="11" t="s">
        <v>65</v>
      </c>
      <c r="G15" s="11" t="s">
        <v>39</v>
      </c>
      <c r="H15" s="11" t="s">
        <v>1230</v>
      </c>
      <c r="I15" s="11"/>
      <c r="J15" s="4"/>
      <c r="K15" s="4"/>
      <c r="L15" s="4"/>
      <c r="M15" s="4"/>
      <c r="N15" s="4"/>
      <c r="O15" s="4"/>
      <c r="P15" s="4"/>
      <c r="Q15" s="4"/>
      <c r="R15" s="4"/>
      <c r="S15" s="4"/>
      <c r="T15" s="4"/>
      <c r="U15" s="4"/>
      <c r="V15" s="4"/>
      <c r="W15" s="4"/>
      <c r="X15" s="4"/>
      <c r="Y15" s="4"/>
    </row>
    <row r="16">
      <c r="A16" s="11">
        <v>15.0</v>
      </c>
      <c r="B16" s="11" t="s">
        <v>90</v>
      </c>
      <c r="C16" s="11" t="s">
        <v>91</v>
      </c>
      <c r="D16" s="11">
        <v>2025.0</v>
      </c>
      <c r="E16" s="11" t="s">
        <v>92</v>
      </c>
      <c r="F16" s="11" t="s">
        <v>65</v>
      </c>
      <c r="G16" s="11" t="s">
        <v>49</v>
      </c>
      <c r="H16" s="11" t="s">
        <v>1229</v>
      </c>
      <c r="I16" s="11"/>
      <c r="J16" s="4"/>
      <c r="K16" s="4"/>
      <c r="L16" s="4"/>
      <c r="M16" s="4"/>
      <c r="N16" s="4"/>
      <c r="O16" s="4"/>
      <c r="P16" s="4"/>
      <c r="Q16" s="4"/>
      <c r="R16" s="4"/>
      <c r="S16" s="4"/>
      <c r="T16" s="4"/>
      <c r="U16" s="4"/>
      <c r="V16" s="4"/>
      <c r="W16" s="4"/>
      <c r="X16" s="4"/>
      <c r="Y16" s="4"/>
    </row>
    <row r="17">
      <c r="A17" s="12">
        <v>16.0</v>
      </c>
      <c r="B17" s="11" t="s">
        <v>93</v>
      </c>
      <c r="C17" s="11" t="s">
        <v>94</v>
      </c>
      <c r="D17" s="11">
        <v>2025.0</v>
      </c>
      <c r="E17" s="11" t="s">
        <v>95</v>
      </c>
      <c r="F17" s="11" t="s">
        <v>65</v>
      </c>
      <c r="G17" s="11" t="s">
        <v>49</v>
      </c>
      <c r="H17" s="11" t="s">
        <v>1229</v>
      </c>
      <c r="I17" s="4"/>
      <c r="J17" s="4"/>
      <c r="K17" s="4"/>
      <c r="L17" s="4"/>
      <c r="M17" s="4"/>
      <c r="N17" s="4"/>
      <c r="O17" s="4"/>
      <c r="P17" s="4"/>
      <c r="Q17" s="4"/>
      <c r="R17" s="4"/>
      <c r="S17" s="4"/>
      <c r="T17" s="4"/>
      <c r="U17" s="4"/>
      <c r="V17" s="4"/>
      <c r="W17" s="4"/>
      <c r="X17" s="4"/>
      <c r="Y17" s="4"/>
    </row>
    <row r="18">
      <c r="A18" s="11">
        <v>17.0</v>
      </c>
      <c r="B18" s="11" t="s">
        <v>101</v>
      </c>
      <c r="C18" s="11" t="s">
        <v>102</v>
      </c>
      <c r="D18" s="11">
        <v>2025.0</v>
      </c>
      <c r="E18" s="11" t="s">
        <v>103</v>
      </c>
      <c r="F18" s="11" t="s">
        <v>65</v>
      </c>
      <c r="G18" s="11" t="s">
        <v>49</v>
      </c>
      <c r="H18" s="11" t="s">
        <v>1230</v>
      </c>
      <c r="I18" s="4"/>
      <c r="J18" s="4"/>
      <c r="K18" s="4"/>
      <c r="L18" s="4"/>
      <c r="M18" s="4"/>
      <c r="N18" s="4"/>
      <c r="O18" s="4"/>
      <c r="P18" s="4"/>
      <c r="Q18" s="4"/>
      <c r="R18" s="4"/>
      <c r="S18" s="4"/>
      <c r="T18" s="4"/>
      <c r="U18" s="4"/>
      <c r="V18" s="4"/>
      <c r="W18" s="4"/>
      <c r="X18" s="4"/>
      <c r="Y18" s="4"/>
    </row>
    <row r="19">
      <c r="A19" s="11">
        <v>18.0</v>
      </c>
      <c r="B19" s="11" t="s">
        <v>104</v>
      </c>
      <c r="C19" s="11" t="s">
        <v>105</v>
      </c>
      <c r="D19" s="11">
        <v>2024.0</v>
      </c>
      <c r="E19" s="11" t="s">
        <v>106</v>
      </c>
      <c r="F19" s="11" t="s">
        <v>65</v>
      </c>
      <c r="G19" s="11" t="s">
        <v>49</v>
      </c>
      <c r="H19" s="11" t="s">
        <v>1230</v>
      </c>
      <c r="I19" s="11"/>
      <c r="J19" s="4"/>
      <c r="K19" s="4"/>
      <c r="L19" s="4"/>
      <c r="M19" s="4"/>
      <c r="N19" s="4"/>
      <c r="O19" s="4"/>
      <c r="P19" s="4"/>
      <c r="Q19" s="4"/>
      <c r="R19" s="4"/>
      <c r="S19" s="4"/>
      <c r="T19" s="4"/>
      <c r="U19" s="4"/>
      <c r="V19" s="4"/>
      <c r="W19" s="4"/>
      <c r="X19" s="4"/>
      <c r="Y19" s="4"/>
    </row>
    <row r="20">
      <c r="A20" s="12">
        <v>19.0</v>
      </c>
      <c r="B20" s="11" t="s">
        <v>107</v>
      </c>
      <c r="C20" s="11" t="s">
        <v>108</v>
      </c>
      <c r="D20" s="11">
        <v>2024.0</v>
      </c>
      <c r="E20" s="11" t="s">
        <v>109</v>
      </c>
      <c r="F20" s="11" t="s">
        <v>65</v>
      </c>
      <c r="G20" s="11" t="s">
        <v>39</v>
      </c>
      <c r="H20" s="11" t="s">
        <v>1229</v>
      </c>
      <c r="I20" s="4"/>
      <c r="J20" s="4"/>
      <c r="K20" s="4"/>
      <c r="L20" s="4"/>
      <c r="M20" s="4"/>
      <c r="N20" s="4"/>
      <c r="O20" s="4"/>
      <c r="P20" s="4"/>
      <c r="Q20" s="4"/>
      <c r="R20" s="4"/>
      <c r="S20" s="4"/>
      <c r="T20" s="4"/>
      <c r="U20" s="4"/>
      <c r="V20" s="4"/>
      <c r="W20" s="4"/>
      <c r="X20" s="4"/>
      <c r="Y20" s="4"/>
    </row>
    <row r="21">
      <c r="A21" s="11">
        <v>20.0</v>
      </c>
      <c r="B21" s="11" t="s">
        <v>116</v>
      </c>
      <c r="C21" s="11" t="s">
        <v>117</v>
      </c>
      <c r="D21" s="11">
        <v>2025.0</v>
      </c>
      <c r="E21" s="11" t="s">
        <v>118</v>
      </c>
      <c r="F21" s="11" t="s">
        <v>65</v>
      </c>
      <c r="G21" s="11" t="s">
        <v>49</v>
      </c>
      <c r="H21" s="11" t="s">
        <v>1229</v>
      </c>
      <c r="I21" s="4"/>
      <c r="J21" s="4"/>
      <c r="K21" s="4"/>
      <c r="L21" s="4"/>
      <c r="M21" s="4"/>
      <c r="N21" s="4"/>
      <c r="O21" s="4"/>
      <c r="P21" s="4"/>
      <c r="Q21" s="4"/>
      <c r="R21" s="4"/>
      <c r="S21" s="4"/>
      <c r="T21" s="4"/>
      <c r="U21" s="4"/>
      <c r="V21" s="4"/>
      <c r="W21" s="4"/>
      <c r="X21" s="4"/>
      <c r="Y21" s="4"/>
    </row>
    <row r="22">
      <c r="A22" s="11">
        <v>21.0</v>
      </c>
      <c r="B22" s="11" t="s">
        <v>119</v>
      </c>
      <c r="C22" s="11" t="s">
        <v>120</v>
      </c>
      <c r="D22" s="11">
        <v>2024.0</v>
      </c>
      <c r="E22" s="11" t="s">
        <v>121</v>
      </c>
      <c r="F22" s="11" t="s">
        <v>65</v>
      </c>
      <c r="G22" s="11" t="s">
        <v>39</v>
      </c>
      <c r="H22" s="11" t="s">
        <v>1230</v>
      </c>
      <c r="I22" s="11"/>
      <c r="J22" s="4"/>
      <c r="K22" s="4"/>
      <c r="L22" s="4"/>
      <c r="M22" s="4"/>
      <c r="N22" s="4"/>
      <c r="O22" s="4"/>
      <c r="P22" s="4"/>
      <c r="Q22" s="4"/>
      <c r="R22" s="4"/>
      <c r="S22" s="4"/>
      <c r="T22" s="4"/>
      <c r="U22" s="4"/>
      <c r="V22" s="4"/>
      <c r="W22" s="4"/>
      <c r="X22" s="4"/>
      <c r="Y22" s="4"/>
    </row>
    <row r="23">
      <c r="A23" s="12">
        <v>22.0</v>
      </c>
      <c r="B23" s="11" t="s">
        <v>122</v>
      </c>
      <c r="C23" s="11" t="s">
        <v>123</v>
      </c>
      <c r="D23" s="11">
        <v>2025.0</v>
      </c>
      <c r="E23" s="11" t="s">
        <v>124</v>
      </c>
      <c r="F23" s="11" t="s">
        <v>65</v>
      </c>
      <c r="G23" s="11" t="s">
        <v>39</v>
      </c>
      <c r="H23" s="11" t="s">
        <v>1229</v>
      </c>
      <c r="I23" s="11"/>
      <c r="J23" s="4"/>
      <c r="K23" s="4"/>
      <c r="L23" s="4"/>
      <c r="M23" s="4"/>
      <c r="N23" s="4"/>
      <c r="O23" s="4"/>
      <c r="P23" s="4"/>
      <c r="Q23" s="4"/>
      <c r="R23" s="4"/>
      <c r="S23" s="4"/>
      <c r="T23" s="4"/>
      <c r="U23" s="4"/>
      <c r="V23" s="4"/>
      <c r="W23" s="4"/>
      <c r="X23" s="4"/>
      <c r="Y23" s="4"/>
    </row>
    <row r="24">
      <c r="A24" s="11">
        <v>23.0</v>
      </c>
      <c r="B24" s="11" t="s">
        <v>125</v>
      </c>
      <c r="C24" s="11" t="s">
        <v>126</v>
      </c>
      <c r="D24" s="11">
        <v>2025.0</v>
      </c>
      <c r="E24" s="11" t="s">
        <v>71</v>
      </c>
      <c r="F24" s="11" t="s">
        <v>65</v>
      </c>
      <c r="G24" s="11" t="s">
        <v>49</v>
      </c>
      <c r="H24" s="11" t="s">
        <v>1230</v>
      </c>
      <c r="I24" s="11"/>
      <c r="J24" s="4"/>
      <c r="K24" s="4"/>
      <c r="L24" s="4"/>
      <c r="M24" s="4"/>
      <c r="N24" s="4"/>
      <c r="O24" s="4"/>
      <c r="P24" s="4"/>
      <c r="Q24" s="4"/>
      <c r="R24" s="4"/>
      <c r="S24" s="4"/>
      <c r="T24" s="4"/>
      <c r="U24" s="4"/>
      <c r="V24" s="4"/>
      <c r="W24" s="4"/>
      <c r="X24" s="4"/>
      <c r="Y24" s="4"/>
    </row>
    <row r="25">
      <c r="A25" s="11">
        <v>24.0</v>
      </c>
      <c r="B25" s="11" t="s">
        <v>127</v>
      </c>
      <c r="C25" s="11" t="s">
        <v>128</v>
      </c>
      <c r="D25" s="11">
        <v>2023.0</v>
      </c>
      <c r="E25" s="11" t="s">
        <v>100</v>
      </c>
      <c r="F25" s="11" t="s">
        <v>65</v>
      </c>
      <c r="G25" s="11" t="s">
        <v>49</v>
      </c>
      <c r="H25" s="11" t="s">
        <v>1229</v>
      </c>
      <c r="I25" s="11"/>
      <c r="J25" s="4"/>
      <c r="K25" s="4"/>
      <c r="L25" s="4"/>
      <c r="M25" s="4"/>
      <c r="N25" s="4"/>
      <c r="O25" s="4"/>
      <c r="P25" s="4"/>
      <c r="Q25" s="4"/>
      <c r="R25" s="4"/>
      <c r="S25" s="4"/>
      <c r="T25" s="4"/>
      <c r="U25" s="4"/>
      <c r="V25" s="4"/>
      <c r="W25" s="4"/>
      <c r="X25" s="4"/>
      <c r="Y25" s="4"/>
    </row>
    <row r="26">
      <c r="A26" s="12">
        <v>25.0</v>
      </c>
      <c r="B26" s="11" t="s">
        <v>129</v>
      </c>
      <c r="C26" s="11" t="s">
        <v>130</v>
      </c>
      <c r="D26" s="11">
        <v>2022.0</v>
      </c>
      <c r="E26" s="11" t="s">
        <v>131</v>
      </c>
      <c r="F26" s="11" t="s">
        <v>65</v>
      </c>
      <c r="G26" s="11" t="s">
        <v>39</v>
      </c>
      <c r="H26" s="11" t="s">
        <v>1230</v>
      </c>
      <c r="I26" s="4"/>
      <c r="J26" s="4"/>
      <c r="K26" s="4"/>
      <c r="L26" s="4"/>
      <c r="M26" s="4"/>
      <c r="N26" s="4"/>
      <c r="O26" s="4"/>
      <c r="P26" s="4"/>
      <c r="Q26" s="4"/>
      <c r="R26" s="4"/>
      <c r="S26" s="4"/>
      <c r="T26" s="4"/>
      <c r="U26" s="4"/>
      <c r="V26" s="4"/>
      <c r="W26" s="4"/>
      <c r="X26" s="4"/>
      <c r="Y26" s="4"/>
    </row>
    <row r="27">
      <c r="A27" s="11">
        <v>26.0</v>
      </c>
      <c r="B27" s="11" t="s">
        <v>132</v>
      </c>
      <c r="C27" s="11" t="s">
        <v>133</v>
      </c>
      <c r="D27" s="11">
        <v>2025.0</v>
      </c>
      <c r="E27" s="11" t="s">
        <v>134</v>
      </c>
      <c r="F27" s="11" t="s">
        <v>65</v>
      </c>
      <c r="G27" s="11" t="s">
        <v>49</v>
      </c>
      <c r="H27" s="11" t="s">
        <v>1229</v>
      </c>
      <c r="I27" s="11"/>
      <c r="J27" s="4"/>
      <c r="K27" s="4"/>
      <c r="L27" s="4"/>
      <c r="M27" s="4"/>
      <c r="N27" s="4"/>
      <c r="O27" s="4"/>
      <c r="P27" s="4"/>
      <c r="Q27" s="4"/>
      <c r="R27" s="4"/>
      <c r="S27" s="4"/>
      <c r="T27" s="4"/>
      <c r="U27" s="4"/>
      <c r="V27" s="4"/>
      <c r="W27" s="4"/>
      <c r="X27" s="4"/>
      <c r="Y27" s="4"/>
    </row>
    <row r="28">
      <c r="A28" s="11">
        <v>27.0</v>
      </c>
      <c r="B28" s="11" t="s">
        <v>135</v>
      </c>
      <c r="C28" s="11" t="s">
        <v>136</v>
      </c>
      <c r="D28" s="11">
        <v>2025.0</v>
      </c>
      <c r="E28" s="11" t="s">
        <v>137</v>
      </c>
      <c r="F28" s="11" t="s">
        <v>65</v>
      </c>
      <c r="G28" s="11" t="s">
        <v>49</v>
      </c>
      <c r="H28" s="11" t="s">
        <v>1229</v>
      </c>
      <c r="I28" s="11"/>
      <c r="J28" s="4"/>
      <c r="K28" s="4"/>
      <c r="L28" s="4"/>
      <c r="M28" s="4"/>
      <c r="N28" s="4"/>
      <c r="O28" s="4"/>
      <c r="P28" s="4"/>
      <c r="Q28" s="4"/>
      <c r="R28" s="4"/>
      <c r="S28" s="4"/>
      <c r="T28" s="4"/>
      <c r="U28" s="4"/>
      <c r="V28" s="4"/>
      <c r="W28" s="4"/>
      <c r="X28" s="4"/>
      <c r="Y28" s="4"/>
    </row>
    <row r="29">
      <c r="A29" s="12">
        <v>28.0</v>
      </c>
      <c r="B29" s="11" t="s">
        <v>141</v>
      </c>
      <c r="C29" s="11" t="s">
        <v>142</v>
      </c>
      <c r="D29" s="11">
        <v>2025.0</v>
      </c>
      <c r="E29" s="11" t="s">
        <v>143</v>
      </c>
      <c r="F29" s="11" t="s">
        <v>65</v>
      </c>
      <c r="G29" s="11" t="s">
        <v>39</v>
      </c>
      <c r="H29" s="11" t="s">
        <v>1229</v>
      </c>
      <c r="I29" s="11"/>
      <c r="J29" s="4"/>
      <c r="K29" s="4"/>
      <c r="L29" s="4"/>
      <c r="M29" s="4"/>
      <c r="N29" s="4"/>
      <c r="O29" s="4"/>
      <c r="P29" s="4"/>
      <c r="Q29" s="4"/>
      <c r="R29" s="4"/>
      <c r="S29" s="4"/>
      <c r="T29" s="4"/>
      <c r="U29" s="4"/>
      <c r="V29" s="4"/>
      <c r="W29" s="4"/>
      <c r="X29" s="4"/>
      <c r="Y29" s="4"/>
    </row>
    <row r="30">
      <c r="A30" s="11">
        <v>29.0</v>
      </c>
      <c r="B30" s="11" t="s">
        <v>144</v>
      </c>
      <c r="C30" s="11" t="s">
        <v>145</v>
      </c>
      <c r="D30" s="11">
        <v>2023.0</v>
      </c>
      <c r="E30" s="11" t="s">
        <v>146</v>
      </c>
      <c r="F30" s="11" t="s">
        <v>65</v>
      </c>
      <c r="G30" s="11" t="s">
        <v>49</v>
      </c>
      <c r="H30" s="11" t="s">
        <v>1229</v>
      </c>
      <c r="I30" s="4"/>
      <c r="J30" s="4"/>
      <c r="K30" s="4"/>
      <c r="L30" s="4"/>
      <c r="M30" s="4"/>
      <c r="N30" s="4"/>
      <c r="O30" s="4"/>
      <c r="P30" s="4"/>
      <c r="Q30" s="4"/>
      <c r="R30" s="4"/>
      <c r="S30" s="4"/>
      <c r="T30" s="4"/>
      <c r="U30" s="4"/>
      <c r="V30" s="4"/>
      <c r="W30" s="4"/>
      <c r="X30" s="4"/>
      <c r="Y30" s="4"/>
    </row>
    <row r="31">
      <c r="A31" s="11">
        <v>30.0</v>
      </c>
      <c r="B31" s="11" t="s">
        <v>147</v>
      </c>
      <c r="C31" s="11" t="s">
        <v>148</v>
      </c>
      <c r="D31" s="11">
        <v>2024.0</v>
      </c>
      <c r="E31" s="11" t="s">
        <v>149</v>
      </c>
      <c r="F31" s="11" t="s">
        <v>65</v>
      </c>
      <c r="G31" s="11" t="s">
        <v>39</v>
      </c>
      <c r="H31" s="11" t="s">
        <v>1229</v>
      </c>
      <c r="I31" s="11"/>
      <c r="J31" s="4"/>
      <c r="K31" s="4"/>
      <c r="L31" s="4"/>
      <c r="M31" s="4"/>
      <c r="N31" s="4"/>
      <c r="O31" s="4"/>
      <c r="P31" s="4"/>
      <c r="Q31" s="4"/>
      <c r="R31" s="4"/>
      <c r="S31" s="4"/>
      <c r="T31" s="4"/>
      <c r="U31" s="4"/>
      <c r="V31" s="4"/>
      <c r="W31" s="4"/>
      <c r="X31" s="4"/>
      <c r="Y31" s="4"/>
    </row>
    <row r="32">
      <c r="A32" s="12">
        <v>31.0</v>
      </c>
      <c r="B32" s="11" t="s">
        <v>150</v>
      </c>
      <c r="C32" s="11" t="s">
        <v>151</v>
      </c>
      <c r="D32" s="11">
        <v>2025.0</v>
      </c>
      <c r="E32" s="11" t="s">
        <v>152</v>
      </c>
      <c r="F32" s="11" t="s">
        <v>65</v>
      </c>
      <c r="G32" s="11" t="s">
        <v>49</v>
      </c>
      <c r="H32" s="11" t="s">
        <v>1229</v>
      </c>
      <c r="I32" s="4"/>
      <c r="J32" s="4"/>
      <c r="K32" s="4"/>
      <c r="L32" s="4"/>
      <c r="M32" s="4"/>
      <c r="N32" s="4"/>
      <c r="O32" s="4"/>
      <c r="P32" s="4"/>
      <c r="Q32" s="4"/>
      <c r="R32" s="4"/>
      <c r="S32" s="4"/>
      <c r="T32" s="4"/>
      <c r="U32" s="4"/>
      <c r="V32" s="4"/>
      <c r="W32" s="4"/>
      <c r="X32" s="4"/>
      <c r="Y32" s="4"/>
    </row>
    <row r="33">
      <c r="A33" s="11">
        <v>32.0</v>
      </c>
      <c r="B33" s="11" t="s">
        <v>153</v>
      </c>
      <c r="C33" s="11" t="s">
        <v>154</v>
      </c>
      <c r="D33" s="11">
        <v>2020.0</v>
      </c>
      <c r="E33" s="11" t="s">
        <v>155</v>
      </c>
      <c r="F33" s="11" t="s">
        <v>65</v>
      </c>
      <c r="G33" s="11" t="s">
        <v>39</v>
      </c>
      <c r="H33" s="11" t="s">
        <v>1230</v>
      </c>
      <c r="I33" s="4"/>
      <c r="J33" s="4"/>
      <c r="K33" s="4"/>
      <c r="L33" s="4"/>
      <c r="M33" s="4"/>
      <c r="N33" s="4"/>
      <c r="O33" s="4"/>
      <c r="P33" s="4"/>
      <c r="Q33" s="4"/>
      <c r="R33" s="4"/>
      <c r="S33" s="4"/>
      <c r="T33" s="4"/>
      <c r="U33" s="4"/>
      <c r="V33" s="4"/>
      <c r="W33" s="4"/>
      <c r="X33" s="4"/>
      <c r="Y33" s="4"/>
    </row>
    <row r="34">
      <c r="A34" s="11">
        <v>33.0</v>
      </c>
      <c r="B34" s="11" t="s">
        <v>156</v>
      </c>
      <c r="C34" s="11" t="s">
        <v>157</v>
      </c>
      <c r="D34" s="11">
        <v>2020.0</v>
      </c>
      <c r="E34" s="11" t="s">
        <v>158</v>
      </c>
      <c r="F34" s="11" t="s">
        <v>65</v>
      </c>
      <c r="G34" s="11" t="s">
        <v>39</v>
      </c>
      <c r="H34" s="11" t="s">
        <v>1230</v>
      </c>
      <c r="I34" s="4"/>
      <c r="J34" s="4"/>
      <c r="K34" s="4"/>
      <c r="L34" s="4"/>
      <c r="M34" s="4"/>
      <c r="N34" s="4"/>
      <c r="O34" s="4"/>
      <c r="P34" s="4"/>
      <c r="Q34" s="4"/>
      <c r="R34" s="4"/>
      <c r="S34" s="4"/>
      <c r="T34" s="4"/>
      <c r="U34" s="4"/>
      <c r="V34" s="4"/>
      <c r="W34" s="4"/>
      <c r="X34" s="4"/>
      <c r="Y34" s="4"/>
    </row>
    <row r="35">
      <c r="A35" s="12">
        <v>34.0</v>
      </c>
      <c r="B35" s="11" t="s">
        <v>159</v>
      </c>
      <c r="C35" s="11" t="s">
        <v>160</v>
      </c>
      <c r="D35" s="11">
        <v>2025.0</v>
      </c>
      <c r="E35" s="11" t="s">
        <v>161</v>
      </c>
      <c r="F35" s="11" t="s">
        <v>65</v>
      </c>
      <c r="G35" s="11" t="s">
        <v>39</v>
      </c>
      <c r="H35" s="11" t="s">
        <v>1229</v>
      </c>
      <c r="I35" s="11"/>
      <c r="J35" s="4"/>
      <c r="K35" s="4"/>
      <c r="L35" s="4"/>
      <c r="M35" s="4"/>
      <c r="N35" s="4"/>
      <c r="O35" s="4"/>
      <c r="P35" s="4"/>
      <c r="Q35" s="4"/>
      <c r="R35" s="4"/>
      <c r="S35" s="4"/>
      <c r="T35" s="4"/>
      <c r="U35" s="4"/>
      <c r="V35" s="4"/>
      <c r="W35" s="4"/>
      <c r="X35" s="4"/>
      <c r="Y35" s="4"/>
    </row>
    <row r="36">
      <c r="A36" s="11">
        <v>35.0</v>
      </c>
      <c r="B36" s="11" t="s">
        <v>165</v>
      </c>
      <c r="C36" s="11" t="s">
        <v>166</v>
      </c>
      <c r="D36" s="11">
        <v>2024.0</v>
      </c>
      <c r="E36" s="11" t="s">
        <v>167</v>
      </c>
      <c r="F36" s="11" t="s">
        <v>65</v>
      </c>
      <c r="G36" s="11" t="s">
        <v>39</v>
      </c>
      <c r="H36" s="11" t="s">
        <v>1230</v>
      </c>
      <c r="I36" s="11"/>
      <c r="J36" s="4"/>
      <c r="K36" s="4"/>
      <c r="L36" s="4"/>
      <c r="M36" s="4"/>
      <c r="N36" s="4"/>
      <c r="O36" s="4"/>
      <c r="P36" s="4"/>
      <c r="Q36" s="4"/>
      <c r="R36" s="4"/>
      <c r="S36" s="4"/>
      <c r="T36" s="4"/>
      <c r="U36" s="4"/>
      <c r="V36" s="4"/>
      <c r="W36" s="4"/>
      <c r="X36" s="4"/>
      <c r="Y36" s="4"/>
    </row>
    <row r="37">
      <c r="A37" s="11">
        <v>36.0</v>
      </c>
      <c r="B37" s="11" t="s">
        <v>170</v>
      </c>
      <c r="C37" s="11" t="s">
        <v>171</v>
      </c>
      <c r="D37" s="11">
        <v>2024.0</v>
      </c>
      <c r="E37" s="11" t="s">
        <v>172</v>
      </c>
      <c r="F37" s="11" t="s">
        <v>65</v>
      </c>
      <c r="G37" s="11" t="s">
        <v>49</v>
      </c>
      <c r="H37" s="11" t="s">
        <v>1230</v>
      </c>
      <c r="I37" s="4"/>
      <c r="J37" s="4"/>
      <c r="K37" s="4"/>
      <c r="L37" s="4"/>
      <c r="M37" s="4"/>
      <c r="N37" s="4"/>
      <c r="O37" s="4"/>
      <c r="P37" s="4"/>
      <c r="Q37" s="4"/>
      <c r="R37" s="4"/>
      <c r="S37" s="4"/>
      <c r="T37" s="4"/>
      <c r="U37" s="4"/>
      <c r="V37" s="4"/>
      <c r="W37" s="4"/>
      <c r="X37" s="4"/>
      <c r="Y37" s="4"/>
    </row>
    <row r="38">
      <c r="A38" s="12">
        <v>37.0</v>
      </c>
      <c r="B38" s="19" t="s">
        <v>173</v>
      </c>
      <c r="C38" s="11" t="s">
        <v>174</v>
      </c>
      <c r="D38" s="11">
        <v>2025.0</v>
      </c>
      <c r="E38" s="11" t="s">
        <v>64</v>
      </c>
      <c r="F38" s="11" t="s">
        <v>65</v>
      </c>
      <c r="G38" s="11" t="s">
        <v>39</v>
      </c>
      <c r="H38" s="11" t="s">
        <v>1229</v>
      </c>
      <c r="I38" s="4"/>
      <c r="J38" s="4"/>
      <c r="K38" s="4"/>
      <c r="L38" s="4"/>
      <c r="M38" s="4"/>
      <c r="N38" s="4"/>
      <c r="O38" s="4"/>
      <c r="P38" s="4"/>
      <c r="Q38" s="4"/>
      <c r="R38" s="4"/>
      <c r="S38" s="4"/>
      <c r="T38" s="4"/>
      <c r="U38" s="4"/>
      <c r="V38" s="4"/>
      <c r="W38" s="4"/>
      <c r="X38" s="4"/>
      <c r="Y38" s="4"/>
    </row>
    <row r="39">
      <c r="A39" s="11">
        <v>38.0</v>
      </c>
      <c r="B39" s="11" t="s">
        <v>175</v>
      </c>
      <c r="C39" s="11" t="s">
        <v>176</v>
      </c>
      <c r="D39" s="11">
        <v>2025.0</v>
      </c>
      <c r="E39" s="11" t="s">
        <v>172</v>
      </c>
      <c r="F39" s="11" t="s">
        <v>65</v>
      </c>
      <c r="G39" s="11" t="s">
        <v>49</v>
      </c>
      <c r="H39" s="11" t="s">
        <v>1230</v>
      </c>
      <c r="I39" s="11"/>
      <c r="J39" s="4"/>
      <c r="K39" s="4"/>
      <c r="L39" s="4"/>
      <c r="M39" s="4"/>
      <c r="N39" s="4"/>
      <c r="O39" s="4"/>
      <c r="P39" s="4"/>
      <c r="Q39" s="4"/>
      <c r="R39" s="4"/>
      <c r="S39" s="4"/>
      <c r="T39" s="4"/>
      <c r="U39" s="4"/>
      <c r="V39" s="4"/>
      <c r="W39" s="4"/>
      <c r="X39" s="4"/>
      <c r="Y39" s="4"/>
    </row>
    <row r="40">
      <c r="A40" s="11">
        <v>39.0</v>
      </c>
      <c r="B40" s="11" t="s">
        <v>177</v>
      </c>
      <c r="C40" s="11" t="s">
        <v>178</v>
      </c>
      <c r="D40" s="11">
        <v>2021.0</v>
      </c>
      <c r="E40" s="11" t="s">
        <v>172</v>
      </c>
      <c r="F40" s="11" t="s">
        <v>65</v>
      </c>
      <c r="G40" s="11" t="s">
        <v>49</v>
      </c>
      <c r="H40" s="11" t="s">
        <v>1230</v>
      </c>
      <c r="I40" s="4"/>
      <c r="J40" s="4"/>
      <c r="K40" s="4"/>
      <c r="L40" s="4"/>
      <c r="M40" s="4"/>
      <c r="N40" s="4"/>
      <c r="O40" s="4"/>
      <c r="P40" s="4"/>
      <c r="Q40" s="4"/>
      <c r="R40" s="4"/>
      <c r="S40" s="4"/>
      <c r="T40" s="4"/>
      <c r="U40" s="4"/>
      <c r="V40" s="4"/>
      <c r="W40" s="4"/>
      <c r="X40" s="4"/>
      <c r="Y40" s="4"/>
    </row>
    <row r="41">
      <c r="A41" s="12">
        <v>40.0</v>
      </c>
      <c r="B41" s="11" t="s">
        <v>179</v>
      </c>
      <c r="C41" s="11" t="s">
        <v>180</v>
      </c>
      <c r="D41" s="11">
        <v>2024.0</v>
      </c>
      <c r="E41" s="11" t="s">
        <v>181</v>
      </c>
      <c r="F41" s="11" t="s">
        <v>65</v>
      </c>
      <c r="G41" s="11" t="s">
        <v>49</v>
      </c>
      <c r="H41" s="11" t="s">
        <v>1229</v>
      </c>
      <c r="I41" s="4"/>
      <c r="J41" s="4"/>
      <c r="K41" s="4"/>
      <c r="L41" s="4"/>
      <c r="M41" s="4"/>
      <c r="N41" s="4"/>
      <c r="O41" s="4"/>
      <c r="P41" s="4"/>
      <c r="Q41" s="4"/>
      <c r="R41" s="4"/>
      <c r="S41" s="4"/>
      <c r="T41" s="4"/>
      <c r="U41" s="4"/>
      <c r="V41" s="4"/>
      <c r="W41" s="4"/>
      <c r="X41" s="4"/>
      <c r="Y41" s="4"/>
    </row>
    <row r="42">
      <c r="A42" s="11">
        <v>41.0</v>
      </c>
      <c r="B42" s="11" t="s">
        <v>188</v>
      </c>
      <c r="C42" s="11" t="s">
        <v>189</v>
      </c>
      <c r="D42" s="11">
        <v>2024.0</v>
      </c>
      <c r="E42" s="11" t="s">
        <v>112</v>
      </c>
      <c r="F42" s="11" t="s">
        <v>65</v>
      </c>
      <c r="G42" s="11" t="s">
        <v>49</v>
      </c>
      <c r="H42" s="11" t="s">
        <v>1229</v>
      </c>
      <c r="I42" s="11"/>
      <c r="J42" s="4"/>
      <c r="K42" s="4"/>
      <c r="L42" s="4"/>
      <c r="M42" s="4"/>
      <c r="N42" s="4"/>
      <c r="O42" s="4"/>
      <c r="P42" s="4"/>
      <c r="Q42" s="4"/>
      <c r="R42" s="4"/>
      <c r="S42" s="4"/>
      <c r="T42" s="4"/>
      <c r="U42" s="4"/>
      <c r="V42" s="4"/>
      <c r="W42" s="4"/>
      <c r="X42" s="4"/>
      <c r="Y42" s="4"/>
    </row>
    <row r="43">
      <c r="A43" s="11">
        <v>42.0</v>
      </c>
      <c r="B43" s="11" t="s">
        <v>190</v>
      </c>
      <c r="C43" s="11" t="s">
        <v>191</v>
      </c>
      <c r="D43" s="11">
        <v>2025.0</v>
      </c>
      <c r="E43" s="11" t="s">
        <v>192</v>
      </c>
      <c r="F43" s="11" t="s">
        <v>65</v>
      </c>
      <c r="G43" s="11" t="s">
        <v>49</v>
      </c>
      <c r="H43" s="11" t="s">
        <v>1229</v>
      </c>
      <c r="I43" s="11"/>
      <c r="J43" s="4"/>
      <c r="K43" s="4"/>
      <c r="L43" s="4"/>
      <c r="M43" s="4"/>
      <c r="N43" s="4"/>
      <c r="O43" s="4"/>
      <c r="P43" s="4"/>
      <c r="Q43" s="4"/>
      <c r="R43" s="4"/>
      <c r="S43" s="4"/>
      <c r="T43" s="4"/>
      <c r="U43" s="4"/>
      <c r="V43" s="4"/>
      <c r="W43" s="4"/>
      <c r="X43" s="4"/>
      <c r="Y43" s="4"/>
    </row>
    <row r="44">
      <c r="A44" s="12">
        <v>43.0</v>
      </c>
      <c r="B44" s="11" t="s">
        <v>193</v>
      </c>
      <c r="C44" s="11" t="s">
        <v>194</v>
      </c>
      <c r="D44" s="11">
        <v>2022.0</v>
      </c>
      <c r="E44" s="11" t="s">
        <v>195</v>
      </c>
      <c r="F44" s="11" t="s">
        <v>65</v>
      </c>
      <c r="G44" s="11" t="s">
        <v>39</v>
      </c>
      <c r="H44" s="11" t="s">
        <v>1230</v>
      </c>
      <c r="I44" s="4"/>
      <c r="J44" s="4"/>
      <c r="K44" s="4"/>
      <c r="L44" s="4"/>
      <c r="M44" s="4"/>
      <c r="N44" s="4"/>
      <c r="O44" s="4"/>
      <c r="P44" s="4"/>
      <c r="Q44" s="4"/>
      <c r="R44" s="4"/>
      <c r="S44" s="4"/>
      <c r="T44" s="4"/>
      <c r="U44" s="4"/>
      <c r="V44" s="4"/>
      <c r="W44" s="4"/>
      <c r="X44" s="4"/>
      <c r="Y44" s="4"/>
    </row>
    <row r="45">
      <c r="A45" s="11">
        <v>44.0</v>
      </c>
      <c r="B45" s="11" t="s">
        <v>196</v>
      </c>
      <c r="C45" s="11" t="s">
        <v>197</v>
      </c>
      <c r="D45" s="11">
        <v>2025.0</v>
      </c>
      <c r="E45" s="11" t="s">
        <v>198</v>
      </c>
      <c r="F45" s="11" t="s">
        <v>65</v>
      </c>
      <c r="G45" s="11" t="s">
        <v>49</v>
      </c>
      <c r="H45" s="11" t="s">
        <v>1230</v>
      </c>
      <c r="I45" s="4"/>
      <c r="J45" s="4"/>
      <c r="K45" s="4"/>
      <c r="L45" s="4"/>
      <c r="M45" s="4"/>
      <c r="N45" s="4"/>
      <c r="O45" s="4"/>
      <c r="P45" s="4"/>
      <c r="Q45" s="4"/>
      <c r="R45" s="4"/>
      <c r="S45" s="4"/>
      <c r="T45" s="4"/>
      <c r="U45" s="4"/>
      <c r="V45" s="4"/>
      <c r="W45" s="4"/>
      <c r="X45" s="4"/>
      <c r="Y45" s="4"/>
    </row>
    <row r="46">
      <c r="A46" s="11">
        <v>45.0</v>
      </c>
      <c r="B46" s="11" t="s">
        <v>199</v>
      </c>
      <c r="C46" s="11" t="s">
        <v>200</v>
      </c>
      <c r="D46" s="11">
        <v>2023.0</v>
      </c>
      <c r="E46" s="11" t="s">
        <v>201</v>
      </c>
      <c r="F46" s="11" t="s">
        <v>65</v>
      </c>
      <c r="G46" s="11" t="s">
        <v>49</v>
      </c>
      <c r="H46" s="11" t="s">
        <v>1229</v>
      </c>
      <c r="I46" s="11"/>
      <c r="J46" s="4"/>
      <c r="K46" s="4"/>
      <c r="L46" s="4"/>
      <c r="M46" s="4"/>
      <c r="N46" s="4"/>
      <c r="O46" s="4"/>
      <c r="P46" s="4"/>
      <c r="Q46" s="4"/>
      <c r="R46" s="4"/>
      <c r="S46" s="4"/>
      <c r="T46" s="4"/>
      <c r="U46" s="4"/>
      <c r="V46" s="4"/>
      <c r="W46" s="4"/>
      <c r="X46" s="4"/>
      <c r="Y46" s="4"/>
    </row>
    <row r="47">
      <c r="A47" s="12">
        <v>46.0</v>
      </c>
      <c r="B47" s="11" t="s">
        <v>202</v>
      </c>
      <c r="C47" s="11" t="s">
        <v>203</v>
      </c>
      <c r="D47" s="11">
        <v>2020.0</v>
      </c>
      <c r="E47" s="11" t="s">
        <v>204</v>
      </c>
      <c r="F47" s="11" t="s">
        <v>65</v>
      </c>
      <c r="G47" s="11" t="s">
        <v>49</v>
      </c>
      <c r="H47" s="11" t="s">
        <v>1230</v>
      </c>
      <c r="I47" s="11"/>
      <c r="J47" s="4"/>
      <c r="K47" s="4"/>
      <c r="L47" s="4"/>
      <c r="M47" s="4"/>
      <c r="N47" s="4"/>
      <c r="O47" s="4"/>
      <c r="P47" s="4"/>
      <c r="Q47" s="4"/>
      <c r="R47" s="4"/>
      <c r="S47" s="4"/>
      <c r="T47" s="4"/>
      <c r="U47" s="4"/>
      <c r="V47" s="4"/>
      <c r="W47" s="4"/>
      <c r="X47" s="4"/>
      <c r="Y47" s="4"/>
    </row>
    <row r="48">
      <c r="A48" s="11">
        <v>47.0</v>
      </c>
      <c r="B48" s="11" t="s">
        <v>205</v>
      </c>
      <c r="C48" s="11" t="s">
        <v>206</v>
      </c>
      <c r="D48" s="11">
        <v>2025.0</v>
      </c>
      <c r="E48" s="11" t="s">
        <v>71</v>
      </c>
      <c r="F48" s="11" t="s">
        <v>65</v>
      </c>
      <c r="G48" s="11" t="s">
        <v>49</v>
      </c>
      <c r="H48" s="11" t="s">
        <v>1229</v>
      </c>
      <c r="I48" s="11"/>
      <c r="J48" s="4"/>
      <c r="K48" s="4"/>
      <c r="L48" s="4"/>
      <c r="M48" s="4"/>
      <c r="N48" s="4"/>
      <c r="O48" s="4"/>
      <c r="P48" s="4"/>
      <c r="Q48" s="4"/>
      <c r="R48" s="4"/>
      <c r="S48" s="4"/>
      <c r="T48" s="4"/>
      <c r="U48" s="4"/>
      <c r="V48" s="4"/>
      <c r="W48" s="4"/>
      <c r="X48" s="4"/>
      <c r="Y48" s="4"/>
    </row>
    <row r="49">
      <c r="A49" s="11">
        <v>48.0</v>
      </c>
      <c r="B49" s="11" t="s">
        <v>207</v>
      </c>
      <c r="C49" s="11" t="s">
        <v>208</v>
      </c>
      <c r="D49" s="11">
        <v>2024.0</v>
      </c>
      <c r="E49" s="11" t="s">
        <v>209</v>
      </c>
      <c r="F49" s="11" t="s">
        <v>65</v>
      </c>
      <c r="G49" s="11" t="s">
        <v>49</v>
      </c>
      <c r="H49" s="11" t="s">
        <v>1229</v>
      </c>
      <c r="I49" s="4"/>
      <c r="J49" s="4"/>
      <c r="K49" s="4"/>
      <c r="L49" s="4"/>
      <c r="M49" s="4"/>
      <c r="N49" s="4"/>
      <c r="O49" s="4"/>
      <c r="P49" s="4"/>
      <c r="Q49" s="4"/>
      <c r="R49" s="4"/>
      <c r="S49" s="4"/>
      <c r="T49" s="4"/>
      <c r="U49" s="4"/>
      <c r="V49" s="4"/>
      <c r="W49" s="4"/>
      <c r="X49" s="4"/>
      <c r="Y49" s="4"/>
    </row>
    <row r="50">
      <c r="A50" s="12">
        <v>49.0</v>
      </c>
      <c r="B50" s="11" t="s">
        <v>210</v>
      </c>
      <c r="C50" s="11" t="s">
        <v>211</v>
      </c>
      <c r="D50" s="11">
        <v>2025.0</v>
      </c>
      <c r="E50" s="11" t="s">
        <v>212</v>
      </c>
      <c r="F50" s="11" t="s">
        <v>65</v>
      </c>
      <c r="G50" s="11" t="s">
        <v>49</v>
      </c>
      <c r="H50" s="11" t="s">
        <v>1229</v>
      </c>
      <c r="I50" s="4"/>
      <c r="J50" s="4"/>
      <c r="K50" s="4"/>
      <c r="L50" s="4"/>
      <c r="M50" s="4"/>
      <c r="N50" s="4"/>
      <c r="O50" s="4"/>
      <c r="P50" s="4"/>
      <c r="Q50" s="4"/>
      <c r="R50" s="4"/>
      <c r="S50" s="4"/>
      <c r="T50" s="4"/>
      <c r="U50" s="4"/>
      <c r="V50" s="4"/>
      <c r="W50" s="4"/>
      <c r="X50" s="4"/>
      <c r="Y50" s="4"/>
    </row>
    <row r="51">
      <c r="A51" s="11">
        <v>50.0</v>
      </c>
      <c r="B51" s="11" t="s">
        <v>213</v>
      </c>
      <c r="C51" s="11" t="s">
        <v>214</v>
      </c>
      <c r="D51" s="11">
        <v>2022.0</v>
      </c>
      <c r="E51" s="11" t="s">
        <v>215</v>
      </c>
      <c r="F51" s="11" t="s">
        <v>65</v>
      </c>
      <c r="G51" s="11" t="s">
        <v>39</v>
      </c>
      <c r="H51" s="11" t="s">
        <v>1230</v>
      </c>
      <c r="I51" s="4"/>
      <c r="J51" s="4"/>
      <c r="K51" s="4"/>
      <c r="L51" s="4"/>
      <c r="M51" s="4"/>
      <c r="N51" s="4"/>
      <c r="O51" s="4"/>
      <c r="P51" s="4"/>
      <c r="Q51" s="4"/>
      <c r="R51" s="4"/>
      <c r="S51" s="4"/>
      <c r="T51" s="4"/>
      <c r="U51" s="4"/>
      <c r="V51" s="4"/>
      <c r="W51" s="4"/>
      <c r="X51" s="4"/>
      <c r="Y51" s="4"/>
    </row>
    <row r="52">
      <c r="A52" s="11">
        <v>51.0</v>
      </c>
      <c r="B52" s="11" t="s">
        <v>225</v>
      </c>
      <c r="C52" s="11" t="s">
        <v>226</v>
      </c>
      <c r="D52" s="11">
        <v>2021.0</v>
      </c>
      <c r="E52" s="11" t="s">
        <v>227</v>
      </c>
      <c r="F52" s="11" t="s">
        <v>65</v>
      </c>
      <c r="G52" s="11" t="s">
        <v>39</v>
      </c>
      <c r="H52" s="11" t="s">
        <v>1229</v>
      </c>
      <c r="I52" s="11"/>
      <c r="J52" s="4"/>
      <c r="K52" s="4"/>
      <c r="L52" s="4"/>
      <c r="M52" s="4"/>
      <c r="N52" s="4"/>
      <c r="O52" s="4"/>
      <c r="P52" s="4"/>
      <c r="Q52" s="4"/>
      <c r="R52" s="4"/>
      <c r="S52" s="4"/>
      <c r="T52" s="4"/>
      <c r="U52" s="4"/>
      <c r="V52" s="4"/>
      <c r="W52" s="4"/>
      <c r="X52" s="4"/>
      <c r="Y52" s="4"/>
    </row>
    <row r="53">
      <c r="A53" s="12">
        <v>52.0</v>
      </c>
      <c r="B53" s="11" t="s">
        <v>228</v>
      </c>
      <c r="C53" s="11" t="s">
        <v>229</v>
      </c>
      <c r="D53" s="11">
        <v>2022.0</v>
      </c>
      <c r="E53" s="11" t="s">
        <v>230</v>
      </c>
      <c r="F53" s="11" t="s">
        <v>65</v>
      </c>
      <c r="G53" s="11" t="s">
        <v>49</v>
      </c>
      <c r="H53" s="11" t="s">
        <v>1229</v>
      </c>
      <c r="I53" s="11"/>
      <c r="J53" s="4"/>
      <c r="K53" s="4"/>
      <c r="L53" s="4"/>
      <c r="M53" s="4"/>
      <c r="N53" s="4"/>
      <c r="O53" s="4"/>
      <c r="P53" s="4"/>
      <c r="Q53" s="4"/>
      <c r="R53" s="4"/>
      <c r="S53" s="4"/>
      <c r="T53" s="4"/>
      <c r="U53" s="4"/>
      <c r="V53" s="4"/>
      <c r="W53" s="4"/>
      <c r="X53" s="4"/>
      <c r="Y53" s="4"/>
    </row>
    <row r="54">
      <c r="A54" s="11">
        <v>53.0</v>
      </c>
      <c r="B54" s="11" t="s">
        <v>231</v>
      </c>
      <c r="C54" s="11" t="s">
        <v>232</v>
      </c>
      <c r="D54" s="11">
        <v>2022.0</v>
      </c>
      <c r="E54" s="11" t="s">
        <v>233</v>
      </c>
      <c r="F54" s="11" t="s">
        <v>65</v>
      </c>
      <c r="G54" s="11" t="s">
        <v>49</v>
      </c>
      <c r="H54" s="11" t="s">
        <v>1229</v>
      </c>
      <c r="I54" s="11"/>
      <c r="J54" s="4"/>
      <c r="K54" s="4"/>
      <c r="L54" s="4"/>
      <c r="M54" s="4"/>
      <c r="N54" s="4"/>
      <c r="O54" s="4"/>
      <c r="P54" s="4"/>
      <c r="Q54" s="4"/>
      <c r="R54" s="4"/>
      <c r="S54" s="4"/>
      <c r="T54" s="4"/>
      <c r="U54" s="4"/>
      <c r="V54" s="4"/>
      <c r="W54" s="4"/>
      <c r="X54" s="4"/>
      <c r="Y54" s="4"/>
    </row>
    <row r="55">
      <c r="A55" s="11">
        <v>54.0</v>
      </c>
      <c r="B55" s="11" t="s">
        <v>234</v>
      </c>
      <c r="C55" s="11" t="s">
        <v>235</v>
      </c>
      <c r="D55" s="11">
        <v>2024.0</v>
      </c>
      <c r="E55" s="11" t="s">
        <v>236</v>
      </c>
      <c r="F55" s="11" t="s">
        <v>65</v>
      </c>
      <c r="G55" s="11" t="s">
        <v>49</v>
      </c>
      <c r="H55" s="11" t="s">
        <v>1229</v>
      </c>
      <c r="I55" s="4"/>
      <c r="J55" s="4"/>
      <c r="K55" s="4"/>
      <c r="L55" s="4"/>
      <c r="M55" s="4"/>
      <c r="N55" s="4"/>
      <c r="O55" s="4"/>
      <c r="P55" s="4"/>
      <c r="Q55" s="4"/>
      <c r="R55" s="4"/>
      <c r="S55" s="4"/>
      <c r="T55" s="4"/>
      <c r="U55" s="4"/>
      <c r="V55" s="4"/>
      <c r="W55" s="4"/>
      <c r="X55" s="4"/>
      <c r="Y55" s="4"/>
    </row>
    <row r="56">
      <c r="A56" s="12">
        <v>55.0</v>
      </c>
      <c r="B56" s="11" t="s">
        <v>240</v>
      </c>
      <c r="C56" s="11" t="s">
        <v>241</v>
      </c>
      <c r="D56" s="11">
        <v>2020.0</v>
      </c>
      <c r="E56" s="11" t="s">
        <v>242</v>
      </c>
      <c r="F56" s="11" t="s">
        <v>65</v>
      </c>
      <c r="G56" s="11" t="s">
        <v>39</v>
      </c>
      <c r="H56" s="11" t="s">
        <v>1230</v>
      </c>
      <c r="I56" s="4"/>
      <c r="J56" s="4"/>
      <c r="K56" s="4"/>
      <c r="L56" s="4"/>
      <c r="M56" s="4"/>
      <c r="N56" s="4"/>
      <c r="O56" s="4"/>
      <c r="P56" s="4"/>
      <c r="Q56" s="4"/>
      <c r="R56" s="4"/>
      <c r="S56" s="4"/>
      <c r="T56" s="4"/>
      <c r="U56" s="4"/>
      <c r="V56" s="4"/>
      <c r="W56" s="4"/>
      <c r="X56" s="4"/>
      <c r="Y56" s="4"/>
    </row>
    <row r="57">
      <c r="A57" s="11">
        <v>56.0</v>
      </c>
      <c r="B57" s="11" t="s">
        <v>243</v>
      </c>
      <c r="C57" s="11" t="s">
        <v>244</v>
      </c>
      <c r="D57" s="11">
        <v>2019.0</v>
      </c>
      <c r="E57" s="11" t="s">
        <v>245</v>
      </c>
      <c r="F57" s="11" t="s">
        <v>65</v>
      </c>
      <c r="G57" s="11" t="s">
        <v>39</v>
      </c>
      <c r="H57" s="11" t="s">
        <v>1230</v>
      </c>
      <c r="I57" s="4"/>
      <c r="J57" s="4"/>
      <c r="K57" s="4"/>
      <c r="L57" s="4"/>
      <c r="M57" s="4"/>
      <c r="N57" s="4"/>
      <c r="O57" s="4"/>
      <c r="P57" s="4"/>
      <c r="Q57" s="4"/>
      <c r="R57" s="4"/>
      <c r="S57" s="4"/>
      <c r="T57" s="4"/>
      <c r="U57" s="4"/>
      <c r="V57" s="4"/>
      <c r="W57" s="4"/>
      <c r="X57" s="4"/>
      <c r="Y57" s="4"/>
    </row>
    <row r="58">
      <c r="A58" s="11">
        <v>57.0</v>
      </c>
      <c r="B58" s="11" t="s">
        <v>246</v>
      </c>
      <c r="C58" s="11" t="s">
        <v>247</v>
      </c>
      <c r="D58" s="11">
        <v>2022.0</v>
      </c>
      <c r="E58" s="11" t="s">
        <v>248</v>
      </c>
      <c r="F58" s="11" t="s">
        <v>65</v>
      </c>
      <c r="G58" s="11" t="s">
        <v>39</v>
      </c>
      <c r="H58" s="11" t="s">
        <v>1229</v>
      </c>
      <c r="I58" s="4"/>
      <c r="J58" s="4"/>
      <c r="K58" s="4"/>
      <c r="L58" s="4"/>
      <c r="M58" s="4"/>
      <c r="N58" s="4"/>
      <c r="O58" s="4"/>
      <c r="P58" s="4"/>
      <c r="Q58" s="4"/>
      <c r="R58" s="4"/>
      <c r="S58" s="4"/>
      <c r="T58" s="4"/>
      <c r="U58" s="4"/>
      <c r="V58" s="4"/>
      <c r="W58" s="4"/>
      <c r="X58" s="4"/>
      <c r="Y58" s="4"/>
    </row>
    <row r="59">
      <c r="A59" s="12">
        <v>58.0</v>
      </c>
      <c r="B59" s="11" t="s">
        <v>249</v>
      </c>
      <c r="C59" s="11" t="s">
        <v>250</v>
      </c>
      <c r="D59" s="11">
        <v>2021.0</v>
      </c>
      <c r="E59" s="11" t="s">
        <v>251</v>
      </c>
      <c r="F59" s="11" t="s">
        <v>65</v>
      </c>
      <c r="G59" s="11" t="s">
        <v>49</v>
      </c>
      <c r="H59" s="11" t="s">
        <v>1229</v>
      </c>
      <c r="I59" s="4"/>
      <c r="J59" s="4"/>
      <c r="K59" s="4"/>
      <c r="L59" s="4"/>
      <c r="M59" s="4"/>
      <c r="N59" s="4"/>
      <c r="O59" s="4"/>
      <c r="P59" s="4"/>
      <c r="Q59" s="4"/>
      <c r="R59" s="4"/>
      <c r="S59" s="4"/>
      <c r="T59" s="4"/>
      <c r="U59" s="4"/>
      <c r="V59" s="4"/>
      <c r="W59" s="4"/>
      <c r="X59" s="4"/>
      <c r="Y59" s="4"/>
    </row>
    <row r="60">
      <c r="A60" s="11">
        <v>59.0</v>
      </c>
      <c r="B60" s="11" t="s">
        <v>252</v>
      </c>
      <c r="C60" s="11" t="s">
        <v>253</v>
      </c>
      <c r="D60" s="11">
        <v>2022.0</v>
      </c>
      <c r="E60" s="11" t="s">
        <v>254</v>
      </c>
      <c r="F60" s="11" t="s">
        <v>65</v>
      </c>
      <c r="G60" s="11" t="s">
        <v>39</v>
      </c>
      <c r="H60" s="11" t="s">
        <v>1229</v>
      </c>
      <c r="J60" s="4"/>
      <c r="K60" s="4"/>
      <c r="L60" s="4"/>
      <c r="M60" s="4"/>
      <c r="N60" s="4"/>
      <c r="O60" s="4"/>
      <c r="P60" s="4"/>
      <c r="Q60" s="4"/>
      <c r="R60" s="4"/>
      <c r="S60" s="4"/>
      <c r="T60" s="4"/>
      <c r="U60" s="4"/>
      <c r="V60" s="4"/>
      <c r="W60" s="4"/>
      <c r="X60" s="4"/>
      <c r="Y60" s="4"/>
    </row>
    <row r="61">
      <c r="A61" s="11">
        <v>60.0</v>
      </c>
      <c r="B61" s="11" t="s">
        <v>260</v>
      </c>
      <c r="C61" s="11" t="s">
        <v>261</v>
      </c>
      <c r="D61" s="11">
        <v>2020.0</v>
      </c>
      <c r="E61" s="11" t="s">
        <v>262</v>
      </c>
      <c r="F61" s="11" t="s">
        <v>65</v>
      </c>
      <c r="G61" s="11" t="s">
        <v>39</v>
      </c>
      <c r="H61" s="11" t="s">
        <v>1229</v>
      </c>
      <c r="I61" s="4"/>
      <c r="J61" s="4"/>
      <c r="K61" s="4"/>
      <c r="L61" s="4"/>
      <c r="M61" s="4"/>
      <c r="N61" s="4"/>
      <c r="O61" s="4"/>
      <c r="P61" s="4"/>
      <c r="Q61" s="4"/>
      <c r="R61" s="4"/>
      <c r="S61" s="4"/>
      <c r="T61" s="4"/>
      <c r="U61" s="4"/>
      <c r="V61" s="4"/>
      <c r="W61" s="4"/>
      <c r="X61" s="4"/>
      <c r="Y61" s="4"/>
    </row>
    <row r="62">
      <c r="A62" s="12">
        <v>61.0</v>
      </c>
      <c r="B62" s="11" t="s">
        <v>263</v>
      </c>
      <c r="C62" s="11" t="s">
        <v>264</v>
      </c>
      <c r="D62" s="11">
        <v>2025.0</v>
      </c>
      <c r="E62" s="11" t="s">
        <v>181</v>
      </c>
      <c r="F62" s="11" t="s">
        <v>65</v>
      </c>
      <c r="G62" s="11" t="s">
        <v>49</v>
      </c>
      <c r="H62" s="11" t="s">
        <v>1230</v>
      </c>
      <c r="I62" s="4"/>
      <c r="J62" s="4"/>
      <c r="K62" s="4"/>
      <c r="L62" s="4"/>
      <c r="M62" s="4"/>
      <c r="N62" s="4"/>
      <c r="O62" s="4"/>
      <c r="P62" s="4"/>
      <c r="Q62" s="4"/>
      <c r="R62" s="4"/>
      <c r="S62" s="4"/>
      <c r="T62" s="4"/>
      <c r="U62" s="4"/>
      <c r="V62" s="4"/>
      <c r="W62" s="4"/>
      <c r="X62" s="4"/>
      <c r="Y62" s="4"/>
    </row>
    <row r="63">
      <c r="A63" s="11">
        <v>62.0</v>
      </c>
      <c r="B63" s="11" t="s">
        <v>267</v>
      </c>
      <c r="C63" s="11" t="s">
        <v>268</v>
      </c>
      <c r="D63" s="11">
        <v>2022.0</v>
      </c>
      <c r="E63" s="11" t="s">
        <v>269</v>
      </c>
      <c r="F63" s="11" t="s">
        <v>65</v>
      </c>
      <c r="G63" s="11" t="s">
        <v>49</v>
      </c>
      <c r="H63" s="11" t="s">
        <v>1229</v>
      </c>
      <c r="I63" s="4"/>
      <c r="J63" s="4"/>
      <c r="K63" s="4"/>
      <c r="L63" s="4"/>
      <c r="M63" s="4"/>
      <c r="N63" s="4"/>
      <c r="O63" s="4"/>
      <c r="P63" s="4"/>
      <c r="Q63" s="4"/>
      <c r="R63" s="4"/>
      <c r="S63" s="4"/>
      <c r="T63" s="4"/>
      <c r="U63" s="4"/>
      <c r="V63" s="4"/>
      <c r="W63" s="4"/>
      <c r="X63" s="4"/>
      <c r="Y63" s="4"/>
    </row>
    <row r="64">
      <c r="A64" s="11">
        <v>63.0</v>
      </c>
      <c r="B64" s="11" t="s">
        <v>270</v>
      </c>
      <c r="C64" s="11" t="s">
        <v>271</v>
      </c>
      <c r="D64" s="11">
        <v>2021.0</v>
      </c>
      <c r="E64" s="11" t="s">
        <v>92</v>
      </c>
      <c r="F64" s="11" t="s">
        <v>65</v>
      </c>
      <c r="G64" s="11" t="s">
        <v>49</v>
      </c>
      <c r="H64" s="11" t="s">
        <v>1229</v>
      </c>
      <c r="I64" s="4"/>
      <c r="J64" s="4"/>
      <c r="K64" s="4"/>
      <c r="L64" s="4"/>
      <c r="M64" s="4"/>
      <c r="N64" s="4"/>
      <c r="O64" s="4"/>
      <c r="P64" s="4"/>
      <c r="Q64" s="4"/>
      <c r="R64" s="4"/>
      <c r="S64" s="4"/>
      <c r="T64" s="4"/>
      <c r="U64" s="4"/>
      <c r="V64" s="4"/>
      <c r="W64" s="4"/>
      <c r="X64" s="4"/>
      <c r="Y64" s="4"/>
    </row>
    <row r="65">
      <c r="A65" s="12">
        <v>64.0</v>
      </c>
      <c r="B65" s="11" t="s">
        <v>272</v>
      </c>
      <c r="C65" s="11" t="s">
        <v>273</v>
      </c>
      <c r="D65" s="11">
        <v>2020.0</v>
      </c>
      <c r="E65" s="11" t="s">
        <v>192</v>
      </c>
      <c r="F65" s="11" t="s">
        <v>65</v>
      </c>
      <c r="G65" s="11" t="s">
        <v>49</v>
      </c>
      <c r="H65" s="11" t="s">
        <v>1229</v>
      </c>
      <c r="I65" s="4"/>
      <c r="J65" s="4"/>
      <c r="K65" s="4"/>
      <c r="L65" s="4"/>
      <c r="M65" s="4"/>
      <c r="N65" s="4"/>
      <c r="O65" s="4"/>
      <c r="P65" s="4"/>
      <c r="Q65" s="4"/>
      <c r="R65" s="4"/>
      <c r="S65" s="4"/>
      <c r="T65" s="4"/>
      <c r="U65" s="4"/>
      <c r="V65" s="4"/>
      <c r="W65" s="4"/>
      <c r="X65" s="4"/>
      <c r="Y65" s="4"/>
    </row>
    <row r="66">
      <c r="A66" s="11">
        <v>65.0</v>
      </c>
      <c r="B66" s="11" t="s">
        <v>274</v>
      </c>
      <c r="C66" s="11" t="s">
        <v>275</v>
      </c>
      <c r="D66" s="11">
        <v>2022.0</v>
      </c>
      <c r="E66" s="11" t="s">
        <v>233</v>
      </c>
      <c r="F66" s="11" t="s">
        <v>65</v>
      </c>
      <c r="G66" s="11" t="s">
        <v>49</v>
      </c>
      <c r="H66" s="11" t="s">
        <v>1229</v>
      </c>
      <c r="I66" s="4"/>
      <c r="J66" s="4"/>
      <c r="K66" s="4"/>
      <c r="L66" s="4"/>
      <c r="M66" s="4"/>
      <c r="N66" s="4"/>
      <c r="O66" s="4"/>
      <c r="P66" s="4"/>
      <c r="Q66" s="4"/>
      <c r="R66" s="4"/>
      <c r="S66" s="4"/>
      <c r="T66" s="4"/>
      <c r="U66" s="4"/>
      <c r="V66" s="4"/>
      <c r="W66" s="4"/>
      <c r="X66" s="4"/>
      <c r="Y66" s="4"/>
    </row>
    <row r="67">
      <c r="A67" s="11">
        <v>66.0</v>
      </c>
      <c r="B67" s="11" t="s">
        <v>276</v>
      </c>
      <c r="C67" s="11" t="s">
        <v>277</v>
      </c>
      <c r="D67" s="11">
        <v>2020.0</v>
      </c>
      <c r="E67" s="11" t="s">
        <v>278</v>
      </c>
      <c r="F67" s="11" t="s">
        <v>65</v>
      </c>
      <c r="G67" s="11" t="s">
        <v>49</v>
      </c>
      <c r="H67" s="11" t="s">
        <v>1229</v>
      </c>
      <c r="I67" s="4"/>
      <c r="J67" s="4"/>
      <c r="K67" s="4"/>
      <c r="L67" s="4"/>
      <c r="M67" s="4"/>
      <c r="N67" s="4"/>
      <c r="O67" s="4"/>
      <c r="P67" s="4"/>
      <c r="Q67" s="4"/>
      <c r="R67" s="4"/>
      <c r="S67" s="4"/>
      <c r="T67" s="4"/>
      <c r="U67" s="4"/>
      <c r="V67" s="4"/>
      <c r="W67" s="4"/>
      <c r="X67" s="4"/>
      <c r="Y67" s="4"/>
    </row>
    <row r="68">
      <c r="A68" s="12">
        <v>67.0</v>
      </c>
      <c r="B68" s="11" t="s">
        <v>279</v>
      </c>
      <c r="C68" s="11" t="s">
        <v>280</v>
      </c>
      <c r="D68" s="11">
        <v>2023.0</v>
      </c>
      <c r="E68" s="11" t="s">
        <v>281</v>
      </c>
      <c r="F68" s="11" t="s">
        <v>65</v>
      </c>
      <c r="G68" s="11" t="s">
        <v>49</v>
      </c>
      <c r="H68" s="11" t="s">
        <v>1229</v>
      </c>
      <c r="I68" s="4"/>
      <c r="J68" s="4"/>
      <c r="K68" s="4"/>
      <c r="L68" s="4"/>
      <c r="M68" s="4"/>
      <c r="N68" s="4"/>
      <c r="O68" s="4"/>
      <c r="P68" s="4"/>
      <c r="Q68" s="4"/>
      <c r="R68" s="4"/>
      <c r="S68" s="4"/>
      <c r="T68" s="4"/>
      <c r="U68" s="4"/>
      <c r="V68" s="4"/>
      <c r="W68" s="4"/>
      <c r="X68" s="4"/>
      <c r="Y68" s="4"/>
    </row>
    <row r="69">
      <c r="A69" s="11">
        <v>68.0</v>
      </c>
      <c r="B69" s="11" t="s">
        <v>282</v>
      </c>
      <c r="C69" s="11" t="s">
        <v>283</v>
      </c>
      <c r="D69" s="11">
        <v>2024.0</v>
      </c>
      <c r="E69" s="11" t="s">
        <v>284</v>
      </c>
      <c r="F69" s="11" t="s">
        <v>65</v>
      </c>
      <c r="G69" s="11" t="s">
        <v>49</v>
      </c>
      <c r="H69" s="11" t="s">
        <v>1229</v>
      </c>
      <c r="I69" s="4"/>
      <c r="J69" s="4"/>
      <c r="K69" s="4"/>
      <c r="L69" s="4"/>
      <c r="M69" s="4"/>
      <c r="N69" s="4"/>
      <c r="O69" s="4"/>
      <c r="P69" s="4"/>
      <c r="Q69" s="4"/>
      <c r="R69" s="4"/>
      <c r="S69" s="4"/>
      <c r="T69" s="4"/>
      <c r="U69" s="4"/>
      <c r="V69" s="4"/>
      <c r="W69" s="4"/>
      <c r="X69" s="4"/>
      <c r="Y69" s="4"/>
    </row>
    <row r="70">
      <c r="A70" s="11">
        <v>69.0</v>
      </c>
      <c r="B70" s="11" t="s">
        <v>285</v>
      </c>
      <c r="C70" s="11" t="s">
        <v>286</v>
      </c>
      <c r="D70" s="11">
        <v>2021.0</v>
      </c>
      <c r="E70" s="11" t="s">
        <v>287</v>
      </c>
      <c r="F70" s="11" t="s">
        <v>65</v>
      </c>
      <c r="G70" s="11" t="s">
        <v>49</v>
      </c>
      <c r="H70" s="11" t="s">
        <v>1229</v>
      </c>
      <c r="I70" s="4"/>
      <c r="J70" s="4"/>
      <c r="K70" s="4"/>
      <c r="L70" s="4"/>
      <c r="M70" s="4"/>
      <c r="N70" s="4"/>
      <c r="O70" s="4"/>
      <c r="P70" s="4"/>
      <c r="Q70" s="4"/>
      <c r="R70" s="4"/>
      <c r="S70" s="4"/>
      <c r="T70" s="4"/>
      <c r="U70" s="4"/>
      <c r="V70" s="4"/>
      <c r="W70" s="4"/>
      <c r="X70" s="4"/>
      <c r="Y70" s="4"/>
    </row>
    <row r="71">
      <c r="A71" s="12">
        <v>70.0</v>
      </c>
      <c r="B71" s="11" t="s">
        <v>1231</v>
      </c>
      <c r="C71" s="11" t="s">
        <v>289</v>
      </c>
      <c r="D71" s="11">
        <v>2020.0</v>
      </c>
      <c r="E71" s="11" t="s">
        <v>290</v>
      </c>
      <c r="F71" s="11" t="s">
        <v>65</v>
      </c>
      <c r="G71" s="11" t="s">
        <v>39</v>
      </c>
      <c r="H71" s="11" t="s">
        <v>1229</v>
      </c>
      <c r="I71" s="4"/>
      <c r="J71" s="4"/>
      <c r="K71" s="4"/>
      <c r="L71" s="4"/>
      <c r="M71" s="4"/>
      <c r="N71" s="4"/>
      <c r="O71" s="4"/>
      <c r="P71" s="4"/>
      <c r="Q71" s="4"/>
      <c r="R71" s="4"/>
      <c r="S71" s="4"/>
      <c r="T71" s="4"/>
      <c r="U71" s="4"/>
      <c r="V71" s="4"/>
      <c r="W71" s="4"/>
      <c r="X71" s="4"/>
      <c r="Y71" s="4"/>
    </row>
    <row r="72">
      <c r="A72" s="11">
        <v>71.0</v>
      </c>
      <c r="B72" s="11" t="s">
        <v>291</v>
      </c>
      <c r="C72" s="11" t="s">
        <v>292</v>
      </c>
      <c r="D72" s="11">
        <v>2021.0</v>
      </c>
      <c r="E72" s="11" t="s">
        <v>293</v>
      </c>
      <c r="F72" s="11" t="s">
        <v>65</v>
      </c>
      <c r="G72" s="11" t="s">
        <v>39</v>
      </c>
      <c r="H72" s="11" t="s">
        <v>1229</v>
      </c>
      <c r="I72" s="4"/>
      <c r="J72" s="4"/>
      <c r="K72" s="4"/>
      <c r="L72" s="4"/>
      <c r="M72" s="4"/>
      <c r="N72" s="4"/>
      <c r="O72" s="4"/>
      <c r="P72" s="4"/>
      <c r="Q72" s="4"/>
      <c r="R72" s="4"/>
      <c r="S72" s="4"/>
      <c r="T72" s="4"/>
      <c r="U72" s="4"/>
      <c r="V72" s="4"/>
      <c r="W72" s="4"/>
      <c r="X72" s="4"/>
      <c r="Y72" s="4"/>
    </row>
    <row r="73">
      <c r="A73" s="11">
        <v>72.0</v>
      </c>
      <c r="B73" s="11" t="s">
        <v>296</v>
      </c>
      <c r="C73" s="11" t="s">
        <v>297</v>
      </c>
      <c r="D73" s="11">
        <v>2020.0</v>
      </c>
      <c r="E73" s="11" t="s">
        <v>192</v>
      </c>
      <c r="F73" s="11" t="s">
        <v>65</v>
      </c>
      <c r="G73" s="11" t="s">
        <v>49</v>
      </c>
      <c r="H73" s="11" t="s">
        <v>1229</v>
      </c>
      <c r="I73" s="4"/>
      <c r="J73" s="4"/>
      <c r="K73" s="4"/>
      <c r="L73" s="4"/>
      <c r="M73" s="4"/>
      <c r="N73" s="4"/>
      <c r="O73" s="4"/>
      <c r="P73" s="4"/>
      <c r="Q73" s="4"/>
      <c r="R73" s="4"/>
      <c r="S73" s="4"/>
      <c r="T73" s="4"/>
      <c r="U73" s="4"/>
      <c r="V73" s="4"/>
      <c r="W73" s="4"/>
      <c r="X73" s="4"/>
      <c r="Y73" s="4"/>
    </row>
    <row r="74">
      <c r="A74" s="12">
        <v>73.0</v>
      </c>
      <c r="B74" s="11" t="s">
        <v>298</v>
      </c>
      <c r="C74" s="11" t="s">
        <v>299</v>
      </c>
      <c r="D74" s="11">
        <v>2021.0</v>
      </c>
      <c r="E74" s="11" t="s">
        <v>300</v>
      </c>
      <c r="F74" s="11" t="s">
        <v>65</v>
      </c>
      <c r="G74" s="11" t="s">
        <v>49</v>
      </c>
      <c r="H74" s="11" t="s">
        <v>1230</v>
      </c>
      <c r="I74" s="4"/>
      <c r="J74" s="4"/>
      <c r="K74" s="4"/>
      <c r="L74" s="4"/>
      <c r="M74" s="4"/>
      <c r="N74" s="4"/>
      <c r="O74" s="4"/>
      <c r="P74" s="4"/>
      <c r="Q74" s="4"/>
      <c r="R74" s="4"/>
      <c r="S74" s="4"/>
      <c r="T74" s="4"/>
      <c r="U74" s="4"/>
      <c r="V74" s="4"/>
      <c r="W74" s="4"/>
      <c r="X74" s="4"/>
      <c r="Y74" s="4"/>
    </row>
    <row r="75">
      <c r="A75" s="11">
        <v>74.0</v>
      </c>
      <c r="B75" s="11" t="s">
        <v>301</v>
      </c>
      <c r="C75" s="11" t="s">
        <v>302</v>
      </c>
      <c r="D75" s="11">
        <v>2019.0</v>
      </c>
      <c r="E75" s="11" t="s">
        <v>192</v>
      </c>
      <c r="F75" s="11" t="s">
        <v>65</v>
      </c>
      <c r="G75" s="11" t="s">
        <v>49</v>
      </c>
      <c r="H75" s="11" t="s">
        <v>1229</v>
      </c>
      <c r="I75" s="4"/>
      <c r="J75" s="4"/>
      <c r="K75" s="4"/>
      <c r="L75" s="4"/>
      <c r="M75" s="4"/>
      <c r="N75" s="4"/>
      <c r="O75" s="4"/>
      <c r="P75" s="4"/>
      <c r="Q75" s="4"/>
      <c r="R75" s="4"/>
      <c r="S75" s="4"/>
      <c r="T75" s="4"/>
      <c r="U75" s="4"/>
      <c r="V75" s="4"/>
      <c r="W75" s="4"/>
      <c r="X75" s="4"/>
      <c r="Y75" s="4"/>
    </row>
    <row r="76">
      <c r="A76" s="11">
        <v>75.0</v>
      </c>
      <c r="B76" s="11" t="s">
        <v>311</v>
      </c>
      <c r="C76" s="11" t="s">
        <v>312</v>
      </c>
      <c r="D76" s="11">
        <v>2022.0</v>
      </c>
      <c r="E76" s="11" t="s">
        <v>313</v>
      </c>
      <c r="F76" s="11" t="s">
        <v>65</v>
      </c>
      <c r="G76" s="11" t="s">
        <v>49</v>
      </c>
      <c r="H76" s="11" t="s">
        <v>1229</v>
      </c>
      <c r="I76" s="4"/>
      <c r="J76" s="4"/>
      <c r="K76" s="4"/>
      <c r="L76" s="4"/>
      <c r="M76" s="4"/>
      <c r="N76" s="4"/>
      <c r="O76" s="4"/>
      <c r="P76" s="4"/>
      <c r="Q76" s="4"/>
      <c r="R76" s="4"/>
      <c r="S76" s="4"/>
      <c r="T76" s="4"/>
      <c r="U76" s="4"/>
      <c r="V76" s="4"/>
      <c r="W76" s="4"/>
      <c r="X76" s="4"/>
      <c r="Y76" s="4"/>
    </row>
    <row r="77">
      <c r="A77" s="12">
        <v>76.0</v>
      </c>
      <c r="B77" s="11" t="s">
        <v>314</v>
      </c>
      <c r="C77" s="11" t="s">
        <v>315</v>
      </c>
      <c r="D77" s="11">
        <v>2019.0</v>
      </c>
      <c r="E77" s="11" t="s">
        <v>316</v>
      </c>
      <c r="F77" s="11" t="s">
        <v>65</v>
      </c>
      <c r="G77" s="11" t="s">
        <v>49</v>
      </c>
      <c r="H77" s="11" t="s">
        <v>1230</v>
      </c>
      <c r="I77" s="11"/>
      <c r="J77" s="4"/>
      <c r="K77" s="4"/>
      <c r="L77" s="4"/>
      <c r="M77" s="4"/>
      <c r="N77" s="4"/>
      <c r="O77" s="4"/>
      <c r="P77" s="4"/>
      <c r="Q77" s="4"/>
      <c r="R77" s="4"/>
      <c r="S77" s="4"/>
      <c r="T77" s="4"/>
      <c r="U77" s="4"/>
      <c r="V77" s="4"/>
      <c r="W77" s="4"/>
      <c r="X77" s="4"/>
      <c r="Y77" s="4"/>
    </row>
    <row r="78">
      <c r="A78" s="11">
        <v>77.0</v>
      </c>
      <c r="B78" s="11" t="s">
        <v>317</v>
      </c>
      <c r="C78" s="11" t="s">
        <v>318</v>
      </c>
      <c r="D78" s="11">
        <v>2021.0</v>
      </c>
      <c r="E78" s="11" t="s">
        <v>319</v>
      </c>
      <c r="F78" s="11" t="s">
        <v>65</v>
      </c>
      <c r="G78" s="11" t="s">
        <v>39</v>
      </c>
      <c r="H78" s="11" t="s">
        <v>1229</v>
      </c>
      <c r="I78" s="4"/>
      <c r="J78" s="4"/>
      <c r="K78" s="4"/>
      <c r="L78" s="4"/>
      <c r="M78" s="4"/>
      <c r="N78" s="4"/>
      <c r="O78" s="4"/>
      <c r="P78" s="4"/>
      <c r="Q78" s="4"/>
      <c r="R78" s="4"/>
      <c r="S78" s="4"/>
      <c r="T78" s="4"/>
      <c r="U78" s="4"/>
      <c r="V78" s="4"/>
      <c r="W78" s="4"/>
      <c r="X78" s="4"/>
      <c r="Y78" s="4"/>
    </row>
    <row r="79">
      <c r="A79" s="11">
        <v>78.0</v>
      </c>
      <c r="B79" s="11" t="s">
        <v>325</v>
      </c>
      <c r="C79" s="11" t="s">
        <v>326</v>
      </c>
      <c r="D79" s="11">
        <v>2022.0</v>
      </c>
      <c r="E79" s="11" t="s">
        <v>327</v>
      </c>
      <c r="F79" s="11" t="s">
        <v>65</v>
      </c>
      <c r="G79" s="11" t="s">
        <v>49</v>
      </c>
      <c r="H79" s="11" t="s">
        <v>1229</v>
      </c>
      <c r="I79" s="4"/>
      <c r="J79" s="4"/>
      <c r="K79" s="4"/>
      <c r="L79" s="4"/>
      <c r="M79" s="4"/>
      <c r="N79" s="4"/>
      <c r="O79" s="4"/>
      <c r="P79" s="4"/>
      <c r="Q79" s="4"/>
      <c r="R79" s="4"/>
      <c r="S79" s="4"/>
      <c r="T79" s="4"/>
      <c r="U79" s="4"/>
      <c r="V79" s="4"/>
      <c r="W79" s="4"/>
      <c r="X79" s="4"/>
      <c r="Y79" s="4"/>
    </row>
    <row r="80">
      <c r="A80" s="12">
        <v>79.0</v>
      </c>
      <c r="B80" s="11" t="s">
        <v>328</v>
      </c>
      <c r="C80" s="11" t="s">
        <v>329</v>
      </c>
      <c r="D80" s="11">
        <v>2019.0</v>
      </c>
      <c r="E80" s="11" t="s">
        <v>330</v>
      </c>
      <c r="F80" s="11" t="s">
        <v>65</v>
      </c>
      <c r="G80" s="11" t="s">
        <v>39</v>
      </c>
      <c r="H80" s="11" t="s">
        <v>1230</v>
      </c>
      <c r="I80" s="11"/>
      <c r="J80" s="4"/>
      <c r="K80" s="4"/>
      <c r="L80" s="4"/>
      <c r="M80" s="4"/>
      <c r="N80" s="4"/>
      <c r="O80" s="4"/>
      <c r="P80" s="4"/>
      <c r="Q80" s="4"/>
      <c r="R80" s="4"/>
      <c r="S80" s="4"/>
      <c r="T80" s="4"/>
      <c r="U80" s="4"/>
      <c r="V80" s="4"/>
      <c r="W80" s="4"/>
      <c r="X80" s="4"/>
      <c r="Y80" s="4"/>
    </row>
    <row r="81">
      <c r="A81" s="11">
        <v>80.0</v>
      </c>
      <c r="B81" s="11" t="s">
        <v>333</v>
      </c>
      <c r="C81" s="11" t="s">
        <v>334</v>
      </c>
      <c r="D81" s="11">
        <v>2018.0</v>
      </c>
      <c r="E81" s="11" t="s">
        <v>335</v>
      </c>
      <c r="F81" s="11" t="s">
        <v>65</v>
      </c>
      <c r="G81" s="11" t="s">
        <v>49</v>
      </c>
      <c r="H81" s="11" t="s">
        <v>1229</v>
      </c>
      <c r="I81" s="4"/>
      <c r="J81" s="4"/>
      <c r="K81" s="4"/>
      <c r="L81" s="4"/>
      <c r="M81" s="4"/>
      <c r="N81" s="4"/>
      <c r="O81" s="4"/>
      <c r="P81" s="4"/>
      <c r="Q81" s="4"/>
      <c r="R81" s="4"/>
      <c r="S81" s="4"/>
      <c r="T81" s="4"/>
      <c r="U81" s="4"/>
      <c r="V81" s="4"/>
      <c r="W81" s="4"/>
      <c r="X81" s="4"/>
      <c r="Y81" s="4"/>
    </row>
    <row r="82">
      <c r="A82" s="11">
        <v>81.0</v>
      </c>
      <c r="B82" s="11" t="s">
        <v>336</v>
      </c>
      <c r="C82" s="11" t="s">
        <v>337</v>
      </c>
      <c r="D82" s="11">
        <v>2019.0</v>
      </c>
      <c r="E82" s="11" t="s">
        <v>167</v>
      </c>
      <c r="F82" s="11" t="s">
        <v>65</v>
      </c>
      <c r="G82" s="11" t="s">
        <v>39</v>
      </c>
      <c r="H82" s="11" t="s">
        <v>1229</v>
      </c>
      <c r="I82" s="4"/>
      <c r="J82" s="4"/>
      <c r="K82" s="4"/>
      <c r="L82" s="4"/>
      <c r="M82" s="4"/>
      <c r="N82" s="4"/>
      <c r="O82" s="4"/>
      <c r="P82" s="4"/>
      <c r="Q82" s="4"/>
      <c r="R82" s="4"/>
      <c r="S82" s="4"/>
      <c r="T82" s="4"/>
      <c r="U82" s="4"/>
      <c r="V82" s="4"/>
      <c r="W82" s="4"/>
      <c r="X82" s="4"/>
      <c r="Y82" s="4"/>
    </row>
    <row r="83">
      <c r="A83" s="12">
        <v>82.0</v>
      </c>
      <c r="B83" s="11" t="s">
        <v>338</v>
      </c>
      <c r="C83" s="11" t="s">
        <v>339</v>
      </c>
      <c r="D83" s="11">
        <v>2019.0</v>
      </c>
      <c r="E83" s="11" t="s">
        <v>340</v>
      </c>
      <c r="F83" s="11" t="s">
        <v>65</v>
      </c>
      <c r="G83" s="11" t="s">
        <v>39</v>
      </c>
      <c r="H83" s="11" t="s">
        <v>1229</v>
      </c>
      <c r="I83" s="4"/>
      <c r="J83" s="4"/>
      <c r="K83" s="4"/>
      <c r="L83" s="4"/>
      <c r="M83" s="4"/>
      <c r="N83" s="4"/>
      <c r="O83" s="4"/>
      <c r="P83" s="4"/>
      <c r="Q83" s="4"/>
      <c r="R83" s="4"/>
      <c r="S83" s="4"/>
      <c r="T83" s="4"/>
      <c r="U83" s="4"/>
      <c r="V83" s="4"/>
      <c r="W83" s="4"/>
      <c r="X83" s="4"/>
      <c r="Y83" s="4"/>
    </row>
    <row r="84">
      <c r="A84" s="11">
        <v>83.0</v>
      </c>
      <c r="B84" s="11" t="s">
        <v>341</v>
      </c>
      <c r="C84" s="11" t="s">
        <v>342</v>
      </c>
      <c r="D84" s="11">
        <v>2018.0</v>
      </c>
      <c r="E84" s="11" t="s">
        <v>343</v>
      </c>
      <c r="F84" s="11" t="s">
        <v>65</v>
      </c>
      <c r="G84" s="11" t="s">
        <v>49</v>
      </c>
      <c r="H84" s="11" t="s">
        <v>1229</v>
      </c>
      <c r="I84" s="4"/>
      <c r="J84" s="4"/>
      <c r="K84" s="4"/>
      <c r="L84" s="4"/>
      <c r="M84" s="4"/>
      <c r="N84" s="4"/>
      <c r="O84" s="4"/>
      <c r="P84" s="4"/>
      <c r="Q84" s="4"/>
      <c r="R84" s="4"/>
      <c r="S84" s="4"/>
      <c r="T84" s="4"/>
      <c r="U84" s="4"/>
      <c r="V84" s="4"/>
      <c r="W84" s="4"/>
      <c r="X84" s="4"/>
      <c r="Y84" s="4"/>
    </row>
    <row r="85">
      <c r="A85" s="11">
        <v>84.0</v>
      </c>
      <c r="B85" s="11" t="s">
        <v>344</v>
      </c>
      <c r="C85" s="11" t="s">
        <v>345</v>
      </c>
      <c r="D85" s="11">
        <v>2019.0</v>
      </c>
      <c r="E85" s="11" t="s">
        <v>346</v>
      </c>
      <c r="F85" s="11" t="s">
        <v>65</v>
      </c>
      <c r="G85" s="11" t="s">
        <v>39</v>
      </c>
      <c r="H85" s="11" t="s">
        <v>1229</v>
      </c>
      <c r="I85" s="4"/>
      <c r="J85" s="4"/>
      <c r="K85" s="4"/>
      <c r="L85" s="4"/>
      <c r="M85" s="4"/>
      <c r="N85" s="4"/>
      <c r="O85" s="4"/>
      <c r="P85" s="4"/>
      <c r="Q85" s="4"/>
      <c r="R85" s="4"/>
      <c r="S85" s="4"/>
      <c r="T85" s="4"/>
      <c r="U85" s="4"/>
      <c r="V85" s="4"/>
      <c r="W85" s="4"/>
      <c r="X85" s="4"/>
      <c r="Y85" s="4"/>
    </row>
    <row r="86">
      <c r="A86" s="12">
        <v>85.0</v>
      </c>
      <c r="B86" s="11" t="s">
        <v>347</v>
      </c>
      <c r="C86" s="11" t="s">
        <v>348</v>
      </c>
      <c r="D86" s="11">
        <v>2019.0</v>
      </c>
      <c r="E86" s="11" t="s">
        <v>245</v>
      </c>
      <c r="F86" s="11" t="s">
        <v>65</v>
      </c>
      <c r="G86" s="11" t="s">
        <v>39</v>
      </c>
      <c r="H86" s="11" t="s">
        <v>1230</v>
      </c>
      <c r="I86" s="4"/>
      <c r="J86" s="4"/>
      <c r="K86" s="4"/>
      <c r="L86" s="4"/>
      <c r="M86" s="4"/>
      <c r="N86" s="4"/>
      <c r="O86" s="4"/>
      <c r="P86" s="4"/>
      <c r="Q86" s="4"/>
      <c r="R86" s="4"/>
      <c r="S86" s="4"/>
      <c r="T86" s="4"/>
      <c r="U86" s="4"/>
      <c r="V86" s="4"/>
      <c r="W86" s="4"/>
      <c r="X86" s="4"/>
      <c r="Y86" s="4"/>
    </row>
    <row r="87">
      <c r="A87" s="11">
        <v>86.0</v>
      </c>
      <c r="B87" s="11" t="s">
        <v>349</v>
      </c>
      <c r="C87" s="11" t="s">
        <v>350</v>
      </c>
      <c r="D87" s="11">
        <v>2019.0</v>
      </c>
      <c r="E87" s="11" t="s">
        <v>351</v>
      </c>
      <c r="F87" s="11" t="s">
        <v>65</v>
      </c>
      <c r="G87" s="11" t="s">
        <v>49</v>
      </c>
      <c r="H87" s="11" t="s">
        <v>1229</v>
      </c>
      <c r="I87" s="4"/>
      <c r="J87" s="4"/>
      <c r="K87" s="4"/>
      <c r="L87" s="4"/>
      <c r="M87" s="4"/>
      <c r="N87" s="4"/>
      <c r="O87" s="4"/>
      <c r="P87" s="4"/>
      <c r="Q87" s="4"/>
      <c r="R87" s="4"/>
      <c r="S87" s="4"/>
      <c r="T87" s="4"/>
      <c r="U87" s="4"/>
      <c r="V87" s="4"/>
      <c r="W87" s="4"/>
      <c r="X87" s="4"/>
      <c r="Y87" s="4"/>
    </row>
    <row r="88">
      <c r="A88" s="11">
        <v>87.0</v>
      </c>
      <c r="B88" s="11" t="s">
        <v>352</v>
      </c>
      <c r="C88" s="11" t="s">
        <v>353</v>
      </c>
      <c r="D88" s="11">
        <v>2018.0</v>
      </c>
      <c r="E88" s="11" t="s">
        <v>354</v>
      </c>
      <c r="F88" s="11" t="s">
        <v>65</v>
      </c>
      <c r="G88" s="11" t="s">
        <v>49</v>
      </c>
      <c r="H88" s="11" t="s">
        <v>1229</v>
      </c>
      <c r="I88" s="4"/>
      <c r="J88" s="4"/>
      <c r="K88" s="4"/>
      <c r="L88" s="4"/>
      <c r="M88" s="4"/>
      <c r="N88" s="4"/>
      <c r="O88" s="4"/>
      <c r="P88" s="4"/>
      <c r="Q88" s="4"/>
      <c r="R88" s="4"/>
      <c r="S88" s="4"/>
      <c r="T88" s="4"/>
      <c r="U88" s="4"/>
      <c r="V88" s="4"/>
      <c r="W88" s="4"/>
      <c r="X88" s="4"/>
      <c r="Y88" s="4"/>
    </row>
    <row r="89">
      <c r="A89" s="12">
        <v>88.0</v>
      </c>
      <c r="B89" s="11" t="s">
        <v>355</v>
      </c>
      <c r="C89" s="11" t="s">
        <v>356</v>
      </c>
      <c r="D89" s="11">
        <v>2018.0</v>
      </c>
      <c r="E89" s="11" t="s">
        <v>357</v>
      </c>
      <c r="F89" s="11" t="s">
        <v>65</v>
      </c>
      <c r="G89" s="11" t="s">
        <v>39</v>
      </c>
      <c r="H89" s="11" t="s">
        <v>1230</v>
      </c>
      <c r="I89" s="11"/>
      <c r="J89" s="4"/>
      <c r="K89" s="4"/>
      <c r="L89" s="4"/>
      <c r="M89" s="4"/>
      <c r="N89" s="4"/>
      <c r="O89" s="4"/>
      <c r="P89" s="4"/>
      <c r="Q89" s="4"/>
      <c r="R89" s="4"/>
      <c r="S89" s="4"/>
      <c r="T89" s="4"/>
      <c r="U89" s="4"/>
      <c r="V89" s="4"/>
      <c r="W89" s="4"/>
      <c r="X89" s="4"/>
      <c r="Y89" s="4"/>
    </row>
    <row r="90">
      <c r="A90" s="11">
        <v>89.0</v>
      </c>
      <c r="B90" s="11" t="s">
        <v>360</v>
      </c>
      <c r="C90" s="11" t="s">
        <v>361</v>
      </c>
      <c r="D90" s="11">
        <v>2018.0</v>
      </c>
      <c r="E90" s="11" t="s">
        <v>330</v>
      </c>
      <c r="F90" s="11" t="s">
        <v>65</v>
      </c>
      <c r="G90" s="11" t="s">
        <v>39</v>
      </c>
      <c r="H90" s="11" t="s">
        <v>1229</v>
      </c>
      <c r="I90" s="4"/>
      <c r="J90" s="4"/>
      <c r="K90" s="4"/>
      <c r="L90" s="4"/>
      <c r="M90" s="4"/>
      <c r="N90" s="4"/>
      <c r="O90" s="4"/>
      <c r="P90" s="4"/>
      <c r="Q90" s="4"/>
      <c r="R90" s="4"/>
      <c r="S90" s="4"/>
      <c r="T90" s="4"/>
      <c r="U90" s="4"/>
      <c r="V90" s="4"/>
      <c r="W90" s="4"/>
      <c r="X90" s="4"/>
      <c r="Y90" s="4"/>
    </row>
    <row r="91">
      <c r="A91" s="11">
        <v>90.0</v>
      </c>
      <c r="B91" s="11" t="s">
        <v>362</v>
      </c>
      <c r="C91" s="11" t="s">
        <v>363</v>
      </c>
      <c r="D91" s="11">
        <v>2018.0</v>
      </c>
      <c r="E91" s="11" t="s">
        <v>364</v>
      </c>
      <c r="F91" s="11" t="s">
        <v>65</v>
      </c>
      <c r="G91" s="11" t="s">
        <v>39</v>
      </c>
      <c r="H91" s="11" t="s">
        <v>1229</v>
      </c>
      <c r="I91" s="4"/>
      <c r="J91" s="4"/>
      <c r="K91" s="4"/>
      <c r="L91" s="4"/>
      <c r="M91" s="4"/>
      <c r="N91" s="4"/>
      <c r="O91" s="4"/>
      <c r="P91" s="4"/>
      <c r="Q91" s="4"/>
      <c r="R91" s="4"/>
      <c r="S91" s="4"/>
      <c r="T91" s="4"/>
      <c r="U91" s="4"/>
      <c r="V91" s="4"/>
      <c r="W91" s="4"/>
      <c r="X91" s="4"/>
      <c r="Y91" s="4"/>
    </row>
    <row r="92">
      <c r="A92" s="12">
        <v>91.0</v>
      </c>
      <c r="B92" s="11" t="s">
        <v>365</v>
      </c>
      <c r="C92" s="11" t="s">
        <v>366</v>
      </c>
      <c r="D92" s="11">
        <v>2018.0</v>
      </c>
      <c r="E92" s="11" t="s">
        <v>367</v>
      </c>
      <c r="F92" s="11" t="s">
        <v>65</v>
      </c>
      <c r="G92" s="11" t="s">
        <v>39</v>
      </c>
      <c r="H92" s="11" t="s">
        <v>1229</v>
      </c>
      <c r="I92" s="4"/>
      <c r="J92" s="4"/>
      <c r="K92" s="4"/>
      <c r="L92" s="4"/>
      <c r="M92" s="4"/>
      <c r="N92" s="4"/>
      <c r="O92" s="4"/>
      <c r="P92" s="4"/>
      <c r="Q92" s="4"/>
      <c r="R92" s="4"/>
      <c r="S92" s="4"/>
      <c r="T92" s="4"/>
      <c r="U92" s="4"/>
      <c r="V92" s="4"/>
      <c r="W92" s="4"/>
      <c r="X92" s="4"/>
      <c r="Y92" s="4"/>
    </row>
    <row r="93">
      <c r="A93" s="11">
        <v>92.0</v>
      </c>
      <c r="B93" s="11" t="s">
        <v>368</v>
      </c>
      <c r="C93" s="11" t="s">
        <v>369</v>
      </c>
      <c r="D93" s="11">
        <v>2018.0</v>
      </c>
      <c r="E93" s="11" t="s">
        <v>121</v>
      </c>
      <c r="F93" s="11" t="s">
        <v>65</v>
      </c>
      <c r="G93" s="11" t="s">
        <v>39</v>
      </c>
      <c r="H93" s="11" t="s">
        <v>1229</v>
      </c>
      <c r="I93" s="4"/>
      <c r="J93" s="4"/>
      <c r="K93" s="4"/>
      <c r="L93" s="4"/>
      <c r="M93" s="4"/>
      <c r="N93" s="4"/>
      <c r="O93" s="4"/>
      <c r="P93" s="4"/>
      <c r="Q93" s="4"/>
      <c r="R93" s="4"/>
      <c r="S93" s="4"/>
      <c r="T93" s="4"/>
      <c r="U93" s="4"/>
      <c r="V93" s="4"/>
      <c r="W93" s="4"/>
      <c r="X93" s="4"/>
      <c r="Y93" s="4"/>
    </row>
    <row r="94">
      <c r="A94" s="11">
        <v>93.0</v>
      </c>
      <c r="B94" s="11" t="s">
        <v>370</v>
      </c>
      <c r="C94" s="11" t="s">
        <v>371</v>
      </c>
      <c r="D94" s="11">
        <v>2019.0</v>
      </c>
      <c r="E94" s="11" t="s">
        <v>192</v>
      </c>
      <c r="F94" s="11" t="s">
        <v>65</v>
      </c>
      <c r="G94" s="11" t="s">
        <v>49</v>
      </c>
      <c r="H94" s="11" t="s">
        <v>1229</v>
      </c>
      <c r="I94" s="4"/>
      <c r="J94" s="4"/>
      <c r="K94" s="4"/>
      <c r="L94" s="4"/>
      <c r="M94" s="4"/>
      <c r="N94" s="4"/>
      <c r="O94" s="4"/>
      <c r="P94" s="4"/>
      <c r="Q94" s="4"/>
      <c r="R94" s="4"/>
      <c r="S94" s="4"/>
      <c r="T94" s="4"/>
      <c r="U94" s="4"/>
      <c r="V94" s="4"/>
      <c r="W94" s="4"/>
      <c r="X94" s="4"/>
      <c r="Y94" s="4"/>
    </row>
    <row r="95">
      <c r="A95" s="12">
        <v>94.0</v>
      </c>
      <c r="B95" s="11" t="s">
        <v>372</v>
      </c>
      <c r="C95" s="11" t="s">
        <v>373</v>
      </c>
      <c r="D95" s="11">
        <v>2016.0</v>
      </c>
      <c r="E95" s="11" t="s">
        <v>374</v>
      </c>
      <c r="F95" s="11" t="s">
        <v>65</v>
      </c>
      <c r="G95" s="11" t="s">
        <v>49</v>
      </c>
      <c r="H95" s="11" t="s">
        <v>1229</v>
      </c>
      <c r="I95" s="4"/>
      <c r="J95" s="4"/>
      <c r="K95" s="4"/>
      <c r="L95" s="4"/>
      <c r="M95" s="4"/>
      <c r="N95" s="4"/>
      <c r="O95" s="4"/>
      <c r="P95" s="4"/>
      <c r="Q95" s="4"/>
      <c r="R95" s="4"/>
      <c r="S95" s="4"/>
      <c r="T95" s="4"/>
      <c r="U95" s="4"/>
      <c r="V95" s="4"/>
      <c r="W95" s="4"/>
      <c r="X95" s="4"/>
      <c r="Y95" s="4"/>
    </row>
    <row r="96">
      <c r="A96" s="11">
        <v>95.0</v>
      </c>
      <c r="B96" s="11" t="s">
        <v>375</v>
      </c>
      <c r="C96" s="11" t="s">
        <v>376</v>
      </c>
      <c r="D96" s="11">
        <v>2018.0</v>
      </c>
      <c r="E96" s="11" t="s">
        <v>377</v>
      </c>
      <c r="F96" s="11" t="s">
        <v>65</v>
      </c>
      <c r="G96" s="11" t="s">
        <v>39</v>
      </c>
      <c r="H96" s="11" t="s">
        <v>1229</v>
      </c>
      <c r="I96" s="4"/>
      <c r="J96" s="4"/>
      <c r="K96" s="4"/>
      <c r="L96" s="4"/>
      <c r="M96" s="4"/>
      <c r="N96" s="4"/>
      <c r="O96" s="4"/>
      <c r="P96" s="4"/>
      <c r="Q96" s="4"/>
      <c r="R96" s="4"/>
      <c r="S96" s="4"/>
      <c r="T96" s="4"/>
      <c r="U96" s="4"/>
      <c r="V96" s="4"/>
      <c r="W96" s="4"/>
      <c r="X96" s="4"/>
      <c r="Y96" s="4"/>
    </row>
    <row r="97">
      <c r="A97" s="11">
        <v>96.0</v>
      </c>
      <c r="B97" s="11" t="s">
        <v>378</v>
      </c>
      <c r="C97" s="11" t="s">
        <v>379</v>
      </c>
      <c r="D97" s="11">
        <v>2017.0</v>
      </c>
      <c r="E97" s="11" t="s">
        <v>158</v>
      </c>
      <c r="F97" s="11" t="s">
        <v>65</v>
      </c>
      <c r="G97" s="11" t="s">
        <v>39</v>
      </c>
      <c r="H97" s="11" t="s">
        <v>1230</v>
      </c>
      <c r="I97" s="4"/>
      <c r="J97" s="4"/>
      <c r="K97" s="4"/>
      <c r="L97" s="4"/>
      <c r="M97" s="4"/>
      <c r="N97" s="4"/>
      <c r="O97" s="4"/>
      <c r="P97" s="4"/>
      <c r="Q97" s="4"/>
      <c r="R97" s="4"/>
      <c r="S97" s="4"/>
      <c r="T97" s="4"/>
      <c r="U97" s="4"/>
      <c r="V97" s="4"/>
      <c r="W97" s="4"/>
      <c r="X97" s="4"/>
      <c r="Y97" s="4"/>
    </row>
    <row r="98">
      <c r="A98" s="12">
        <v>97.0</v>
      </c>
      <c r="B98" s="11" t="s">
        <v>380</v>
      </c>
      <c r="C98" s="11" t="s">
        <v>381</v>
      </c>
      <c r="D98" s="11">
        <v>2016.0</v>
      </c>
      <c r="E98" s="11" t="s">
        <v>343</v>
      </c>
      <c r="F98" s="11" t="s">
        <v>65</v>
      </c>
      <c r="G98" s="11" t="s">
        <v>49</v>
      </c>
      <c r="H98" s="11" t="s">
        <v>1229</v>
      </c>
      <c r="I98" s="4"/>
      <c r="J98" s="4"/>
      <c r="K98" s="4"/>
      <c r="L98" s="4"/>
      <c r="M98" s="4"/>
      <c r="N98" s="4"/>
      <c r="O98" s="4"/>
      <c r="P98" s="4"/>
      <c r="Q98" s="4"/>
      <c r="R98" s="4"/>
      <c r="S98" s="4"/>
      <c r="T98" s="4"/>
      <c r="U98" s="4"/>
      <c r="V98" s="4"/>
      <c r="W98" s="4"/>
      <c r="X98" s="4"/>
      <c r="Y98" s="4"/>
    </row>
    <row r="99">
      <c r="A99" s="11">
        <v>98.0</v>
      </c>
      <c r="B99" s="11" t="s">
        <v>382</v>
      </c>
      <c r="C99" s="11" t="s">
        <v>383</v>
      </c>
      <c r="D99" s="11">
        <v>2018.0</v>
      </c>
      <c r="E99" s="11" t="s">
        <v>335</v>
      </c>
      <c r="F99" s="11" t="s">
        <v>65</v>
      </c>
      <c r="G99" s="11" t="s">
        <v>49</v>
      </c>
      <c r="H99" s="11" t="s">
        <v>1229</v>
      </c>
      <c r="I99" s="4"/>
      <c r="J99" s="4"/>
      <c r="K99" s="4"/>
      <c r="L99" s="4"/>
      <c r="M99" s="4"/>
      <c r="N99" s="4"/>
      <c r="O99" s="4"/>
      <c r="P99" s="4"/>
      <c r="Q99" s="4"/>
      <c r="R99" s="4"/>
      <c r="S99" s="4"/>
      <c r="T99" s="4"/>
      <c r="U99" s="4"/>
      <c r="V99" s="4"/>
      <c r="W99" s="4"/>
      <c r="X99" s="4"/>
      <c r="Y99" s="4"/>
    </row>
    <row r="100">
      <c r="A100" s="11">
        <v>99.0</v>
      </c>
      <c r="B100" s="11" t="s">
        <v>1232</v>
      </c>
      <c r="C100" s="11" t="s">
        <v>385</v>
      </c>
      <c r="D100" s="11">
        <v>2017.0</v>
      </c>
      <c r="E100" s="11" t="s">
        <v>386</v>
      </c>
      <c r="F100" s="11" t="s">
        <v>65</v>
      </c>
      <c r="G100" s="11" t="s">
        <v>49</v>
      </c>
      <c r="H100" s="11" t="s">
        <v>1229</v>
      </c>
      <c r="I100" s="4"/>
      <c r="J100" s="4"/>
      <c r="K100" s="4"/>
      <c r="L100" s="4"/>
      <c r="M100" s="4"/>
      <c r="N100" s="4"/>
      <c r="O100" s="4"/>
      <c r="P100" s="4"/>
      <c r="Q100" s="4"/>
      <c r="R100" s="4"/>
      <c r="S100" s="4"/>
      <c r="T100" s="4"/>
      <c r="U100" s="4"/>
      <c r="V100" s="4"/>
      <c r="W100" s="4"/>
      <c r="X100" s="4"/>
      <c r="Y100" s="4"/>
    </row>
    <row r="101">
      <c r="A101" s="12">
        <v>100.0</v>
      </c>
      <c r="B101" s="11" t="s">
        <v>1233</v>
      </c>
      <c r="C101" s="11" t="s">
        <v>388</v>
      </c>
      <c r="D101" s="11">
        <v>2019.0</v>
      </c>
      <c r="E101" s="11" t="s">
        <v>100</v>
      </c>
      <c r="F101" s="11" t="s">
        <v>65</v>
      </c>
      <c r="G101" s="11" t="s">
        <v>49</v>
      </c>
      <c r="H101" s="11" t="s">
        <v>1229</v>
      </c>
      <c r="I101" s="4"/>
      <c r="J101" s="4"/>
      <c r="K101" s="4"/>
      <c r="L101" s="4"/>
      <c r="M101" s="4"/>
      <c r="N101" s="4"/>
      <c r="O101" s="4"/>
      <c r="P101" s="4"/>
      <c r="Q101" s="4"/>
      <c r="R101" s="4"/>
      <c r="S101" s="4"/>
      <c r="T101" s="4"/>
      <c r="U101" s="4"/>
      <c r="V101" s="4"/>
      <c r="W101" s="4"/>
      <c r="X101" s="4"/>
      <c r="Y101" s="4"/>
    </row>
    <row r="102">
      <c r="A102" s="11">
        <v>101.0</v>
      </c>
      <c r="B102" s="11" t="s">
        <v>389</v>
      </c>
      <c r="C102" s="11" t="s">
        <v>390</v>
      </c>
      <c r="D102" s="11">
        <v>2018.0</v>
      </c>
      <c r="E102" s="11" t="s">
        <v>391</v>
      </c>
      <c r="F102" s="11" t="s">
        <v>65</v>
      </c>
      <c r="G102" s="11" t="s">
        <v>49</v>
      </c>
      <c r="H102" s="11" t="s">
        <v>1229</v>
      </c>
      <c r="I102" s="4"/>
      <c r="J102" s="4"/>
      <c r="K102" s="4"/>
      <c r="L102" s="4"/>
      <c r="M102" s="4"/>
      <c r="N102" s="4"/>
      <c r="O102" s="4"/>
      <c r="P102" s="4"/>
      <c r="Q102" s="4"/>
      <c r="R102" s="4"/>
      <c r="S102" s="4"/>
      <c r="T102" s="4"/>
      <c r="U102" s="4"/>
      <c r="V102" s="4"/>
      <c r="W102" s="4"/>
      <c r="X102" s="4"/>
      <c r="Y102" s="4"/>
    </row>
    <row r="103">
      <c r="A103" s="11">
        <v>102.0</v>
      </c>
      <c r="B103" s="11" t="s">
        <v>392</v>
      </c>
      <c r="C103" s="11" t="s">
        <v>393</v>
      </c>
      <c r="D103" s="11">
        <v>2017.0</v>
      </c>
      <c r="E103" s="11" t="s">
        <v>394</v>
      </c>
      <c r="F103" s="11" t="s">
        <v>65</v>
      </c>
      <c r="G103" s="11" t="s">
        <v>39</v>
      </c>
      <c r="H103" s="11" t="s">
        <v>1229</v>
      </c>
      <c r="I103" s="4"/>
      <c r="J103" s="4"/>
      <c r="K103" s="4"/>
      <c r="L103" s="4"/>
      <c r="M103" s="4"/>
      <c r="N103" s="4"/>
      <c r="O103" s="4"/>
      <c r="P103" s="4"/>
      <c r="Q103" s="4"/>
      <c r="R103" s="4"/>
      <c r="S103" s="4"/>
      <c r="T103" s="4"/>
      <c r="U103" s="4"/>
      <c r="V103" s="4"/>
      <c r="W103" s="4"/>
      <c r="X103" s="4"/>
      <c r="Y103" s="4"/>
    </row>
    <row r="104">
      <c r="A104" s="12">
        <v>103.0</v>
      </c>
      <c r="B104" s="11" t="s">
        <v>395</v>
      </c>
      <c r="C104" s="11" t="s">
        <v>396</v>
      </c>
      <c r="D104" s="11">
        <v>2017.0</v>
      </c>
      <c r="E104" s="11" t="s">
        <v>77</v>
      </c>
      <c r="F104" s="11" t="s">
        <v>65</v>
      </c>
      <c r="G104" s="11" t="s">
        <v>49</v>
      </c>
      <c r="H104" s="11" t="s">
        <v>1229</v>
      </c>
      <c r="I104" s="4"/>
      <c r="J104" s="4"/>
      <c r="K104" s="4"/>
      <c r="L104" s="4"/>
      <c r="M104" s="4"/>
      <c r="N104" s="4"/>
      <c r="O104" s="4"/>
      <c r="P104" s="4"/>
      <c r="Q104" s="4"/>
      <c r="R104" s="4"/>
      <c r="S104" s="4"/>
      <c r="T104" s="4"/>
      <c r="U104" s="4"/>
      <c r="V104" s="4"/>
      <c r="W104" s="4"/>
      <c r="X104" s="4"/>
      <c r="Y104" s="4"/>
    </row>
    <row r="105">
      <c r="A105" s="11">
        <v>104.0</v>
      </c>
      <c r="B105" s="11" t="s">
        <v>397</v>
      </c>
      <c r="C105" s="11" t="s">
        <v>398</v>
      </c>
      <c r="D105" s="11">
        <v>2017.0</v>
      </c>
      <c r="E105" s="11" t="s">
        <v>399</v>
      </c>
      <c r="F105" s="11" t="s">
        <v>65</v>
      </c>
      <c r="G105" s="11" t="s">
        <v>39</v>
      </c>
      <c r="H105" s="11" t="s">
        <v>1229</v>
      </c>
      <c r="I105" s="4"/>
      <c r="J105" s="4"/>
      <c r="K105" s="4"/>
      <c r="L105" s="4"/>
      <c r="M105" s="4"/>
      <c r="N105" s="4"/>
      <c r="O105" s="4"/>
      <c r="P105" s="4"/>
      <c r="Q105" s="4"/>
      <c r="R105" s="4"/>
      <c r="S105" s="4"/>
      <c r="T105" s="4"/>
      <c r="U105" s="4"/>
      <c r="V105" s="4"/>
      <c r="W105" s="4"/>
      <c r="X105" s="4"/>
      <c r="Y105" s="4"/>
    </row>
    <row r="106">
      <c r="A106" s="11">
        <v>105.0</v>
      </c>
      <c r="B106" s="11" t="s">
        <v>400</v>
      </c>
      <c r="C106" s="11" t="s">
        <v>401</v>
      </c>
      <c r="D106" s="11">
        <v>2017.0</v>
      </c>
      <c r="E106" s="11" t="s">
        <v>402</v>
      </c>
      <c r="F106" s="11" t="s">
        <v>65</v>
      </c>
      <c r="G106" s="11" t="s">
        <v>39</v>
      </c>
      <c r="H106" s="11" t="s">
        <v>1229</v>
      </c>
      <c r="I106" s="4"/>
      <c r="J106" s="4"/>
      <c r="K106" s="4"/>
      <c r="L106" s="4"/>
      <c r="M106" s="4"/>
      <c r="N106" s="4"/>
      <c r="O106" s="4"/>
      <c r="P106" s="4"/>
      <c r="Q106" s="4"/>
      <c r="R106" s="4"/>
      <c r="S106" s="4"/>
      <c r="T106" s="4"/>
      <c r="U106" s="4"/>
      <c r="V106" s="4"/>
      <c r="W106" s="4"/>
      <c r="X106" s="4"/>
      <c r="Y106" s="4"/>
    </row>
    <row r="107">
      <c r="A107" s="12">
        <v>106.0</v>
      </c>
      <c r="B107" s="11" t="s">
        <v>1226</v>
      </c>
      <c r="C107" s="11" t="s">
        <v>404</v>
      </c>
      <c r="D107" s="11">
        <v>2017.0</v>
      </c>
      <c r="E107" s="11" t="s">
        <v>405</v>
      </c>
      <c r="F107" s="11" t="s">
        <v>65</v>
      </c>
      <c r="G107" s="11" t="s">
        <v>49</v>
      </c>
      <c r="H107" s="11" t="s">
        <v>1229</v>
      </c>
      <c r="I107" s="4"/>
      <c r="J107" s="4"/>
      <c r="K107" s="4"/>
      <c r="L107" s="4"/>
      <c r="M107" s="4"/>
      <c r="N107" s="4"/>
      <c r="O107" s="4"/>
      <c r="P107" s="4"/>
      <c r="Q107" s="4"/>
      <c r="R107" s="4"/>
      <c r="S107" s="4"/>
      <c r="T107" s="4"/>
      <c r="U107" s="4"/>
      <c r="V107" s="4"/>
      <c r="W107" s="4"/>
      <c r="X107" s="4"/>
      <c r="Y107" s="4"/>
    </row>
    <row r="108">
      <c r="A108" s="11">
        <v>107.0</v>
      </c>
      <c r="B108" s="11" t="s">
        <v>406</v>
      </c>
      <c r="C108" s="11" t="s">
        <v>407</v>
      </c>
      <c r="D108" s="11">
        <v>2017.0</v>
      </c>
      <c r="E108" s="11" t="s">
        <v>408</v>
      </c>
      <c r="F108" s="11" t="s">
        <v>65</v>
      </c>
      <c r="G108" s="11" t="s">
        <v>39</v>
      </c>
      <c r="H108" s="11" t="s">
        <v>1229</v>
      </c>
      <c r="I108" s="4"/>
      <c r="J108" s="4"/>
      <c r="K108" s="4"/>
      <c r="L108" s="4"/>
      <c r="M108" s="4"/>
      <c r="N108" s="4"/>
      <c r="O108" s="4"/>
      <c r="P108" s="4"/>
      <c r="Q108" s="4"/>
      <c r="R108" s="4"/>
      <c r="S108" s="4"/>
      <c r="T108" s="4"/>
      <c r="U108" s="4"/>
      <c r="V108" s="4"/>
      <c r="W108" s="4"/>
      <c r="X108" s="4"/>
      <c r="Y108" s="4"/>
    </row>
    <row r="109">
      <c r="A109" s="11">
        <v>108.0</v>
      </c>
      <c r="B109" s="11" t="s">
        <v>409</v>
      </c>
      <c r="C109" s="11" t="s">
        <v>410</v>
      </c>
      <c r="D109" s="11">
        <v>2017.0</v>
      </c>
      <c r="E109" s="11" t="s">
        <v>411</v>
      </c>
      <c r="F109" s="11" t="s">
        <v>65</v>
      </c>
      <c r="G109" s="11" t="s">
        <v>39</v>
      </c>
      <c r="H109" s="11" t="s">
        <v>1229</v>
      </c>
      <c r="I109" s="4"/>
      <c r="J109" s="4"/>
      <c r="K109" s="4"/>
      <c r="L109" s="4"/>
      <c r="M109" s="4"/>
      <c r="N109" s="4"/>
      <c r="O109" s="4"/>
      <c r="P109" s="4"/>
      <c r="Q109" s="4"/>
      <c r="R109" s="4"/>
      <c r="S109" s="4"/>
      <c r="T109" s="4"/>
      <c r="U109" s="4"/>
      <c r="V109" s="4"/>
      <c r="W109" s="4"/>
      <c r="X109" s="4"/>
      <c r="Y109" s="4"/>
    </row>
    <row r="110">
      <c r="A110" s="12">
        <v>109.0</v>
      </c>
      <c r="B110" s="11" t="s">
        <v>412</v>
      </c>
      <c r="C110" s="11" t="s">
        <v>413</v>
      </c>
      <c r="D110" s="11">
        <v>2017.0</v>
      </c>
      <c r="E110" s="11" t="s">
        <v>414</v>
      </c>
      <c r="F110" s="11" t="s">
        <v>65</v>
      </c>
      <c r="G110" s="11" t="s">
        <v>39</v>
      </c>
      <c r="H110" s="11" t="s">
        <v>1229</v>
      </c>
      <c r="I110" s="4"/>
      <c r="J110" s="4"/>
      <c r="K110" s="4"/>
      <c r="L110" s="4"/>
      <c r="M110" s="4"/>
      <c r="N110" s="4"/>
      <c r="O110" s="4"/>
      <c r="P110" s="4"/>
      <c r="Q110" s="4"/>
      <c r="R110" s="4"/>
      <c r="S110" s="4"/>
      <c r="T110" s="4"/>
      <c r="U110" s="4"/>
      <c r="V110" s="4"/>
      <c r="W110" s="4"/>
      <c r="X110" s="4"/>
      <c r="Y110" s="4"/>
    </row>
    <row r="111">
      <c r="A111" s="11">
        <v>110.0</v>
      </c>
      <c r="B111" s="11" t="s">
        <v>415</v>
      </c>
      <c r="C111" s="11" t="s">
        <v>416</v>
      </c>
      <c r="D111" s="11">
        <v>2017.0</v>
      </c>
      <c r="E111" s="11" t="s">
        <v>316</v>
      </c>
      <c r="F111" s="11" t="s">
        <v>65</v>
      </c>
      <c r="G111" s="11" t="s">
        <v>49</v>
      </c>
      <c r="H111" s="11" t="s">
        <v>1229</v>
      </c>
      <c r="I111" s="4"/>
      <c r="J111" s="4"/>
      <c r="K111" s="4"/>
      <c r="L111" s="4"/>
      <c r="M111" s="4"/>
      <c r="N111" s="4"/>
      <c r="O111" s="4"/>
      <c r="P111" s="4"/>
      <c r="Q111" s="4"/>
      <c r="R111" s="4"/>
      <c r="S111" s="4"/>
      <c r="T111" s="4"/>
      <c r="U111" s="4"/>
      <c r="V111" s="4"/>
      <c r="W111" s="4"/>
      <c r="X111" s="4"/>
      <c r="Y111" s="4"/>
    </row>
    <row r="112">
      <c r="A112" s="11">
        <v>111.0</v>
      </c>
      <c r="B112" s="11" t="s">
        <v>417</v>
      </c>
      <c r="C112" s="11" t="s">
        <v>418</v>
      </c>
      <c r="D112" s="11">
        <v>2015.0</v>
      </c>
      <c r="E112" s="11" t="s">
        <v>419</v>
      </c>
      <c r="F112" s="11" t="s">
        <v>65</v>
      </c>
      <c r="G112" s="11" t="s">
        <v>49</v>
      </c>
      <c r="H112" s="11" t="s">
        <v>1229</v>
      </c>
      <c r="I112" s="4"/>
      <c r="J112" s="4"/>
      <c r="K112" s="4"/>
      <c r="L112" s="4"/>
      <c r="M112" s="4"/>
      <c r="N112" s="4"/>
      <c r="O112" s="4"/>
      <c r="P112" s="4"/>
      <c r="Q112" s="4"/>
      <c r="R112" s="4"/>
      <c r="S112" s="4"/>
      <c r="T112" s="4"/>
      <c r="U112" s="4"/>
      <c r="V112" s="4"/>
      <c r="W112" s="4"/>
      <c r="X112" s="4"/>
      <c r="Y112" s="4"/>
    </row>
    <row r="113">
      <c r="A113" s="12">
        <v>112.0</v>
      </c>
      <c r="B113" s="11" t="s">
        <v>420</v>
      </c>
      <c r="C113" s="11" t="s">
        <v>421</v>
      </c>
      <c r="D113" s="11">
        <v>2016.0</v>
      </c>
      <c r="E113" s="11" t="s">
        <v>422</v>
      </c>
      <c r="F113" s="11" t="s">
        <v>65</v>
      </c>
      <c r="G113" s="11" t="s">
        <v>49</v>
      </c>
      <c r="H113" s="11" t="s">
        <v>1229</v>
      </c>
      <c r="I113" s="4"/>
      <c r="J113" s="4"/>
      <c r="K113" s="4"/>
      <c r="L113" s="4"/>
      <c r="M113" s="4"/>
      <c r="N113" s="4"/>
      <c r="O113" s="4"/>
      <c r="P113" s="4"/>
      <c r="Q113" s="4"/>
      <c r="R113" s="4"/>
      <c r="S113" s="4"/>
      <c r="T113" s="4"/>
      <c r="U113" s="4"/>
      <c r="V113" s="4"/>
      <c r="W113" s="4"/>
      <c r="X113" s="4"/>
      <c r="Y113" s="4"/>
    </row>
    <row r="114">
      <c r="A114" s="11">
        <v>113.0</v>
      </c>
      <c r="B114" s="11" t="s">
        <v>423</v>
      </c>
      <c r="C114" s="11" t="s">
        <v>424</v>
      </c>
      <c r="D114" s="11">
        <v>2016.0</v>
      </c>
      <c r="E114" s="11" t="s">
        <v>425</v>
      </c>
      <c r="F114" s="11" t="s">
        <v>65</v>
      </c>
      <c r="G114" s="11" t="s">
        <v>49</v>
      </c>
      <c r="H114" s="11" t="s">
        <v>1229</v>
      </c>
      <c r="I114" s="4"/>
      <c r="J114" s="4"/>
      <c r="K114" s="4"/>
      <c r="L114" s="4"/>
      <c r="M114" s="4"/>
      <c r="N114" s="4"/>
      <c r="O114" s="4"/>
      <c r="P114" s="4"/>
      <c r="Q114" s="4"/>
      <c r="R114" s="4"/>
      <c r="S114" s="4"/>
      <c r="T114" s="4"/>
      <c r="U114" s="4"/>
      <c r="V114" s="4"/>
      <c r="W114" s="4"/>
      <c r="X114" s="4"/>
      <c r="Y114" s="4"/>
    </row>
    <row r="115">
      <c r="A115" s="11">
        <v>114.0</v>
      </c>
      <c r="B115" s="11" t="s">
        <v>426</v>
      </c>
      <c r="C115" s="11" t="s">
        <v>427</v>
      </c>
      <c r="D115" s="11">
        <v>2016.0</v>
      </c>
      <c r="E115" s="11" t="s">
        <v>100</v>
      </c>
      <c r="F115" s="11" t="s">
        <v>65</v>
      </c>
      <c r="G115" s="11" t="s">
        <v>49</v>
      </c>
      <c r="H115" s="11" t="s">
        <v>1229</v>
      </c>
      <c r="I115" s="4"/>
      <c r="J115" s="4"/>
      <c r="K115" s="4"/>
      <c r="L115" s="4"/>
      <c r="M115" s="4"/>
      <c r="N115" s="4"/>
      <c r="O115" s="4"/>
      <c r="P115" s="4"/>
      <c r="Q115" s="4"/>
      <c r="R115" s="4"/>
      <c r="S115" s="4"/>
      <c r="T115" s="4"/>
      <c r="U115" s="4"/>
      <c r="V115" s="4"/>
      <c r="W115" s="4"/>
      <c r="X115" s="4"/>
      <c r="Y115" s="4"/>
    </row>
    <row r="116">
      <c r="A116" s="12">
        <v>115.0</v>
      </c>
      <c r="B116" s="11" t="s">
        <v>428</v>
      </c>
      <c r="C116" s="11" t="s">
        <v>429</v>
      </c>
      <c r="D116" s="11">
        <v>2015.0</v>
      </c>
      <c r="E116" s="11" t="s">
        <v>430</v>
      </c>
      <c r="F116" s="11" t="s">
        <v>65</v>
      </c>
      <c r="G116" s="11" t="s">
        <v>39</v>
      </c>
      <c r="H116" s="11" t="s">
        <v>1229</v>
      </c>
      <c r="I116" s="4"/>
      <c r="J116" s="4"/>
      <c r="K116" s="4"/>
      <c r="L116" s="4"/>
      <c r="M116" s="4"/>
      <c r="N116" s="4"/>
      <c r="O116" s="4"/>
      <c r="P116" s="4"/>
      <c r="Q116" s="4"/>
      <c r="R116" s="4"/>
      <c r="S116" s="4"/>
      <c r="T116" s="4"/>
      <c r="U116" s="4"/>
      <c r="V116" s="4"/>
      <c r="W116" s="4"/>
      <c r="X116" s="4"/>
      <c r="Y116" s="4"/>
    </row>
    <row r="117">
      <c r="A117" s="11">
        <v>116.0</v>
      </c>
      <c r="B117" s="11" t="s">
        <v>431</v>
      </c>
      <c r="C117" s="11" t="s">
        <v>432</v>
      </c>
      <c r="D117" s="11">
        <v>2016.0</v>
      </c>
      <c r="E117" s="11" t="s">
        <v>433</v>
      </c>
      <c r="F117" s="11" t="s">
        <v>65</v>
      </c>
      <c r="G117" s="11" t="s">
        <v>39</v>
      </c>
      <c r="H117" s="11" t="s">
        <v>1229</v>
      </c>
      <c r="I117" s="4"/>
      <c r="J117" s="4"/>
      <c r="K117" s="4"/>
      <c r="L117" s="4"/>
      <c r="M117" s="4"/>
      <c r="N117" s="4"/>
      <c r="O117" s="4"/>
      <c r="P117" s="4"/>
      <c r="Q117" s="4"/>
      <c r="R117" s="4"/>
      <c r="S117" s="4"/>
      <c r="T117" s="4"/>
      <c r="U117" s="4"/>
      <c r="V117" s="4"/>
      <c r="W117" s="4"/>
      <c r="X117" s="4"/>
      <c r="Y117" s="4"/>
    </row>
    <row r="118">
      <c r="A118" s="11">
        <v>117.0</v>
      </c>
      <c r="B118" s="11" t="s">
        <v>434</v>
      </c>
      <c r="C118" s="16" t="s">
        <v>435</v>
      </c>
      <c r="D118" s="11">
        <v>2025.0</v>
      </c>
      <c r="E118" s="11" t="s">
        <v>436</v>
      </c>
      <c r="F118" s="11" t="s">
        <v>437</v>
      </c>
      <c r="G118" s="11" t="s">
        <v>49</v>
      </c>
      <c r="H118" s="11" t="s">
        <v>1229</v>
      </c>
      <c r="I118" s="4"/>
      <c r="J118" s="4"/>
      <c r="K118" s="4"/>
      <c r="L118" s="4"/>
      <c r="M118" s="4"/>
      <c r="N118" s="4"/>
      <c r="O118" s="4"/>
      <c r="P118" s="4"/>
      <c r="Q118" s="4"/>
      <c r="R118" s="4"/>
      <c r="S118" s="4"/>
      <c r="T118" s="4"/>
      <c r="U118" s="4"/>
      <c r="V118" s="4"/>
      <c r="W118" s="4"/>
      <c r="X118" s="4"/>
      <c r="Y118" s="4"/>
    </row>
    <row r="119">
      <c r="A119" s="12">
        <v>118.0</v>
      </c>
      <c r="B119" s="11" t="s">
        <v>438</v>
      </c>
      <c r="C119" s="16" t="s">
        <v>439</v>
      </c>
      <c r="D119" s="11">
        <v>2025.0</v>
      </c>
      <c r="E119" s="11" t="s">
        <v>440</v>
      </c>
      <c r="F119" s="11" t="s">
        <v>437</v>
      </c>
      <c r="G119" s="11" t="s">
        <v>49</v>
      </c>
      <c r="H119" s="11" t="s">
        <v>1229</v>
      </c>
      <c r="I119" s="4"/>
      <c r="J119" s="4"/>
      <c r="K119" s="4"/>
      <c r="L119" s="4"/>
      <c r="M119" s="4"/>
      <c r="N119" s="4"/>
      <c r="O119" s="4"/>
      <c r="P119" s="4"/>
      <c r="Q119" s="4"/>
      <c r="R119" s="4"/>
      <c r="S119" s="4"/>
      <c r="T119" s="4"/>
      <c r="U119" s="4"/>
      <c r="V119" s="4"/>
      <c r="W119" s="4"/>
      <c r="X119" s="4"/>
      <c r="Y119" s="4"/>
    </row>
    <row r="120">
      <c r="A120" s="11">
        <v>119.0</v>
      </c>
      <c r="B120" s="11" t="s">
        <v>441</v>
      </c>
      <c r="C120" s="16" t="s">
        <v>442</v>
      </c>
      <c r="D120" s="11">
        <v>2025.0</v>
      </c>
      <c r="E120" s="11" t="s">
        <v>443</v>
      </c>
      <c r="F120" s="11" t="s">
        <v>437</v>
      </c>
      <c r="G120" s="11" t="s">
        <v>49</v>
      </c>
      <c r="H120" s="11" t="s">
        <v>1229</v>
      </c>
      <c r="I120" s="4"/>
      <c r="J120" s="4"/>
      <c r="K120" s="4"/>
      <c r="L120" s="4"/>
      <c r="M120" s="4"/>
      <c r="N120" s="4"/>
      <c r="O120" s="4"/>
      <c r="P120" s="4"/>
      <c r="Q120" s="4"/>
      <c r="R120" s="4"/>
      <c r="S120" s="4"/>
      <c r="T120" s="4"/>
      <c r="U120" s="4"/>
      <c r="V120" s="4"/>
      <c r="W120" s="4"/>
      <c r="X120" s="4"/>
      <c r="Y120" s="4"/>
    </row>
    <row r="121">
      <c r="A121" s="11">
        <v>120.0</v>
      </c>
      <c r="B121" s="11" t="s">
        <v>447</v>
      </c>
      <c r="C121" s="16" t="s">
        <v>448</v>
      </c>
      <c r="D121" s="11">
        <v>2020.0</v>
      </c>
      <c r="E121" s="11" t="s">
        <v>449</v>
      </c>
      <c r="F121" s="11" t="s">
        <v>437</v>
      </c>
      <c r="G121" s="11" t="s">
        <v>49</v>
      </c>
      <c r="H121" s="11" t="s">
        <v>1229</v>
      </c>
      <c r="I121" s="4"/>
      <c r="J121" s="4"/>
      <c r="K121" s="4"/>
      <c r="L121" s="4"/>
      <c r="M121" s="4"/>
      <c r="N121" s="4"/>
      <c r="O121" s="4"/>
      <c r="P121" s="4"/>
      <c r="Q121" s="4"/>
      <c r="R121" s="4"/>
      <c r="S121" s="4"/>
      <c r="T121" s="4"/>
      <c r="U121" s="4"/>
      <c r="V121" s="4"/>
      <c r="W121" s="4"/>
      <c r="X121" s="4"/>
      <c r="Y121" s="4"/>
    </row>
    <row r="122">
      <c r="A122" s="12">
        <v>121.0</v>
      </c>
      <c r="B122" s="11" t="s">
        <v>450</v>
      </c>
      <c r="C122" s="16" t="s">
        <v>451</v>
      </c>
      <c r="D122" s="11">
        <v>2024.0</v>
      </c>
      <c r="E122" s="11" t="s">
        <v>452</v>
      </c>
      <c r="F122" s="11" t="s">
        <v>437</v>
      </c>
      <c r="G122" s="11" t="s">
        <v>49</v>
      </c>
      <c r="H122" s="11" t="s">
        <v>1229</v>
      </c>
      <c r="I122" s="4"/>
      <c r="J122" s="4"/>
      <c r="K122" s="4"/>
      <c r="L122" s="4"/>
      <c r="M122" s="4"/>
      <c r="N122" s="4"/>
      <c r="O122" s="4"/>
      <c r="P122" s="4"/>
      <c r="Q122" s="4"/>
      <c r="R122" s="4"/>
      <c r="S122" s="4"/>
      <c r="T122" s="4"/>
      <c r="U122" s="4"/>
      <c r="V122" s="4"/>
      <c r="W122" s="4"/>
      <c r="X122" s="4"/>
      <c r="Y122" s="4"/>
    </row>
    <row r="123">
      <c r="A123" s="11">
        <v>122.0</v>
      </c>
      <c r="B123" s="11" t="s">
        <v>453</v>
      </c>
      <c r="C123" s="16" t="s">
        <v>454</v>
      </c>
      <c r="D123" s="11">
        <v>2024.0</v>
      </c>
      <c r="E123" s="11" t="s">
        <v>455</v>
      </c>
      <c r="F123" s="11" t="s">
        <v>437</v>
      </c>
      <c r="G123" s="11" t="s">
        <v>49</v>
      </c>
      <c r="H123" s="11" t="s">
        <v>1229</v>
      </c>
      <c r="I123" s="4"/>
      <c r="J123" s="4"/>
      <c r="K123" s="4"/>
      <c r="L123" s="4"/>
      <c r="M123" s="4"/>
      <c r="N123" s="4"/>
      <c r="O123" s="4"/>
      <c r="P123" s="4"/>
      <c r="Q123" s="4"/>
      <c r="R123" s="4"/>
      <c r="S123" s="4"/>
      <c r="T123" s="4"/>
      <c r="U123" s="4"/>
      <c r="V123" s="4"/>
      <c r="W123" s="4"/>
      <c r="X123" s="4"/>
      <c r="Y123" s="4"/>
    </row>
    <row r="124">
      <c r="A124" s="11">
        <v>123.0</v>
      </c>
      <c r="B124" s="11" t="s">
        <v>456</v>
      </c>
      <c r="C124" s="16" t="s">
        <v>457</v>
      </c>
      <c r="D124" s="11">
        <v>2025.0</v>
      </c>
      <c r="E124" s="11" t="s">
        <v>458</v>
      </c>
      <c r="F124" s="11" t="s">
        <v>437</v>
      </c>
      <c r="G124" s="11" t="s">
        <v>49</v>
      </c>
      <c r="H124" s="11" t="s">
        <v>1229</v>
      </c>
      <c r="I124" s="4"/>
      <c r="J124" s="4"/>
      <c r="K124" s="4"/>
      <c r="L124" s="4"/>
      <c r="M124" s="4"/>
      <c r="N124" s="4"/>
      <c r="O124" s="4"/>
      <c r="P124" s="4"/>
      <c r="Q124" s="4"/>
      <c r="R124" s="4"/>
      <c r="S124" s="4"/>
      <c r="T124" s="4"/>
      <c r="U124" s="4"/>
      <c r="V124" s="4"/>
      <c r="W124" s="4"/>
      <c r="X124" s="4"/>
      <c r="Y124" s="4"/>
    </row>
    <row r="125">
      <c r="A125" s="12">
        <v>124.0</v>
      </c>
      <c r="B125" s="11" t="s">
        <v>459</v>
      </c>
      <c r="C125" s="16" t="s">
        <v>460</v>
      </c>
      <c r="D125" s="11">
        <v>2025.0</v>
      </c>
      <c r="E125" s="11" t="s">
        <v>461</v>
      </c>
      <c r="F125" s="11" t="s">
        <v>437</v>
      </c>
      <c r="G125" s="11" t="s">
        <v>49</v>
      </c>
      <c r="H125" s="11" t="s">
        <v>1229</v>
      </c>
      <c r="I125" s="4"/>
      <c r="J125" s="4"/>
      <c r="K125" s="4"/>
      <c r="L125" s="4"/>
      <c r="M125" s="4"/>
      <c r="N125" s="4"/>
      <c r="O125" s="4"/>
      <c r="P125" s="4"/>
      <c r="Q125" s="4"/>
      <c r="R125" s="4"/>
      <c r="S125" s="4"/>
      <c r="T125" s="4"/>
      <c r="U125" s="4"/>
      <c r="V125" s="4"/>
      <c r="W125" s="4"/>
      <c r="X125" s="4"/>
      <c r="Y125" s="4"/>
    </row>
    <row r="126">
      <c r="A126" s="11">
        <v>125.0</v>
      </c>
      <c r="B126" s="11" t="s">
        <v>462</v>
      </c>
      <c r="C126" s="16" t="s">
        <v>463</v>
      </c>
      <c r="D126" s="11">
        <v>2020.0</v>
      </c>
      <c r="E126" s="11" t="s">
        <v>464</v>
      </c>
      <c r="F126" s="11" t="s">
        <v>437</v>
      </c>
      <c r="G126" s="11" t="s">
        <v>49</v>
      </c>
      <c r="H126" s="11" t="s">
        <v>1229</v>
      </c>
      <c r="I126" s="4"/>
      <c r="J126" s="4"/>
      <c r="K126" s="4"/>
      <c r="L126" s="4"/>
      <c r="M126" s="4"/>
      <c r="N126" s="4"/>
      <c r="O126" s="4"/>
      <c r="P126" s="4"/>
      <c r="Q126" s="4"/>
      <c r="R126" s="4"/>
      <c r="S126" s="4"/>
      <c r="T126" s="4"/>
      <c r="U126" s="4"/>
      <c r="V126" s="4"/>
      <c r="W126" s="4"/>
      <c r="X126" s="4"/>
      <c r="Y126" s="4"/>
    </row>
    <row r="127">
      <c r="A127" s="11">
        <v>126.0</v>
      </c>
      <c r="B127" s="11" t="s">
        <v>465</v>
      </c>
      <c r="C127" s="16" t="s">
        <v>466</v>
      </c>
      <c r="D127" s="11">
        <v>2023.0</v>
      </c>
      <c r="E127" s="11" t="s">
        <v>467</v>
      </c>
      <c r="F127" s="11" t="s">
        <v>437</v>
      </c>
      <c r="G127" s="11" t="s">
        <v>49</v>
      </c>
      <c r="H127" s="11" t="s">
        <v>1229</v>
      </c>
      <c r="I127" s="4"/>
      <c r="J127" s="4"/>
      <c r="K127" s="4"/>
      <c r="L127" s="4"/>
      <c r="M127" s="4"/>
      <c r="N127" s="4"/>
      <c r="O127" s="4"/>
      <c r="P127" s="4"/>
      <c r="Q127" s="4"/>
      <c r="R127" s="4"/>
      <c r="S127" s="4"/>
      <c r="T127" s="4"/>
      <c r="U127" s="4"/>
      <c r="V127" s="4"/>
      <c r="W127" s="4"/>
      <c r="X127" s="4"/>
      <c r="Y127" s="4"/>
    </row>
    <row r="128">
      <c r="A128" s="12">
        <v>127.0</v>
      </c>
      <c r="B128" s="11" t="s">
        <v>468</v>
      </c>
      <c r="C128" s="16" t="s">
        <v>469</v>
      </c>
      <c r="D128" s="11">
        <v>2024.0</v>
      </c>
      <c r="E128" s="11" t="s">
        <v>470</v>
      </c>
      <c r="F128" s="11" t="s">
        <v>437</v>
      </c>
      <c r="G128" s="11" t="s">
        <v>49</v>
      </c>
      <c r="H128" s="11" t="s">
        <v>1229</v>
      </c>
      <c r="I128" s="4"/>
      <c r="J128" s="4"/>
      <c r="K128" s="4"/>
      <c r="L128" s="4"/>
      <c r="M128" s="4"/>
      <c r="N128" s="4"/>
      <c r="O128" s="4"/>
      <c r="P128" s="4"/>
      <c r="Q128" s="4"/>
      <c r="R128" s="4"/>
      <c r="S128" s="4"/>
      <c r="T128" s="4"/>
      <c r="U128" s="4"/>
      <c r="V128" s="4"/>
      <c r="W128" s="4"/>
      <c r="X128" s="4"/>
      <c r="Y128" s="4"/>
    </row>
    <row r="129">
      <c r="A129" s="11">
        <v>128.0</v>
      </c>
      <c r="B129" s="11" t="s">
        <v>471</v>
      </c>
      <c r="C129" s="16" t="s">
        <v>472</v>
      </c>
      <c r="D129" s="11">
        <v>2025.0</v>
      </c>
      <c r="E129" s="11" t="s">
        <v>473</v>
      </c>
      <c r="F129" s="11" t="s">
        <v>437</v>
      </c>
      <c r="G129" s="11" t="s">
        <v>49</v>
      </c>
      <c r="H129" s="11" t="s">
        <v>1229</v>
      </c>
      <c r="I129" s="4"/>
      <c r="J129" s="4"/>
      <c r="K129" s="4"/>
      <c r="L129" s="4"/>
      <c r="M129" s="4"/>
      <c r="N129" s="4"/>
      <c r="O129" s="4"/>
      <c r="P129" s="4"/>
      <c r="Q129" s="4"/>
      <c r="R129" s="4"/>
      <c r="S129" s="4"/>
      <c r="T129" s="4"/>
      <c r="U129" s="4"/>
      <c r="V129" s="4"/>
      <c r="W129" s="4"/>
      <c r="X129" s="4"/>
      <c r="Y129" s="4"/>
    </row>
    <row r="130">
      <c r="A130" s="11">
        <v>129.0</v>
      </c>
      <c r="B130" s="11" t="s">
        <v>474</v>
      </c>
      <c r="C130" s="16" t="s">
        <v>475</v>
      </c>
      <c r="D130" s="11">
        <v>2023.0</v>
      </c>
      <c r="E130" s="11" t="s">
        <v>476</v>
      </c>
      <c r="F130" s="11" t="s">
        <v>437</v>
      </c>
      <c r="G130" s="11" t="s">
        <v>49</v>
      </c>
      <c r="H130" s="11" t="s">
        <v>1229</v>
      </c>
      <c r="I130" s="4"/>
      <c r="J130" s="4"/>
      <c r="K130" s="4"/>
      <c r="L130" s="4"/>
      <c r="M130" s="4"/>
      <c r="N130" s="4"/>
      <c r="O130" s="4"/>
      <c r="P130" s="4"/>
      <c r="Q130" s="4"/>
      <c r="R130" s="4"/>
      <c r="S130" s="4"/>
      <c r="T130" s="4"/>
      <c r="U130" s="4"/>
      <c r="V130" s="4"/>
      <c r="W130" s="4"/>
      <c r="X130" s="4"/>
      <c r="Y130" s="4"/>
    </row>
    <row r="131">
      <c r="A131" s="12">
        <v>130.0</v>
      </c>
      <c r="B131" s="11" t="s">
        <v>477</v>
      </c>
      <c r="C131" s="16" t="s">
        <v>478</v>
      </c>
      <c r="D131" s="11">
        <v>2015.0</v>
      </c>
      <c r="E131" s="11" t="s">
        <v>443</v>
      </c>
      <c r="F131" s="11" t="s">
        <v>437</v>
      </c>
      <c r="G131" s="11" t="s">
        <v>49</v>
      </c>
      <c r="H131" s="11" t="s">
        <v>1229</v>
      </c>
      <c r="I131" s="4"/>
      <c r="J131" s="4"/>
      <c r="K131" s="4"/>
      <c r="L131" s="4"/>
      <c r="M131" s="4"/>
      <c r="N131" s="4"/>
      <c r="O131" s="4"/>
      <c r="P131" s="4"/>
      <c r="Q131" s="4"/>
      <c r="R131" s="4"/>
      <c r="S131" s="4"/>
      <c r="T131" s="4"/>
      <c r="U131" s="4"/>
      <c r="V131" s="4"/>
      <c r="W131" s="4"/>
      <c r="X131" s="4"/>
      <c r="Y131" s="4"/>
    </row>
    <row r="132">
      <c r="A132" s="11">
        <v>131.0</v>
      </c>
      <c r="B132" s="11" t="s">
        <v>479</v>
      </c>
      <c r="C132" s="16" t="s">
        <v>480</v>
      </c>
      <c r="D132" s="11">
        <v>2022.0</v>
      </c>
      <c r="E132" s="11" t="s">
        <v>481</v>
      </c>
      <c r="F132" s="11" t="s">
        <v>437</v>
      </c>
      <c r="G132" s="11" t="s">
        <v>49</v>
      </c>
      <c r="H132" s="11" t="s">
        <v>1229</v>
      </c>
      <c r="I132" s="4"/>
      <c r="J132" s="4"/>
      <c r="K132" s="4"/>
      <c r="L132" s="4"/>
      <c r="M132" s="4"/>
      <c r="N132" s="4"/>
      <c r="O132" s="4"/>
      <c r="P132" s="4"/>
      <c r="Q132" s="4"/>
      <c r="R132" s="4"/>
      <c r="S132" s="4"/>
      <c r="T132" s="4"/>
      <c r="U132" s="4"/>
      <c r="V132" s="4"/>
      <c r="W132" s="4"/>
      <c r="X132" s="4"/>
      <c r="Y132" s="4"/>
    </row>
    <row r="133">
      <c r="A133" s="11">
        <v>132.0</v>
      </c>
      <c r="B133" s="11" t="s">
        <v>485</v>
      </c>
      <c r="C133" s="16" t="s">
        <v>486</v>
      </c>
      <c r="D133" s="11">
        <v>2022.0</v>
      </c>
      <c r="E133" s="11" t="s">
        <v>449</v>
      </c>
      <c r="F133" s="11" t="s">
        <v>437</v>
      </c>
      <c r="G133" s="11" t="s">
        <v>49</v>
      </c>
      <c r="H133" s="11" t="s">
        <v>1229</v>
      </c>
      <c r="I133" s="4"/>
      <c r="J133" s="4"/>
      <c r="K133" s="4"/>
      <c r="L133" s="4"/>
      <c r="M133" s="4"/>
      <c r="N133" s="4"/>
      <c r="O133" s="4"/>
      <c r="P133" s="4"/>
      <c r="Q133" s="4"/>
      <c r="R133" s="4"/>
      <c r="S133" s="4"/>
      <c r="T133" s="4"/>
      <c r="U133" s="4"/>
      <c r="V133" s="4"/>
      <c r="W133" s="4"/>
      <c r="X133" s="4"/>
      <c r="Y133" s="4"/>
    </row>
    <row r="134">
      <c r="A134" s="12">
        <v>133.0</v>
      </c>
      <c r="B134" s="11" t="s">
        <v>487</v>
      </c>
      <c r="C134" s="16" t="s">
        <v>488</v>
      </c>
      <c r="D134" s="11">
        <v>2024.0</v>
      </c>
      <c r="E134" s="11" t="s">
        <v>489</v>
      </c>
      <c r="F134" s="11" t="s">
        <v>437</v>
      </c>
      <c r="G134" s="11" t="s">
        <v>49</v>
      </c>
      <c r="H134" s="11" t="s">
        <v>1229</v>
      </c>
      <c r="I134" s="4"/>
      <c r="J134" s="4"/>
      <c r="K134" s="4"/>
      <c r="L134" s="4"/>
      <c r="M134" s="4"/>
      <c r="N134" s="4"/>
      <c r="O134" s="4"/>
      <c r="P134" s="4"/>
      <c r="Q134" s="4"/>
      <c r="R134" s="4"/>
      <c r="S134" s="4"/>
      <c r="T134" s="4"/>
      <c r="U134" s="4"/>
      <c r="V134" s="4"/>
      <c r="W134" s="4"/>
      <c r="X134" s="4"/>
      <c r="Y134" s="4"/>
    </row>
    <row r="135">
      <c r="A135" s="11">
        <v>134.0</v>
      </c>
      <c r="B135" s="11" t="s">
        <v>490</v>
      </c>
      <c r="C135" s="16" t="s">
        <v>491</v>
      </c>
      <c r="D135" s="11">
        <v>2025.0</v>
      </c>
      <c r="E135" s="11" t="s">
        <v>473</v>
      </c>
      <c r="F135" s="11" t="s">
        <v>437</v>
      </c>
      <c r="G135" s="11" t="s">
        <v>49</v>
      </c>
      <c r="H135" s="11" t="s">
        <v>1229</v>
      </c>
      <c r="I135" s="4"/>
      <c r="J135" s="4"/>
      <c r="K135" s="4"/>
      <c r="L135" s="4"/>
      <c r="M135" s="4"/>
      <c r="N135" s="4"/>
      <c r="O135" s="4"/>
      <c r="P135" s="4"/>
      <c r="Q135" s="4"/>
      <c r="R135" s="4"/>
      <c r="S135" s="4"/>
      <c r="T135" s="4"/>
      <c r="U135" s="4"/>
      <c r="V135" s="4"/>
      <c r="W135" s="4"/>
      <c r="X135" s="4"/>
      <c r="Y135" s="4"/>
    </row>
    <row r="136">
      <c r="A136" s="11">
        <v>135.0</v>
      </c>
      <c r="B136" s="11" t="s">
        <v>492</v>
      </c>
      <c r="C136" s="16" t="s">
        <v>493</v>
      </c>
      <c r="D136" s="11">
        <v>2023.0</v>
      </c>
      <c r="E136" s="11" t="s">
        <v>449</v>
      </c>
      <c r="F136" s="11" t="s">
        <v>437</v>
      </c>
      <c r="G136" s="11" t="s">
        <v>49</v>
      </c>
      <c r="H136" s="11" t="s">
        <v>1229</v>
      </c>
      <c r="I136" s="4"/>
      <c r="J136" s="4"/>
      <c r="K136" s="4"/>
      <c r="L136" s="4"/>
      <c r="M136" s="4"/>
      <c r="N136" s="4"/>
      <c r="O136" s="4"/>
      <c r="P136" s="4"/>
      <c r="Q136" s="4"/>
      <c r="R136" s="4"/>
      <c r="S136" s="4"/>
      <c r="T136" s="4"/>
      <c r="U136" s="4"/>
      <c r="V136" s="4"/>
      <c r="W136" s="4"/>
      <c r="X136" s="4"/>
      <c r="Y136" s="4"/>
    </row>
    <row r="137">
      <c r="A137" s="12">
        <v>136.0</v>
      </c>
      <c r="B137" s="11" t="s">
        <v>494</v>
      </c>
      <c r="C137" s="16" t="s">
        <v>495</v>
      </c>
      <c r="D137" s="11">
        <v>2025.0</v>
      </c>
      <c r="E137" s="11" t="s">
        <v>443</v>
      </c>
      <c r="F137" s="11" t="s">
        <v>437</v>
      </c>
      <c r="G137" s="11" t="s">
        <v>49</v>
      </c>
      <c r="H137" s="11" t="s">
        <v>1229</v>
      </c>
      <c r="I137" s="4"/>
      <c r="J137" s="4"/>
      <c r="K137" s="4"/>
      <c r="L137" s="4"/>
      <c r="M137" s="4"/>
      <c r="N137" s="4"/>
      <c r="O137" s="4"/>
      <c r="P137" s="4"/>
      <c r="Q137" s="4"/>
      <c r="R137" s="4"/>
      <c r="S137" s="4"/>
      <c r="T137" s="4"/>
      <c r="U137" s="4"/>
      <c r="V137" s="4"/>
      <c r="W137" s="4"/>
      <c r="X137" s="4"/>
      <c r="Y137" s="4"/>
    </row>
    <row r="138">
      <c r="A138" s="11">
        <v>137.0</v>
      </c>
      <c r="B138" s="11" t="s">
        <v>496</v>
      </c>
      <c r="C138" s="16" t="s">
        <v>497</v>
      </c>
      <c r="D138" s="11">
        <v>2023.0</v>
      </c>
      <c r="E138" s="11" t="s">
        <v>498</v>
      </c>
      <c r="F138" s="11" t="s">
        <v>437</v>
      </c>
      <c r="G138" s="11" t="s">
        <v>49</v>
      </c>
      <c r="H138" s="11" t="s">
        <v>1229</v>
      </c>
      <c r="I138" s="4"/>
      <c r="J138" s="4"/>
      <c r="K138" s="4"/>
      <c r="L138" s="4"/>
      <c r="M138" s="4"/>
      <c r="N138" s="4"/>
      <c r="O138" s="4"/>
      <c r="P138" s="4"/>
      <c r="Q138" s="4"/>
      <c r="R138" s="4"/>
      <c r="S138" s="4"/>
      <c r="T138" s="4"/>
      <c r="U138" s="4"/>
      <c r="V138" s="4"/>
      <c r="W138" s="4"/>
      <c r="X138" s="4"/>
      <c r="Y138" s="4"/>
    </row>
    <row r="139">
      <c r="A139" s="11">
        <v>138.0</v>
      </c>
      <c r="B139" s="11" t="s">
        <v>499</v>
      </c>
      <c r="C139" s="16" t="s">
        <v>500</v>
      </c>
      <c r="D139" s="11">
        <v>2025.0</v>
      </c>
      <c r="E139" s="11" t="s">
        <v>473</v>
      </c>
      <c r="F139" s="11" t="s">
        <v>437</v>
      </c>
      <c r="G139" s="11" t="s">
        <v>49</v>
      </c>
      <c r="H139" s="11" t="s">
        <v>1229</v>
      </c>
      <c r="I139" s="4"/>
      <c r="J139" s="4"/>
      <c r="K139" s="4"/>
      <c r="L139" s="4"/>
      <c r="M139" s="4"/>
      <c r="N139" s="4"/>
      <c r="O139" s="4"/>
      <c r="P139" s="4"/>
      <c r="Q139" s="4"/>
      <c r="R139" s="4"/>
      <c r="S139" s="4"/>
      <c r="T139" s="4"/>
      <c r="U139" s="4"/>
      <c r="V139" s="4"/>
      <c r="W139" s="4"/>
      <c r="X139" s="4"/>
      <c r="Y139" s="4"/>
    </row>
    <row r="140">
      <c r="A140" s="12">
        <v>139.0</v>
      </c>
      <c r="B140" s="11" t="s">
        <v>501</v>
      </c>
      <c r="C140" s="16" t="s">
        <v>502</v>
      </c>
      <c r="D140" s="11">
        <v>2025.0</v>
      </c>
      <c r="E140" s="11" t="s">
        <v>503</v>
      </c>
      <c r="F140" s="11" t="s">
        <v>437</v>
      </c>
      <c r="G140" s="11" t="s">
        <v>49</v>
      </c>
      <c r="H140" s="11" t="s">
        <v>1229</v>
      </c>
      <c r="I140" s="4"/>
      <c r="J140" s="4"/>
      <c r="K140" s="4"/>
      <c r="L140" s="4"/>
      <c r="M140" s="4"/>
      <c r="N140" s="4"/>
      <c r="O140" s="4"/>
      <c r="P140" s="4"/>
      <c r="Q140" s="4"/>
      <c r="R140" s="4"/>
      <c r="S140" s="4"/>
      <c r="T140" s="4"/>
      <c r="U140" s="4"/>
      <c r="V140" s="4"/>
      <c r="W140" s="4"/>
      <c r="X140" s="4"/>
      <c r="Y140" s="4"/>
    </row>
    <row r="141">
      <c r="A141" s="11">
        <v>140.0</v>
      </c>
      <c r="B141" s="11" t="s">
        <v>504</v>
      </c>
      <c r="C141" s="16" t="s">
        <v>505</v>
      </c>
      <c r="D141" s="11">
        <v>2024.0</v>
      </c>
      <c r="E141" s="11" t="s">
        <v>449</v>
      </c>
      <c r="F141" s="11" t="s">
        <v>437</v>
      </c>
      <c r="G141" s="11" t="s">
        <v>49</v>
      </c>
      <c r="H141" s="11" t="s">
        <v>1230</v>
      </c>
      <c r="I141" s="4"/>
      <c r="J141" s="4"/>
      <c r="K141" s="4"/>
      <c r="L141" s="4"/>
      <c r="M141" s="4"/>
      <c r="N141" s="4"/>
      <c r="O141" s="4"/>
      <c r="P141" s="4"/>
      <c r="Q141" s="4"/>
      <c r="R141" s="4"/>
      <c r="S141" s="4"/>
      <c r="T141" s="4"/>
      <c r="U141" s="4"/>
      <c r="V141" s="4"/>
      <c r="W141" s="4"/>
      <c r="X141" s="4"/>
      <c r="Y141" s="4"/>
    </row>
    <row r="142">
      <c r="A142" s="11">
        <v>141.0</v>
      </c>
      <c r="B142" s="11" t="s">
        <v>506</v>
      </c>
      <c r="C142" s="16" t="s">
        <v>507</v>
      </c>
      <c r="D142" s="11">
        <v>2018.0</v>
      </c>
      <c r="E142" s="11" t="s">
        <v>508</v>
      </c>
      <c r="F142" s="11" t="s">
        <v>437</v>
      </c>
      <c r="G142" s="11" t="s">
        <v>49</v>
      </c>
      <c r="H142" s="11" t="s">
        <v>1229</v>
      </c>
      <c r="I142" s="4"/>
      <c r="J142" s="4"/>
      <c r="K142" s="4"/>
      <c r="L142" s="4"/>
      <c r="M142" s="4"/>
      <c r="N142" s="4"/>
      <c r="O142" s="4"/>
      <c r="P142" s="4"/>
      <c r="Q142" s="4"/>
      <c r="R142" s="4"/>
      <c r="S142" s="4"/>
      <c r="T142" s="4"/>
      <c r="U142" s="4"/>
      <c r="V142" s="4"/>
      <c r="W142" s="4"/>
      <c r="X142" s="4"/>
      <c r="Y142" s="4"/>
    </row>
    <row r="143">
      <c r="A143" s="12">
        <v>142.0</v>
      </c>
      <c r="B143" s="11" t="s">
        <v>509</v>
      </c>
      <c r="C143" s="16" t="s">
        <v>510</v>
      </c>
      <c r="D143" s="11">
        <v>2020.0</v>
      </c>
      <c r="E143" s="11" t="s">
        <v>511</v>
      </c>
      <c r="F143" s="11" t="s">
        <v>437</v>
      </c>
      <c r="G143" s="11" t="s">
        <v>49</v>
      </c>
      <c r="H143" s="11" t="s">
        <v>1229</v>
      </c>
      <c r="I143" s="4"/>
      <c r="J143" s="4"/>
      <c r="K143" s="4"/>
      <c r="L143" s="4"/>
      <c r="M143" s="4"/>
      <c r="N143" s="4"/>
      <c r="O143" s="4"/>
      <c r="P143" s="4"/>
      <c r="Q143" s="4"/>
      <c r="R143" s="4"/>
      <c r="S143" s="4"/>
      <c r="T143" s="4"/>
      <c r="U143" s="4"/>
      <c r="V143" s="4"/>
      <c r="W143" s="4"/>
      <c r="X143" s="4"/>
      <c r="Y143" s="4"/>
    </row>
    <row r="144">
      <c r="A144" s="11">
        <v>143.0</v>
      </c>
      <c r="B144" s="11" t="s">
        <v>512</v>
      </c>
      <c r="C144" s="16" t="s">
        <v>513</v>
      </c>
      <c r="D144" s="11">
        <v>2019.0</v>
      </c>
      <c r="E144" s="11" t="s">
        <v>489</v>
      </c>
      <c r="F144" s="11" t="s">
        <v>437</v>
      </c>
      <c r="G144" s="11" t="s">
        <v>49</v>
      </c>
      <c r="H144" s="11" t="s">
        <v>1229</v>
      </c>
      <c r="I144" s="4"/>
      <c r="J144" s="4"/>
      <c r="K144" s="4"/>
      <c r="L144" s="4"/>
      <c r="M144" s="4"/>
      <c r="N144" s="4"/>
      <c r="O144" s="4"/>
      <c r="P144" s="4"/>
      <c r="Q144" s="4"/>
      <c r="R144" s="4"/>
      <c r="S144" s="4"/>
      <c r="T144" s="4"/>
      <c r="U144" s="4"/>
      <c r="V144" s="4"/>
      <c r="W144" s="4"/>
      <c r="X144" s="4"/>
      <c r="Y144" s="4"/>
    </row>
    <row r="145">
      <c r="A145" s="11">
        <v>144.0</v>
      </c>
      <c r="B145" s="11" t="s">
        <v>514</v>
      </c>
      <c r="C145" s="16" t="s">
        <v>515</v>
      </c>
      <c r="D145" s="11">
        <v>2025.0</v>
      </c>
      <c r="E145" s="11" t="s">
        <v>440</v>
      </c>
      <c r="F145" s="11" t="s">
        <v>437</v>
      </c>
      <c r="G145" s="11" t="s">
        <v>49</v>
      </c>
      <c r="H145" s="11" t="s">
        <v>1229</v>
      </c>
      <c r="I145" s="4"/>
      <c r="J145" s="4"/>
      <c r="K145" s="4"/>
      <c r="L145" s="4"/>
      <c r="M145" s="4"/>
      <c r="N145" s="4"/>
      <c r="O145" s="4"/>
      <c r="P145" s="4"/>
      <c r="Q145" s="4"/>
      <c r="R145" s="4"/>
      <c r="S145" s="4"/>
      <c r="T145" s="4"/>
      <c r="U145" s="4"/>
      <c r="V145" s="4"/>
      <c r="W145" s="4"/>
      <c r="X145" s="4"/>
      <c r="Y145" s="4"/>
    </row>
    <row r="146">
      <c r="A146" s="12">
        <v>145.0</v>
      </c>
      <c r="B146" s="11" t="s">
        <v>516</v>
      </c>
      <c r="C146" s="16" t="s">
        <v>517</v>
      </c>
      <c r="D146" s="11">
        <v>2025.0</v>
      </c>
      <c r="E146" s="11" t="s">
        <v>518</v>
      </c>
      <c r="F146" s="11" t="s">
        <v>437</v>
      </c>
      <c r="G146" s="11" t="s">
        <v>49</v>
      </c>
      <c r="H146" s="11" t="s">
        <v>1229</v>
      </c>
      <c r="I146" s="4"/>
      <c r="J146" s="4"/>
      <c r="K146" s="4"/>
      <c r="L146" s="4"/>
      <c r="M146" s="4"/>
      <c r="N146" s="4"/>
      <c r="O146" s="4"/>
      <c r="P146" s="4"/>
      <c r="Q146" s="4"/>
      <c r="R146" s="4"/>
      <c r="S146" s="4"/>
      <c r="T146" s="4"/>
      <c r="U146" s="4"/>
      <c r="V146" s="4"/>
      <c r="W146" s="4"/>
      <c r="X146" s="4"/>
      <c r="Y146" s="4"/>
    </row>
    <row r="147">
      <c r="A147" s="11">
        <v>146.0</v>
      </c>
      <c r="B147" s="11" t="s">
        <v>519</v>
      </c>
      <c r="C147" s="16" t="s">
        <v>520</v>
      </c>
      <c r="D147" s="11">
        <v>2021.0</v>
      </c>
      <c r="E147" s="11" t="s">
        <v>521</v>
      </c>
      <c r="F147" s="11" t="s">
        <v>437</v>
      </c>
      <c r="G147" s="11" t="s">
        <v>49</v>
      </c>
      <c r="H147" s="11" t="s">
        <v>1230</v>
      </c>
      <c r="I147" s="4"/>
      <c r="J147" s="4"/>
      <c r="K147" s="4"/>
      <c r="L147" s="4"/>
      <c r="M147" s="4"/>
      <c r="N147" s="4"/>
      <c r="O147" s="4"/>
      <c r="P147" s="4"/>
      <c r="Q147" s="4"/>
      <c r="R147" s="4"/>
      <c r="S147" s="4"/>
      <c r="T147" s="4"/>
      <c r="U147" s="4"/>
      <c r="V147" s="4"/>
      <c r="W147" s="4"/>
      <c r="X147" s="4"/>
      <c r="Y147" s="4"/>
    </row>
    <row r="148">
      <c r="A148" s="11">
        <v>147.0</v>
      </c>
      <c r="B148" s="11" t="s">
        <v>522</v>
      </c>
      <c r="C148" s="16" t="s">
        <v>523</v>
      </c>
      <c r="D148" s="11">
        <v>2025.0</v>
      </c>
      <c r="E148" s="11" t="s">
        <v>524</v>
      </c>
      <c r="F148" s="11" t="s">
        <v>437</v>
      </c>
      <c r="G148" s="11" t="s">
        <v>49</v>
      </c>
      <c r="H148" s="11" t="s">
        <v>1230</v>
      </c>
      <c r="I148" s="11"/>
      <c r="J148" s="4"/>
      <c r="K148" s="4"/>
      <c r="L148" s="4"/>
      <c r="M148" s="4"/>
      <c r="N148" s="4"/>
      <c r="O148" s="4"/>
      <c r="P148" s="4"/>
      <c r="Q148" s="4"/>
      <c r="R148" s="4"/>
      <c r="S148" s="4"/>
      <c r="T148" s="4"/>
      <c r="U148" s="4"/>
      <c r="V148" s="4"/>
      <c r="W148" s="4"/>
      <c r="X148" s="4"/>
      <c r="Y148" s="4"/>
    </row>
    <row r="149">
      <c r="A149" s="12">
        <v>148.0</v>
      </c>
      <c r="B149" s="11" t="s">
        <v>525</v>
      </c>
      <c r="C149" s="16" t="s">
        <v>526</v>
      </c>
      <c r="D149" s="11">
        <v>2024.0</v>
      </c>
      <c r="E149" s="11" t="s">
        <v>527</v>
      </c>
      <c r="F149" s="11" t="s">
        <v>437</v>
      </c>
      <c r="G149" s="11" t="s">
        <v>49</v>
      </c>
      <c r="H149" s="11" t="s">
        <v>1229</v>
      </c>
      <c r="I149" s="4"/>
      <c r="J149" s="4"/>
      <c r="K149" s="4"/>
      <c r="L149" s="4"/>
      <c r="M149" s="4"/>
      <c r="N149" s="4"/>
      <c r="O149" s="4"/>
      <c r="P149" s="4"/>
      <c r="Q149" s="4"/>
      <c r="R149" s="4"/>
      <c r="S149" s="4"/>
      <c r="T149" s="4"/>
      <c r="U149" s="4"/>
      <c r="V149" s="4"/>
      <c r="W149" s="4"/>
      <c r="X149" s="4"/>
      <c r="Y149" s="4"/>
    </row>
    <row r="150">
      <c r="A150" s="11">
        <v>149.0</v>
      </c>
      <c r="B150" s="11" t="s">
        <v>528</v>
      </c>
      <c r="C150" s="16" t="s">
        <v>529</v>
      </c>
      <c r="D150" s="11">
        <v>2025.0</v>
      </c>
      <c r="E150" s="11" t="s">
        <v>530</v>
      </c>
      <c r="F150" s="11" t="s">
        <v>437</v>
      </c>
      <c r="G150" s="11" t="s">
        <v>49</v>
      </c>
      <c r="H150" s="11" t="s">
        <v>1229</v>
      </c>
      <c r="I150" s="4"/>
      <c r="J150" s="4"/>
      <c r="K150" s="4"/>
      <c r="L150" s="4"/>
      <c r="M150" s="4"/>
      <c r="N150" s="4"/>
      <c r="O150" s="4"/>
      <c r="P150" s="4"/>
      <c r="Q150" s="4"/>
      <c r="R150" s="4"/>
      <c r="S150" s="4"/>
      <c r="T150" s="4"/>
      <c r="U150" s="4"/>
      <c r="V150" s="4"/>
      <c r="W150" s="4"/>
      <c r="X150" s="4"/>
      <c r="Y150" s="4"/>
    </row>
    <row r="151">
      <c r="A151" s="11">
        <v>150.0</v>
      </c>
      <c r="B151" s="11" t="s">
        <v>531</v>
      </c>
      <c r="C151" s="16" t="s">
        <v>532</v>
      </c>
      <c r="D151" s="11">
        <v>2025.0</v>
      </c>
      <c r="E151" s="11" t="s">
        <v>533</v>
      </c>
      <c r="F151" s="11" t="s">
        <v>437</v>
      </c>
      <c r="G151" s="11" t="s">
        <v>49</v>
      </c>
      <c r="H151" s="11" t="s">
        <v>1229</v>
      </c>
      <c r="I151" s="4"/>
      <c r="J151" s="4"/>
      <c r="K151" s="4"/>
      <c r="L151" s="4"/>
      <c r="M151" s="4"/>
      <c r="N151" s="4"/>
      <c r="O151" s="4"/>
      <c r="P151" s="4"/>
      <c r="Q151" s="4"/>
      <c r="R151" s="4"/>
      <c r="S151" s="4"/>
      <c r="T151" s="4"/>
      <c r="U151" s="4"/>
      <c r="V151" s="4"/>
      <c r="W151" s="4"/>
      <c r="X151" s="4"/>
      <c r="Y151" s="4"/>
    </row>
    <row r="152">
      <c r="A152" s="12">
        <v>151.0</v>
      </c>
      <c r="B152" s="11" t="s">
        <v>537</v>
      </c>
      <c r="C152" s="16" t="s">
        <v>538</v>
      </c>
      <c r="D152" s="11">
        <v>2024.0</v>
      </c>
      <c r="E152" s="11" t="s">
        <v>539</v>
      </c>
      <c r="F152" s="11" t="s">
        <v>437</v>
      </c>
      <c r="G152" s="11" t="s">
        <v>49</v>
      </c>
      <c r="H152" s="11" t="s">
        <v>1229</v>
      </c>
      <c r="I152" s="4"/>
      <c r="J152" s="4"/>
      <c r="K152" s="4"/>
      <c r="L152" s="4"/>
      <c r="M152" s="4"/>
      <c r="N152" s="4"/>
      <c r="O152" s="4"/>
      <c r="P152" s="4"/>
      <c r="Q152" s="4"/>
      <c r="R152" s="4"/>
      <c r="S152" s="4"/>
      <c r="T152" s="4"/>
      <c r="U152" s="4"/>
      <c r="V152" s="4"/>
      <c r="W152" s="4"/>
      <c r="X152" s="4"/>
      <c r="Y152" s="4"/>
    </row>
    <row r="153">
      <c r="A153" s="11">
        <v>152.0</v>
      </c>
      <c r="B153" s="11" t="s">
        <v>540</v>
      </c>
      <c r="C153" s="16" t="s">
        <v>541</v>
      </c>
      <c r="D153" s="11">
        <v>2024.0</v>
      </c>
      <c r="E153" s="11" t="s">
        <v>542</v>
      </c>
      <c r="F153" s="11" t="s">
        <v>437</v>
      </c>
      <c r="G153" s="11" t="s">
        <v>49</v>
      </c>
      <c r="H153" s="11" t="s">
        <v>1229</v>
      </c>
      <c r="I153" s="4"/>
      <c r="J153" s="4"/>
      <c r="K153" s="4"/>
      <c r="L153" s="4"/>
      <c r="M153" s="4"/>
      <c r="N153" s="4"/>
      <c r="O153" s="4"/>
      <c r="P153" s="4"/>
      <c r="Q153" s="4"/>
      <c r="R153" s="4"/>
      <c r="S153" s="4"/>
      <c r="T153" s="4"/>
      <c r="U153" s="4"/>
      <c r="V153" s="4"/>
      <c r="W153" s="4"/>
      <c r="X153" s="4"/>
      <c r="Y153" s="4"/>
    </row>
    <row r="154">
      <c r="A154" s="11">
        <v>153.0</v>
      </c>
      <c r="B154" s="11" t="s">
        <v>543</v>
      </c>
      <c r="C154" s="16" t="s">
        <v>544</v>
      </c>
      <c r="D154" s="11">
        <v>2017.0</v>
      </c>
      <c r="E154" s="11" t="s">
        <v>545</v>
      </c>
      <c r="F154" s="11" t="s">
        <v>437</v>
      </c>
      <c r="G154" s="11" t="s">
        <v>49</v>
      </c>
      <c r="H154" s="11" t="s">
        <v>1229</v>
      </c>
      <c r="I154" s="4"/>
      <c r="J154" s="4"/>
      <c r="K154" s="4"/>
      <c r="L154" s="4"/>
      <c r="M154" s="4"/>
      <c r="N154" s="4"/>
      <c r="O154" s="4"/>
      <c r="P154" s="4"/>
      <c r="Q154" s="4"/>
      <c r="R154" s="4"/>
      <c r="S154" s="4"/>
      <c r="T154" s="4"/>
      <c r="U154" s="4"/>
      <c r="V154" s="4"/>
      <c r="W154" s="4"/>
      <c r="X154" s="4"/>
      <c r="Y154" s="4"/>
    </row>
    <row r="155">
      <c r="A155" s="12">
        <v>154.0</v>
      </c>
      <c r="B155" s="11" t="s">
        <v>546</v>
      </c>
      <c r="C155" s="16" t="s">
        <v>547</v>
      </c>
      <c r="D155" s="11">
        <v>2025.0</v>
      </c>
      <c r="E155" s="11" t="s">
        <v>548</v>
      </c>
      <c r="F155" s="11" t="s">
        <v>437</v>
      </c>
      <c r="G155" s="11" t="s">
        <v>49</v>
      </c>
      <c r="H155" s="11" t="s">
        <v>1229</v>
      </c>
      <c r="I155" s="4"/>
      <c r="J155" s="4"/>
      <c r="K155" s="4"/>
      <c r="L155" s="4"/>
      <c r="M155" s="4"/>
      <c r="N155" s="4"/>
      <c r="O155" s="4"/>
      <c r="P155" s="4"/>
      <c r="Q155" s="4"/>
      <c r="R155" s="4"/>
      <c r="S155" s="4"/>
      <c r="T155" s="4"/>
      <c r="U155" s="4"/>
      <c r="V155" s="4"/>
      <c r="W155" s="4"/>
      <c r="X155" s="4"/>
      <c r="Y155" s="4"/>
    </row>
    <row r="156">
      <c r="A156" s="11">
        <v>155.0</v>
      </c>
      <c r="B156" s="11" t="s">
        <v>549</v>
      </c>
      <c r="C156" s="16" t="s">
        <v>550</v>
      </c>
      <c r="D156" s="11">
        <v>2025.0</v>
      </c>
      <c r="E156" s="11" t="s">
        <v>551</v>
      </c>
      <c r="F156" s="11" t="s">
        <v>437</v>
      </c>
      <c r="G156" s="11" t="s">
        <v>49</v>
      </c>
      <c r="H156" s="11" t="s">
        <v>1229</v>
      </c>
      <c r="I156" s="4"/>
      <c r="J156" s="4"/>
      <c r="K156" s="4"/>
      <c r="L156" s="4"/>
      <c r="M156" s="4"/>
      <c r="N156" s="4"/>
      <c r="O156" s="4"/>
      <c r="P156" s="4"/>
      <c r="Q156" s="4"/>
      <c r="R156" s="4"/>
      <c r="S156" s="4"/>
      <c r="T156" s="4"/>
      <c r="U156" s="4"/>
      <c r="V156" s="4"/>
      <c r="W156" s="4"/>
      <c r="X156" s="4"/>
      <c r="Y156" s="4"/>
    </row>
    <row r="157">
      <c r="A157" s="11">
        <v>156.0</v>
      </c>
      <c r="B157" s="11" t="s">
        <v>552</v>
      </c>
      <c r="C157" s="16" t="s">
        <v>553</v>
      </c>
      <c r="D157" s="11">
        <v>2025.0</v>
      </c>
      <c r="E157" s="11" t="s">
        <v>554</v>
      </c>
      <c r="F157" s="11" t="s">
        <v>437</v>
      </c>
      <c r="G157" s="11" t="s">
        <v>49</v>
      </c>
      <c r="H157" s="11" t="s">
        <v>1230</v>
      </c>
      <c r="I157" s="11"/>
      <c r="J157" s="4"/>
      <c r="K157" s="4"/>
      <c r="L157" s="4"/>
      <c r="M157" s="4"/>
      <c r="N157" s="4"/>
      <c r="O157" s="4"/>
      <c r="P157" s="4"/>
      <c r="Q157" s="4"/>
      <c r="R157" s="4"/>
      <c r="S157" s="4"/>
      <c r="T157" s="4"/>
      <c r="U157" s="4"/>
      <c r="V157" s="4"/>
      <c r="W157" s="4"/>
      <c r="X157" s="4"/>
      <c r="Y157" s="4"/>
    </row>
    <row r="158">
      <c r="A158" s="12">
        <v>157.0</v>
      </c>
      <c r="B158" s="11" t="s">
        <v>555</v>
      </c>
      <c r="C158" s="16" t="s">
        <v>556</v>
      </c>
      <c r="D158" s="11">
        <v>2025.0</v>
      </c>
      <c r="E158" s="11" t="s">
        <v>557</v>
      </c>
      <c r="F158" s="11" t="s">
        <v>437</v>
      </c>
      <c r="G158" s="11" t="s">
        <v>49</v>
      </c>
      <c r="H158" s="11" t="s">
        <v>1229</v>
      </c>
      <c r="I158" s="4"/>
      <c r="J158" s="4"/>
      <c r="K158" s="4"/>
      <c r="L158" s="4"/>
      <c r="M158" s="4"/>
      <c r="N158" s="4"/>
      <c r="O158" s="4"/>
      <c r="P158" s="4"/>
      <c r="Q158" s="4"/>
      <c r="R158" s="4"/>
      <c r="S158" s="4"/>
      <c r="T158" s="4"/>
      <c r="U158" s="4"/>
      <c r="V158" s="4"/>
      <c r="W158" s="4"/>
      <c r="X158" s="4"/>
      <c r="Y158" s="4"/>
    </row>
    <row r="159">
      <c r="A159" s="11">
        <v>158.0</v>
      </c>
      <c r="B159" s="11" t="s">
        <v>558</v>
      </c>
      <c r="C159" s="16" t="s">
        <v>559</v>
      </c>
      <c r="D159" s="11">
        <v>2021.0</v>
      </c>
      <c r="E159" s="11" t="s">
        <v>467</v>
      </c>
      <c r="F159" s="11" t="s">
        <v>437</v>
      </c>
      <c r="G159" s="11" t="s">
        <v>49</v>
      </c>
      <c r="H159" s="11" t="s">
        <v>1229</v>
      </c>
      <c r="I159" s="4"/>
      <c r="J159" s="4"/>
      <c r="K159" s="4"/>
      <c r="L159" s="4"/>
      <c r="M159" s="4"/>
      <c r="N159" s="4"/>
      <c r="O159" s="4"/>
      <c r="P159" s="4"/>
      <c r="Q159" s="4"/>
      <c r="R159" s="4"/>
      <c r="S159" s="4"/>
      <c r="T159" s="4"/>
      <c r="U159" s="4"/>
      <c r="V159" s="4"/>
      <c r="W159" s="4"/>
      <c r="X159" s="4"/>
      <c r="Y159" s="4"/>
    </row>
    <row r="160">
      <c r="A160" s="11">
        <v>159.0</v>
      </c>
      <c r="B160" s="11" t="s">
        <v>560</v>
      </c>
      <c r="C160" s="16" t="s">
        <v>561</v>
      </c>
      <c r="D160" s="11">
        <v>2025.0</v>
      </c>
      <c r="E160" s="11" t="s">
        <v>562</v>
      </c>
      <c r="F160" s="11" t="s">
        <v>437</v>
      </c>
      <c r="G160" s="11" t="s">
        <v>49</v>
      </c>
      <c r="H160" s="11" t="s">
        <v>1229</v>
      </c>
      <c r="I160" s="4"/>
      <c r="J160" s="4"/>
      <c r="K160" s="4"/>
      <c r="L160" s="4"/>
      <c r="M160" s="4"/>
      <c r="N160" s="4"/>
      <c r="O160" s="4"/>
      <c r="P160" s="4"/>
      <c r="Q160" s="4"/>
      <c r="R160" s="4"/>
      <c r="S160" s="4"/>
      <c r="T160" s="4"/>
      <c r="U160" s="4"/>
      <c r="V160" s="4"/>
      <c r="W160" s="4"/>
      <c r="X160" s="4"/>
      <c r="Y160" s="4"/>
    </row>
    <row r="161">
      <c r="A161" s="12">
        <v>160.0</v>
      </c>
      <c r="B161" s="11" t="s">
        <v>566</v>
      </c>
      <c r="C161" s="6" t="s">
        <v>567</v>
      </c>
      <c r="D161" s="11">
        <v>2020.0</v>
      </c>
      <c r="E161" s="11" t="s">
        <v>568</v>
      </c>
      <c r="F161" s="11" t="s">
        <v>14</v>
      </c>
      <c r="G161" s="11" t="s">
        <v>39</v>
      </c>
      <c r="H161" s="11" t="s">
        <v>1229</v>
      </c>
      <c r="I161" s="4"/>
      <c r="J161" s="4"/>
      <c r="K161" s="4"/>
      <c r="L161" s="4"/>
      <c r="M161" s="4"/>
      <c r="N161" s="4"/>
      <c r="O161" s="4"/>
      <c r="P161" s="4"/>
      <c r="Q161" s="4"/>
      <c r="R161" s="4"/>
      <c r="S161" s="4"/>
      <c r="T161" s="4"/>
      <c r="U161" s="4"/>
      <c r="V161" s="4"/>
      <c r="W161" s="4"/>
      <c r="X161" s="4"/>
      <c r="Y161" s="4"/>
    </row>
    <row r="162">
      <c r="A162" s="11">
        <v>161.0</v>
      </c>
      <c r="B162" s="11" t="s">
        <v>569</v>
      </c>
      <c r="C162" s="6" t="s">
        <v>570</v>
      </c>
      <c r="D162" s="11">
        <v>2022.0</v>
      </c>
      <c r="E162" s="11" t="s">
        <v>571</v>
      </c>
      <c r="F162" s="11" t="s">
        <v>14</v>
      </c>
      <c r="G162" s="11" t="s">
        <v>39</v>
      </c>
      <c r="H162" s="11" t="s">
        <v>1229</v>
      </c>
      <c r="I162" s="4"/>
      <c r="J162" s="4"/>
      <c r="K162" s="4"/>
      <c r="L162" s="4"/>
      <c r="M162" s="4"/>
      <c r="N162" s="4"/>
      <c r="O162" s="4"/>
      <c r="P162" s="4"/>
      <c r="Q162" s="4"/>
      <c r="R162" s="4"/>
      <c r="S162" s="4"/>
      <c r="T162" s="4"/>
      <c r="U162" s="4"/>
      <c r="V162" s="4"/>
      <c r="W162" s="4"/>
      <c r="X162" s="4"/>
      <c r="Y162" s="4"/>
    </row>
    <row r="163">
      <c r="A163" s="11">
        <v>162.0</v>
      </c>
      <c r="B163" s="11" t="s">
        <v>572</v>
      </c>
      <c r="C163" s="6" t="s">
        <v>573</v>
      </c>
      <c r="D163" s="11">
        <v>2019.0</v>
      </c>
      <c r="E163" s="11" t="s">
        <v>574</v>
      </c>
      <c r="F163" s="11" t="s">
        <v>14</v>
      </c>
      <c r="G163" s="11" t="s">
        <v>49</v>
      </c>
      <c r="H163" s="11" t="s">
        <v>1229</v>
      </c>
      <c r="I163" s="4"/>
      <c r="J163" s="4"/>
      <c r="K163" s="4"/>
      <c r="L163" s="4"/>
      <c r="M163" s="4"/>
      <c r="N163" s="4"/>
      <c r="O163" s="4"/>
      <c r="P163" s="4"/>
      <c r="Q163" s="4"/>
      <c r="R163" s="4"/>
      <c r="S163" s="4"/>
      <c r="T163" s="4"/>
      <c r="U163" s="4"/>
      <c r="V163" s="4"/>
      <c r="W163" s="4"/>
      <c r="X163" s="4"/>
      <c r="Y163" s="4"/>
    </row>
    <row r="164">
      <c r="A164" s="12">
        <v>163.0</v>
      </c>
      <c r="B164" s="11" t="s">
        <v>575</v>
      </c>
      <c r="C164" s="6" t="s">
        <v>576</v>
      </c>
      <c r="D164" s="11">
        <v>2018.0</v>
      </c>
      <c r="E164" s="11" t="s">
        <v>577</v>
      </c>
      <c r="F164" s="11" t="s">
        <v>14</v>
      </c>
      <c r="G164" s="11" t="s">
        <v>39</v>
      </c>
      <c r="H164" s="11" t="s">
        <v>1229</v>
      </c>
      <c r="I164" s="4"/>
      <c r="J164" s="4"/>
      <c r="K164" s="4"/>
      <c r="L164" s="4"/>
      <c r="M164" s="4"/>
      <c r="N164" s="4"/>
      <c r="O164" s="4"/>
      <c r="P164" s="4"/>
      <c r="Q164" s="4"/>
      <c r="R164" s="4"/>
      <c r="S164" s="4"/>
      <c r="T164" s="4"/>
      <c r="U164" s="4"/>
      <c r="V164" s="4"/>
      <c r="W164" s="4"/>
      <c r="X164" s="4"/>
      <c r="Y164" s="4"/>
    </row>
    <row r="165">
      <c r="A165" s="11">
        <v>164.0</v>
      </c>
      <c r="B165" s="11" t="s">
        <v>578</v>
      </c>
      <c r="C165" s="6" t="s">
        <v>579</v>
      </c>
      <c r="D165" s="11">
        <v>2018.0</v>
      </c>
      <c r="E165" s="11" t="s">
        <v>580</v>
      </c>
      <c r="F165" s="11" t="s">
        <v>14</v>
      </c>
      <c r="G165" s="11" t="s">
        <v>49</v>
      </c>
      <c r="H165" s="11" t="s">
        <v>1229</v>
      </c>
      <c r="I165" s="4"/>
      <c r="J165" s="4"/>
      <c r="K165" s="4"/>
      <c r="L165" s="4"/>
      <c r="M165" s="4"/>
      <c r="N165" s="4"/>
      <c r="O165" s="4"/>
      <c r="P165" s="4"/>
      <c r="Q165" s="4"/>
      <c r="R165" s="4"/>
      <c r="S165" s="4"/>
      <c r="T165" s="4"/>
      <c r="U165" s="4"/>
      <c r="V165" s="4"/>
      <c r="W165" s="4"/>
      <c r="X165" s="4"/>
      <c r="Y165" s="4"/>
    </row>
    <row r="166">
      <c r="A166" s="11">
        <v>165.0</v>
      </c>
      <c r="B166" s="11" t="s">
        <v>581</v>
      </c>
      <c r="C166" s="6" t="s">
        <v>582</v>
      </c>
      <c r="D166" s="11">
        <v>2018.0</v>
      </c>
      <c r="E166" s="11" t="s">
        <v>583</v>
      </c>
      <c r="F166" s="11" t="s">
        <v>14</v>
      </c>
      <c r="G166" s="11" t="s">
        <v>39</v>
      </c>
      <c r="H166" s="11" t="s">
        <v>1229</v>
      </c>
      <c r="I166" s="4"/>
      <c r="J166" s="4"/>
      <c r="K166" s="4"/>
      <c r="L166" s="4"/>
      <c r="M166" s="4"/>
      <c r="N166" s="4"/>
      <c r="O166" s="4"/>
      <c r="P166" s="4"/>
      <c r="Q166" s="4"/>
      <c r="R166" s="4"/>
      <c r="S166" s="4"/>
      <c r="T166" s="4"/>
      <c r="U166" s="4"/>
      <c r="V166" s="4"/>
      <c r="W166" s="4"/>
      <c r="X166" s="4"/>
      <c r="Y166" s="4"/>
    </row>
    <row r="167">
      <c r="A167" s="12">
        <v>166.0</v>
      </c>
      <c r="B167" s="11" t="s">
        <v>584</v>
      </c>
      <c r="C167" s="6" t="s">
        <v>585</v>
      </c>
      <c r="D167" s="11">
        <v>2017.0</v>
      </c>
      <c r="E167" s="11" t="s">
        <v>586</v>
      </c>
      <c r="F167" s="11" t="s">
        <v>14</v>
      </c>
      <c r="G167" s="11" t="s">
        <v>39</v>
      </c>
      <c r="H167" s="11" t="s">
        <v>1229</v>
      </c>
      <c r="I167" s="4"/>
      <c r="J167" s="4"/>
      <c r="K167" s="4"/>
      <c r="L167" s="4"/>
      <c r="M167" s="4"/>
      <c r="N167" s="4"/>
      <c r="O167" s="4"/>
      <c r="P167" s="4"/>
      <c r="Q167" s="4"/>
      <c r="R167" s="4"/>
      <c r="S167" s="4"/>
      <c r="T167" s="4"/>
      <c r="U167" s="4"/>
      <c r="V167" s="4"/>
      <c r="W167" s="4"/>
      <c r="X167" s="4"/>
      <c r="Y167" s="4"/>
    </row>
    <row r="168">
      <c r="A168" s="11">
        <v>167.0</v>
      </c>
      <c r="B168" s="11" t="s">
        <v>587</v>
      </c>
      <c r="C168" s="6" t="s">
        <v>588</v>
      </c>
      <c r="D168" s="11">
        <v>2021.0</v>
      </c>
      <c r="E168" s="11" t="s">
        <v>574</v>
      </c>
      <c r="F168" s="11" t="s">
        <v>14</v>
      </c>
      <c r="G168" s="11" t="s">
        <v>49</v>
      </c>
      <c r="H168" s="11" t="s">
        <v>1229</v>
      </c>
      <c r="I168" s="4"/>
      <c r="J168" s="4"/>
      <c r="K168" s="4"/>
      <c r="L168" s="4"/>
      <c r="M168" s="4"/>
      <c r="N168" s="4"/>
      <c r="O168" s="4"/>
      <c r="P168" s="4"/>
      <c r="Q168" s="4"/>
      <c r="R168" s="4"/>
      <c r="S168" s="4"/>
      <c r="T168" s="4"/>
      <c r="U168" s="4"/>
      <c r="V168" s="4"/>
      <c r="W168" s="4"/>
      <c r="X168" s="4"/>
      <c r="Y168" s="4"/>
    </row>
    <row r="169">
      <c r="A169" s="11">
        <v>168.0</v>
      </c>
      <c r="B169" s="11" t="s">
        <v>589</v>
      </c>
      <c r="C169" s="6" t="s">
        <v>590</v>
      </c>
      <c r="D169" s="11">
        <v>2024.0</v>
      </c>
      <c r="E169" s="11" t="s">
        <v>591</v>
      </c>
      <c r="F169" s="11" t="s">
        <v>14</v>
      </c>
      <c r="G169" s="11" t="s">
        <v>39</v>
      </c>
      <c r="H169" s="11" t="s">
        <v>1229</v>
      </c>
      <c r="I169" s="4"/>
      <c r="J169" s="4"/>
      <c r="K169" s="4"/>
      <c r="L169" s="4"/>
      <c r="M169" s="4"/>
      <c r="N169" s="4"/>
      <c r="O169" s="4"/>
      <c r="P169" s="4"/>
      <c r="Q169" s="4"/>
      <c r="R169" s="4"/>
      <c r="S169" s="4"/>
      <c r="T169" s="4"/>
      <c r="U169" s="4"/>
      <c r="V169" s="4"/>
      <c r="W169" s="4"/>
      <c r="X169" s="4"/>
      <c r="Y169" s="4"/>
    </row>
    <row r="170">
      <c r="A170" s="12">
        <v>169.0</v>
      </c>
      <c r="B170" s="11" t="s">
        <v>592</v>
      </c>
      <c r="C170" s="6" t="s">
        <v>593</v>
      </c>
      <c r="D170" s="11">
        <v>2025.0</v>
      </c>
      <c r="E170" s="11" t="s">
        <v>580</v>
      </c>
      <c r="F170" s="11" t="s">
        <v>14</v>
      </c>
      <c r="G170" s="11" t="s">
        <v>49</v>
      </c>
      <c r="H170" s="11" t="s">
        <v>1230</v>
      </c>
      <c r="I170" s="4"/>
      <c r="J170" s="4"/>
      <c r="K170" s="4"/>
      <c r="L170" s="4"/>
      <c r="M170" s="4"/>
      <c r="N170" s="4"/>
      <c r="O170" s="4"/>
      <c r="P170" s="4"/>
      <c r="Q170" s="4"/>
      <c r="R170" s="4"/>
      <c r="S170" s="4"/>
      <c r="T170" s="4"/>
      <c r="U170" s="4"/>
      <c r="V170" s="4"/>
      <c r="W170" s="4"/>
      <c r="X170" s="4"/>
      <c r="Y170" s="4"/>
    </row>
    <row r="171">
      <c r="A171" s="11">
        <v>170.0</v>
      </c>
      <c r="B171" s="11" t="s">
        <v>594</v>
      </c>
      <c r="C171" s="6" t="s">
        <v>595</v>
      </c>
      <c r="D171" s="11">
        <v>2025.0</v>
      </c>
      <c r="E171" s="11" t="s">
        <v>596</v>
      </c>
      <c r="F171" s="11" t="s">
        <v>14</v>
      </c>
      <c r="G171" s="11" t="s">
        <v>49</v>
      </c>
      <c r="H171" s="11" t="s">
        <v>1229</v>
      </c>
      <c r="I171" s="4"/>
      <c r="J171" s="4"/>
      <c r="K171" s="4"/>
      <c r="L171" s="4"/>
      <c r="M171" s="4"/>
      <c r="N171" s="4"/>
      <c r="O171" s="4"/>
      <c r="P171" s="4"/>
      <c r="Q171" s="4"/>
      <c r="R171" s="4"/>
      <c r="S171" s="4"/>
      <c r="T171" s="4"/>
      <c r="U171" s="4"/>
      <c r="V171" s="4"/>
      <c r="W171" s="4"/>
      <c r="X171" s="4"/>
      <c r="Y171" s="4"/>
    </row>
    <row r="172">
      <c r="A172" s="11">
        <v>171.0</v>
      </c>
      <c r="B172" s="11" t="s">
        <v>597</v>
      </c>
      <c r="C172" s="6" t="s">
        <v>598</v>
      </c>
      <c r="D172" s="11">
        <v>2024.0</v>
      </c>
      <c r="E172" s="11" t="s">
        <v>599</v>
      </c>
      <c r="F172" s="11" t="s">
        <v>14</v>
      </c>
      <c r="G172" s="11" t="s">
        <v>39</v>
      </c>
      <c r="H172" s="11" t="s">
        <v>1229</v>
      </c>
      <c r="I172" s="4"/>
      <c r="J172" s="4"/>
      <c r="K172" s="4"/>
      <c r="L172" s="4"/>
      <c r="M172" s="4"/>
      <c r="N172" s="4"/>
      <c r="O172" s="4"/>
      <c r="P172" s="4"/>
      <c r="Q172" s="4"/>
      <c r="R172" s="4"/>
      <c r="S172" s="4"/>
      <c r="T172" s="4"/>
      <c r="U172" s="4"/>
      <c r="V172" s="4"/>
      <c r="W172" s="4"/>
      <c r="X172" s="4"/>
      <c r="Y172" s="4"/>
    </row>
    <row r="173">
      <c r="A173" s="12">
        <v>172.0</v>
      </c>
      <c r="B173" s="11" t="s">
        <v>600</v>
      </c>
      <c r="C173" s="6" t="s">
        <v>601</v>
      </c>
      <c r="D173" s="11">
        <v>2023.0</v>
      </c>
      <c r="E173" s="11" t="s">
        <v>602</v>
      </c>
      <c r="F173" s="11" t="s">
        <v>14</v>
      </c>
      <c r="G173" s="11" t="s">
        <v>39</v>
      </c>
      <c r="H173" s="11" t="s">
        <v>1229</v>
      </c>
      <c r="I173" s="4"/>
      <c r="J173" s="4"/>
      <c r="K173" s="4"/>
      <c r="L173" s="4"/>
      <c r="M173" s="4"/>
      <c r="N173" s="4"/>
      <c r="O173" s="4"/>
      <c r="P173" s="4"/>
      <c r="Q173" s="4"/>
      <c r="R173" s="4"/>
      <c r="S173" s="4"/>
      <c r="T173" s="4"/>
      <c r="U173" s="4"/>
      <c r="V173" s="4"/>
      <c r="W173" s="4"/>
      <c r="X173" s="4"/>
      <c r="Y173" s="4"/>
    </row>
    <row r="174">
      <c r="A174" s="11">
        <v>173.0</v>
      </c>
      <c r="B174" s="11" t="s">
        <v>603</v>
      </c>
      <c r="C174" s="6" t="s">
        <v>604</v>
      </c>
      <c r="D174" s="11">
        <v>2020.0</v>
      </c>
      <c r="E174" s="11" t="s">
        <v>605</v>
      </c>
      <c r="F174" s="11" t="s">
        <v>14</v>
      </c>
      <c r="G174" s="11" t="s">
        <v>39</v>
      </c>
      <c r="H174" s="11" t="s">
        <v>1229</v>
      </c>
      <c r="I174" s="4"/>
      <c r="J174" s="4"/>
      <c r="K174" s="4"/>
      <c r="L174" s="4"/>
      <c r="M174" s="4"/>
      <c r="N174" s="4"/>
      <c r="O174" s="4"/>
      <c r="P174" s="4"/>
      <c r="Q174" s="4"/>
      <c r="R174" s="4"/>
      <c r="S174" s="4"/>
      <c r="T174" s="4"/>
      <c r="U174" s="4"/>
      <c r="V174" s="4"/>
      <c r="W174" s="4"/>
      <c r="X174" s="4"/>
      <c r="Y174" s="4"/>
    </row>
    <row r="175">
      <c r="A175" s="11">
        <v>174.0</v>
      </c>
      <c r="B175" s="11" t="s">
        <v>606</v>
      </c>
      <c r="C175" s="6" t="s">
        <v>607</v>
      </c>
      <c r="D175" s="11">
        <v>2025.0</v>
      </c>
      <c r="E175" s="11" t="s">
        <v>608</v>
      </c>
      <c r="F175" s="11" t="s">
        <v>14</v>
      </c>
      <c r="G175" s="11" t="s">
        <v>39</v>
      </c>
      <c r="H175" s="11" t="s">
        <v>1229</v>
      </c>
      <c r="I175" s="4"/>
      <c r="J175" s="4"/>
      <c r="K175" s="4"/>
      <c r="L175" s="4"/>
      <c r="M175" s="4"/>
      <c r="N175" s="4"/>
      <c r="O175" s="4"/>
      <c r="P175" s="4"/>
      <c r="Q175" s="4"/>
      <c r="R175" s="4"/>
      <c r="S175" s="4"/>
      <c r="T175" s="4"/>
      <c r="U175" s="4"/>
      <c r="V175" s="4"/>
      <c r="W175" s="4"/>
      <c r="X175" s="4"/>
      <c r="Y175" s="4"/>
    </row>
    <row r="176">
      <c r="A176" s="12">
        <v>175.0</v>
      </c>
      <c r="B176" s="11" t="s">
        <v>609</v>
      </c>
      <c r="C176" s="6" t="s">
        <v>610</v>
      </c>
      <c r="D176" s="11">
        <v>2021.0</v>
      </c>
      <c r="E176" s="11" t="s">
        <v>611</v>
      </c>
      <c r="F176" s="11" t="s">
        <v>14</v>
      </c>
      <c r="G176" s="11" t="s">
        <v>39</v>
      </c>
      <c r="H176" s="11" t="s">
        <v>1229</v>
      </c>
      <c r="I176" s="4"/>
      <c r="J176" s="4"/>
      <c r="K176" s="4"/>
      <c r="L176" s="4"/>
      <c r="M176" s="4"/>
      <c r="N176" s="4"/>
      <c r="O176" s="4"/>
      <c r="P176" s="4"/>
      <c r="Q176" s="4"/>
      <c r="R176" s="4"/>
      <c r="S176" s="4"/>
      <c r="T176" s="4"/>
      <c r="U176" s="4"/>
      <c r="V176" s="4"/>
      <c r="W176" s="4"/>
      <c r="X176" s="4"/>
      <c r="Y176" s="4"/>
    </row>
    <row r="177">
      <c r="A177" s="11">
        <v>176.0</v>
      </c>
      <c r="B177" s="11" t="s">
        <v>612</v>
      </c>
      <c r="C177" s="6" t="s">
        <v>613</v>
      </c>
      <c r="D177" s="11">
        <v>2024.0</v>
      </c>
      <c r="E177" s="11" t="s">
        <v>614</v>
      </c>
      <c r="F177" s="11" t="s">
        <v>14</v>
      </c>
      <c r="G177" s="11" t="s">
        <v>39</v>
      </c>
      <c r="H177" s="11" t="s">
        <v>1229</v>
      </c>
      <c r="I177" s="4"/>
      <c r="J177" s="4"/>
      <c r="K177" s="4"/>
      <c r="L177" s="4"/>
      <c r="M177" s="4"/>
      <c r="N177" s="4"/>
      <c r="O177" s="4"/>
      <c r="P177" s="4"/>
      <c r="Q177" s="4"/>
      <c r="R177" s="4"/>
      <c r="S177" s="4"/>
      <c r="T177" s="4"/>
      <c r="U177" s="4"/>
      <c r="V177" s="4"/>
      <c r="W177" s="4"/>
      <c r="X177" s="4"/>
      <c r="Y177" s="4"/>
    </row>
    <row r="178">
      <c r="A178" s="11">
        <v>177.0</v>
      </c>
      <c r="B178" s="11" t="s">
        <v>615</v>
      </c>
      <c r="C178" s="6" t="s">
        <v>616</v>
      </c>
      <c r="D178" s="11">
        <v>2021.0</v>
      </c>
      <c r="E178" s="11" t="s">
        <v>617</v>
      </c>
      <c r="F178" s="11" t="s">
        <v>14</v>
      </c>
      <c r="G178" s="11" t="s">
        <v>39</v>
      </c>
      <c r="H178" s="11" t="s">
        <v>1229</v>
      </c>
      <c r="I178" s="4"/>
      <c r="J178" s="4"/>
      <c r="K178" s="4"/>
      <c r="L178" s="4"/>
      <c r="M178" s="4"/>
      <c r="N178" s="4"/>
      <c r="O178" s="4"/>
      <c r="P178" s="4"/>
      <c r="Q178" s="4"/>
      <c r="R178" s="4"/>
      <c r="S178" s="4"/>
      <c r="T178" s="4"/>
      <c r="U178" s="4"/>
      <c r="V178" s="4"/>
      <c r="W178" s="4"/>
      <c r="X178" s="4"/>
      <c r="Y178" s="4"/>
    </row>
    <row r="179">
      <c r="A179" s="12">
        <v>178.0</v>
      </c>
      <c r="B179" s="11" t="s">
        <v>618</v>
      </c>
      <c r="C179" s="6" t="s">
        <v>619</v>
      </c>
      <c r="D179" s="11">
        <v>2022.0</v>
      </c>
      <c r="E179" s="11" t="s">
        <v>620</v>
      </c>
      <c r="F179" s="11" t="s">
        <v>14</v>
      </c>
      <c r="G179" s="11" t="s">
        <v>39</v>
      </c>
      <c r="H179" s="11" t="s">
        <v>1229</v>
      </c>
      <c r="I179" s="4"/>
      <c r="J179" s="4"/>
      <c r="K179" s="4"/>
      <c r="L179" s="4"/>
      <c r="M179" s="4"/>
      <c r="N179" s="4"/>
      <c r="O179" s="4"/>
      <c r="P179" s="4"/>
      <c r="Q179" s="4"/>
      <c r="R179" s="4"/>
      <c r="S179" s="4"/>
      <c r="T179" s="4"/>
      <c r="U179" s="4"/>
      <c r="V179" s="4"/>
      <c r="W179" s="4"/>
      <c r="X179" s="4"/>
      <c r="Y179" s="4"/>
    </row>
    <row r="180">
      <c r="A180" s="11">
        <v>179.0</v>
      </c>
      <c r="B180" s="11" t="s">
        <v>621</v>
      </c>
      <c r="C180" s="6" t="s">
        <v>622</v>
      </c>
      <c r="D180" s="11">
        <v>2017.0</v>
      </c>
      <c r="E180" s="11" t="s">
        <v>623</v>
      </c>
      <c r="F180" s="11" t="s">
        <v>14</v>
      </c>
      <c r="G180" s="11" t="s">
        <v>39</v>
      </c>
      <c r="H180" s="11" t="s">
        <v>1229</v>
      </c>
      <c r="I180" s="4"/>
      <c r="J180" s="4"/>
      <c r="K180" s="4"/>
      <c r="L180" s="4"/>
      <c r="M180" s="4"/>
      <c r="N180" s="4"/>
      <c r="O180" s="4"/>
      <c r="P180" s="4"/>
      <c r="Q180" s="4"/>
      <c r="R180" s="4"/>
      <c r="S180" s="4"/>
      <c r="T180" s="4"/>
      <c r="U180" s="4"/>
      <c r="V180" s="4"/>
      <c r="W180" s="4"/>
      <c r="X180" s="4"/>
      <c r="Y180" s="4"/>
    </row>
    <row r="181">
      <c r="A181" s="11">
        <v>180.0</v>
      </c>
      <c r="B181" s="11" t="s">
        <v>626</v>
      </c>
      <c r="C181" s="6" t="s">
        <v>627</v>
      </c>
      <c r="D181" s="11">
        <v>2024.0</v>
      </c>
      <c r="E181" s="11" t="s">
        <v>625</v>
      </c>
      <c r="F181" s="11" t="s">
        <v>14</v>
      </c>
      <c r="G181" s="11" t="s">
        <v>49</v>
      </c>
      <c r="H181" s="11" t="s">
        <v>1229</v>
      </c>
      <c r="I181" s="4"/>
      <c r="J181" s="4"/>
      <c r="K181" s="4"/>
      <c r="L181" s="4"/>
      <c r="M181" s="4"/>
      <c r="N181" s="4"/>
      <c r="O181" s="4"/>
      <c r="P181" s="4"/>
      <c r="Q181" s="4"/>
      <c r="R181" s="4"/>
      <c r="S181" s="4"/>
      <c r="T181" s="4"/>
      <c r="U181" s="4"/>
      <c r="V181" s="4"/>
      <c r="W181" s="4"/>
      <c r="X181" s="4"/>
      <c r="Y181" s="4"/>
    </row>
    <row r="182">
      <c r="A182" s="12">
        <v>181.0</v>
      </c>
      <c r="B182" s="11" t="s">
        <v>628</v>
      </c>
      <c r="C182" s="6" t="s">
        <v>629</v>
      </c>
      <c r="D182" s="11">
        <v>2021.0</v>
      </c>
      <c r="E182" s="11" t="s">
        <v>630</v>
      </c>
      <c r="F182" s="11" t="s">
        <v>14</v>
      </c>
      <c r="G182" s="11" t="s">
        <v>39</v>
      </c>
      <c r="H182" s="11" t="s">
        <v>1229</v>
      </c>
      <c r="I182" s="4"/>
      <c r="J182" s="4"/>
      <c r="K182" s="4"/>
      <c r="L182" s="4"/>
      <c r="M182" s="4"/>
      <c r="N182" s="4"/>
      <c r="O182" s="4"/>
      <c r="P182" s="4"/>
      <c r="Q182" s="4"/>
      <c r="R182" s="4"/>
      <c r="S182" s="4"/>
      <c r="T182" s="4"/>
      <c r="U182" s="4"/>
      <c r="V182" s="4"/>
      <c r="W182" s="4"/>
      <c r="X182" s="4"/>
      <c r="Y182" s="4"/>
    </row>
    <row r="183">
      <c r="A183" s="11">
        <v>182.0</v>
      </c>
      <c r="B183" s="11" t="s">
        <v>631</v>
      </c>
      <c r="C183" s="6" t="s">
        <v>632</v>
      </c>
      <c r="D183" s="11">
        <v>2024.0</v>
      </c>
      <c r="E183" s="11" t="s">
        <v>580</v>
      </c>
      <c r="F183" s="11" t="s">
        <v>14</v>
      </c>
      <c r="G183" s="11" t="s">
        <v>49</v>
      </c>
      <c r="H183" s="11" t="s">
        <v>1229</v>
      </c>
      <c r="I183" s="4"/>
      <c r="J183" s="4"/>
      <c r="K183" s="4"/>
      <c r="L183" s="4"/>
      <c r="M183" s="4"/>
      <c r="N183" s="4"/>
      <c r="O183" s="4"/>
      <c r="P183" s="4"/>
      <c r="Q183" s="4"/>
      <c r="R183" s="4"/>
      <c r="S183" s="4"/>
      <c r="T183" s="4"/>
      <c r="U183" s="4"/>
      <c r="V183" s="4"/>
      <c r="W183" s="4"/>
      <c r="X183" s="4"/>
      <c r="Y183" s="4"/>
    </row>
    <row r="184">
      <c r="A184" s="11">
        <v>183.0</v>
      </c>
      <c r="B184" s="11" t="s">
        <v>633</v>
      </c>
      <c r="C184" s="6" t="s">
        <v>634</v>
      </c>
      <c r="D184" s="11">
        <v>2024.0</v>
      </c>
      <c r="E184" s="11" t="s">
        <v>580</v>
      </c>
      <c r="F184" s="11" t="s">
        <v>14</v>
      </c>
      <c r="G184" s="11" t="s">
        <v>49</v>
      </c>
      <c r="H184" s="11" t="s">
        <v>1230</v>
      </c>
      <c r="I184" s="4"/>
      <c r="J184" s="4"/>
      <c r="K184" s="4"/>
      <c r="L184" s="4"/>
      <c r="M184" s="4"/>
      <c r="N184" s="4"/>
      <c r="O184" s="4"/>
      <c r="P184" s="4"/>
      <c r="Q184" s="4"/>
      <c r="R184" s="4"/>
      <c r="S184" s="4"/>
      <c r="T184" s="4"/>
      <c r="U184" s="4"/>
      <c r="V184" s="4"/>
      <c r="W184" s="4"/>
      <c r="X184" s="4"/>
      <c r="Y184" s="4"/>
    </row>
    <row r="185">
      <c r="A185" s="12">
        <v>184.0</v>
      </c>
      <c r="B185" s="11" t="s">
        <v>635</v>
      </c>
      <c r="C185" s="6" t="s">
        <v>636</v>
      </c>
      <c r="D185" s="11">
        <v>2018.0</v>
      </c>
      <c r="E185" s="11" t="s">
        <v>637</v>
      </c>
      <c r="F185" s="11" t="s">
        <v>14</v>
      </c>
      <c r="G185" s="11" t="s">
        <v>39</v>
      </c>
      <c r="H185" s="11" t="s">
        <v>1229</v>
      </c>
      <c r="I185" s="4"/>
      <c r="J185" s="4"/>
      <c r="K185" s="4"/>
      <c r="L185" s="4"/>
      <c r="M185" s="4"/>
      <c r="N185" s="4"/>
      <c r="O185" s="4"/>
      <c r="P185" s="4"/>
      <c r="Q185" s="4"/>
      <c r="R185" s="4"/>
      <c r="S185" s="4"/>
      <c r="T185" s="4"/>
      <c r="U185" s="4"/>
      <c r="V185" s="4"/>
      <c r="W185" s="4"/>
      <c r="X185" s="4"/>
      <c r="Y185" s="4"/>
    </row>
    <row r="186">
      <c r="A186" s="11">
        <v>185.0</v>
      </c>
      <c r="B186" s="11" t="s">
        <v>638</v>
      </c>
      <c r="C186" s="6" t="s">
        <v>639</v>
      </c>
      <c r="D186" s="11">
        <v>2015.0</v>
      </c>
      <c r="E186" s="11" t="s">
        <v>640</v>
      </c>
      <c r="F186" s="11" t="s">
        <v>14</v>
      </c>
      <c r="G186" s="11" t="s">
        <v>39</v>
      </c>
      <c r="H186" s="11" t="s">
        <v>1229</v>
      </c>
      <c r="I186" s="4"/>
      <c r="J186" s="4"/>
      <c r="K186" s="4"/>
      <c r="L186" s="4"/>
      <c r="M186" s="4"/>
      <c r="N186" s="4"/>
      <c r="O186" s="4"/>
      <c r="P186" s="4"/>
      <c r="Q186" s="4"/>
      <c r="R186" s="4"/>
      <c r="S186" s="4"/>
      <c r="T186" s="4"/>
      <c r="U186" s="4"/>
      <c r="V186" s="4"/>
      <c r="W186" s="4"/>
      <c r="X186" s="4"/>
      <c r="Y186" s="4"/>
    </row>
    <row r="187">
      <c r="A187" s="11">
        <v>186.0</v>
      </c>
      <c r="B187" s="11" t="s">
        <v>641</v>
      </c>
      <c r="C187" s="6" t="s">
        <v>642</v>
      </c>
      <c r="D187" s="11">
        <v>2020.0</v>
      </c>
      <c r="E187" s="11" t="s">
        <v>643</v>
      </c>
      <c r="F187" s="11" t="s">
        <v>14</v>
      </c>
      <c r="G187" s="11" t="s">
        <v>39</v>
      </c>
      <c r="H187" s="11" t="s">
        <v>1230</v>
      </c>
      <c r="I187" s="4"/>
      <c r="J187" s="4"/>
      <c r="K187" s="4"/>
      <c r="L187" s="4"/>
      <c r="M187" s="4"/>
      <c r="N187" s="4"/>
      <c r="O187" s="4"/>
      <c r="P187" s="4"/>
      <c r="Q187" s="4"/>
      <c r="R187" s="4"/>
      <c r="S187" s="4"/>
      <c r="T187" s="4"/>
      <c r="U187" s="4"/>
      <c r="V187" s="4"/>
      <c r="W187" s="4"/>
      <c r="X187" s="4"/>
      <c r="Y187" s="4"/>
    </row>
    <row r="188">
      <c r="A188" s="12">
        <v>187.0</v>
      </c>
      <c r="B188" s="11" t="s">
        <v>644</v>
      </c>
      <c r="C188" s="6" t="s">
        <v>645</v>
      </c>
      <c r="D188" s="11">
        <v>2025.0</v>
      </c>
      <c r="E188" s="11" t="s">
        <v>646</v>
      </c>
      <c r="F188" s="11" t="s">
        <v>14</v>
      </c>
      <c r="G188" s="11" t="s">
        <v>39</v>
      </c>
      <c r="H188" s="11" t="s">
        <v>1229</v>
      </c>
      <c r="I188" s="4"/>
      <c r="J188" s="4"/>
      <c r="K188" s="4"/>
      <c r="L188" s="4"/>
      <c r="M188" s="4"/>
      <c r="N188" s="4"/>
      <c r="O188" s="4"/>
      <c r="P188" s="4"/>
      <c r="Q188" s="4"/>
      <c r="R188" s="4"/>
      <c r="S188" s="4"/>
      <c r="T188" s="4"/>
      <c r="U188" s="4"/>
      <c r="V188" s="4"/>
      <c r="W188" s="4"/>
      <c r="X188" s="4"/>
      <c r="Y188" s="4"/>
    </row>
    <row r="189">
      <c r="A189" s="11">
        <v>188.0</v>
      </c>
      <c r="B189" s="11" t="s">
        <v>647</v>
      </c>
      <c r="C189" s="6" t="s">
        <v>648</v>
      </c>
      <c r="D189" s="11">
        <v>2024.0</v>
      </c>
      <c r="E189" s="11" t="s">
        <v>649</v>
      </c>
      <c r="F189" s="11" t="s">
        <v>14</v>
      </c>
      <c r="G189" s="11" t="s">
        <v>49</v>
      </c>
      <c r="H189" s="11" t="s">
        <v>1229</v>
      </c>
      <c r="I189" s="4"/>
      <c r="J189" s="4"/>
      <c r="K189" s="4"/>
      <c r="L189" s="4"/>
      <c r="M189" s="4"/>
      <c r="N189" s="4"/>
      <c r="O189" s="4"/>
      <c r="P189" s="4"/>
      <c r="Q189" s="4"/>
      <c r="R189" s="4"/>
      <c r="S189" s="4"/>
      <c r="T189" s="4"/>
      <c r="U189" s="4"/>
      <c r="V189" s="4"/>
      <c r="W189" s="4"/>
      <c r="X189" s="4"/>
      <c r="Y189" s="4"/>
    </row>
    <row r="190">
      <c r="A190" s="11">
        <v>189.0</v>
      </c>
      <c r="B190" s="11" t="s">
        <v>650</v>
      </c>
      <c r="C190" s="6" t="s">
        <v>651</v>
      </c>
      <c r="D190" s="11">
        <v>2018.0</v>
      </c>
      <c r="E190" s="11" t="s">
        <v>580</v>
      </c>
      <c r="F190" s="11" t="s">
        <v>14</v>
      </c>
      <c r="G190" s="11" t="s">
        <v>49</v>
      </c>
      <c r="H190" s="11" t="s">
        <v>1229</v>
      </c>
      <c r="I190" s="4"/>
      <c r="J190" s="4"/>
      <c r="K190" s="4"/>
      <c r="L190" s="4"/>
      <c r="M190" s="4"/>
      <c r="N190" s="4"/>
      <c r="O190" s="4"/>
      <c r="P190" s="4"/>
      <c r="Q190" s="4"/>
      <c r="R190" s="4"/>
      <c r="S190" s="4"/>
      <c r="T190" s="4"/>
      <c r="U190" s="4"/>
      <c r="V190" s="4"/>
      <c r="W190" s="4"/>
      <c r="X190" s="4"/>
      <c r="Y190" s="4"/>
    </row>
    <row r="191">
      <c r="A191" s="12">
        <v>190.0</v>
      </c>
      <c r="B191" s="11" t="s">
        <v>652</v>
      </c>
      <c r="C191" s="6" t="s">
        <v>653</v>
      </c>
      <c r="D191" s="11">
        <v>2019.0</v>
      </c>
      <c r="E191" s="11" t="s">
        <v>580</v>
      </c>
      <c r="F191" s="11" t="s">
        <v>14</v>
      </c>
      <c r="G191" s="11" t="s">
        <v>49</v>
      </c>
      <c r="H191" s="11" t="s">
        <v>1229</v>
      </c>
      <c r="I191" s="4"/>
      <c r="J191" s="4"/>
      <c r="K191" s="4"/>
      <c r="L191" s="4"/>
      <c r="M191" s="4"/>
      <c r="N191" s="4"/>
      <c r="O191" s="4"/>
      <c r="P191" s="4"/>
      <c r="Q191" s="4"/>
      <c r="R191" s="4"/>
      <c r="S191" s="4"/>
      <c r="T191" s="4"/>
      <c r="U191" s="4"/>
      <c r="V191" s="4"/>
      <c r="W191" s="4"/>
      <c r="X191" s="4"/>
      <c r="Y191" s="4"/>
    </row>
    <row r="192">
      <c r="A192" s="11">
        <v>191.0</v>
      </c>
      <c r="B192" s="11" t="s">
        <v>654</v>
      </c>
      <c r="C192" s="6" t="s">
        <v>655</v>
      </c>
      <c r="D192" s="11">
        <v>2017.0</v>
      </c>
      <c r="E192" s="11" t="s">
        <v>656</v>
      </c>
      <c r="F192" s="11" t="s">
        <v>14</v>
      </c>
      <c r="G192" s="11" t="s">
        <v>39</v>
      </c>
      <c r="H192" s="11" t="s">
        <v>1229</v>
      </c>
      <c r="I192" s="4"/>
      <c r="J192" s="4"/>
      <c r="K192" s="4"/>
      <c r="L192" s="4"/>
      <c r="M192" s="4"/>
      <c r="N192" s="4"/>
      <c r="O192" s="4"/>
      <c r="P192" s="4"/>
      <c r="Q192" s="4"/>
      <c r="R192" s="4"/>
      <c r="S192" s="4"/>
      <c r="T192" s="4"/>
      <c r="U192" s="4"/>
      <c r="V192" s="4"/>
      <c r="W192" s="4"/>
      <c r="X192" s="4"/>
      <c r="Y192" s="4"/>
    </row>
    <row r="193">
      <c r="A193" s="11">
        <v>192.0</v>
      </c>
      <c r="B193" s="11" t="s">
        <v>657</v>
      </c>
      <c r="C193" s="6" t="s">
        <v>658</v>
      </c>
      <c r="D193" s="11">
        <v>2023.0</v>
      </c>
      <c r="E193" s="11" t="s">
        <v>659</v>
      </c>
      <c r="F193" s="11" t="s">
        <v>14</v>
      </c>
      <c r="G193" s="11" t="s">
        <v>39</v>
      </c>
      <c r="H193" s="11" t="s">
        <v>1229</v>
      </c>
      <c r="I193" s="4"/>
      <c r="J193" s="4"/>
      <c r="K193" s="4"/>
      <c r="L193" s="4"/>
      <c r="M193" s="4"/>
      <c r="N193" s="4"/>
      <c r="O193" s="4"/>
      <c r="P193" s="4"/>
      <c r="Q193" s="4"/>
      <c r="R193" s="4"/>
      <c r="S193" s="4"/>
      <c r="T193" s="4"/>
      <c r="U193" s="4"/>
      <c r="V193" s="4"/>
      <c r="W193" s="4"/>
      <c r="X193" s="4"/>
      <c r="Y193" s="4"/>
    </row>
    <row r="194">
      <c r="A194" s="12">
        <v>193.0</v>
      </c>
      <c r="B194" s="11" t="s">
        <v>660</v>
      </c>
      <c r="C194" s="6" t="s">
        <v>661</v>
      </c>
      <c r="D194" s="11">
        <v>2017.0</v>
      </c>
      <c r="E194" s="11" t="s">
        <v>574</v>
      </c>
      <c r="F194" s="11" t="s">
        <v>14</v>
      </c>
      <c r="G194" s="11" t="s">
        <v>49</v>
      </c>
      <c r="H194" s="11" t="s">
        <v>1229</v>
      </c>
      <c r="I194" s="4"/>
      <c r="J194" s="4"/>
      <c r="K194" s="4"/>
      <c r="L194" s="4"/>
      <c r="M194" s="4"/>
      <c r="N194" s="4"/>
      <c r="O194" s="4"/>
      <c r="P194" s="4"/>
      <c r="Q194" s="4"/>
      <c r="R194" s="4"/>
      <c r="S194" s="4"/>
      <c r="T194" s="4"/>
      <c r="U194" s="4"/>
      <c r="V194" s="4"/>
      <c r="W194" s="4"/>
      <c r="X194" s="4"/>
      <c r="Y194" s="4"/>
    </row>
    <row r="195">
      <c r="A195" s="11">
        <v>194.0</v>
      </c>
      <c r="B195" s="11" t="s">
        <v>662</v>
      </c>
      <c r="C195" s="6" t="s">
        <v>663</v>
      </c>
      <c r="D195" s="11">
        <v>2020.0</v>
      </c>
      <c r="E195" s="11" t="s">
        <v>664</v>
      </c>
      <c r="F195" s="11" t="s">
        <v>14</v>
      </c>
      <c r="G195" s="11" t="s">
        <v>49</v>
      </c>
      <c r="H195" s="11" t="s">
        <v>1229</v>
      </c>
      <c r="I195" s="4"/>
      <c r="J195" s="4"/>
      <c r="K195" s="4"/>
      <c r="L195" s="4"/>
      <c r="M195" s="4"/>
      <c r="N195" s="4"/>
      <c r="O195" s="4"/>
      <c r="P195" s="4"/>
      <c r="Q195" s="4"/>
      <c r="R195" s="4"/>
      <c r="S195" s="4"/>
      <c r="T195" s="4"/>
      <c r="U195" s="4"/>
      <c r="V195" s="4"/>
      <c r="W195" s="4"/>
      <c r="X195" s="4"/>
      <c r="Y195" s="4"/>
    </row>
    <row r="196">
      <c r="A196" s="11">
        <v>195.0</v>
      </c>
      <c r="B196" s="11" t="s">
        <v>665</v>
      </c>
      <c r="C196" s="6" t="s">
        <v>666</v>
      </c>
      <c r="D196" s="11">
        <v>2018.0</v>
      </c>
      <c r="E196" s="11" t="s">
        <v>596</v>
      </c>
      <c r="F196" s="11" t="s">
        <v>14</v>
      </c>
      <c r="G196" s="11" t="s">
        <v>49</v>
      </c>
      <c r="H196" s="11" t="s">
        <v>1230</v>
      </c>
      <c r="I196" s="4"/>
      <c r="J196" s="4"/>
      <c r="K196" s="4"/>
      <c r="L196" s="4"/>
      <c r="M196" s="4"/>
      <c r="N196" s="4"/>
      <c r="O196" s="4"/>
      <c r="P196" s="4"/>
      <c r="Q196" s="4"/>
      <c r="R196" s="4"/>
      <c r="S196" s="4"/>
      <c r="T196" s="4"/>
      <c r="U196" s="4"/>
      <c r="V196" s="4"/>
      <c r="W196" s="4"/>
      <c r="X196" s="4"/>
      <c r="Y196" s="4"/>
    </row>
    <row r="197">
      <c r="A197" s="12">
        <v>196.0</v>
      </c>
      <c r="B197" s="11" t="s">
        <v>667</v>
      </c>
      <c r="C197" s="6" t="s">
        <v>668</v>
      </c>
      <c r="D197" s="11">
        <v>2018.0</v>
      </c>
      <c r="E197" s="11" t="s">
        <v>669</v>
      </c>
      <c r="F197" s="11" t="s">
        <v>14</v>
      </c>
      <c r="G197" s="11" t="s">
        <v>39</v>
      </c>
      <c r="H197" s="11" t="s">
        <v>1229</v>
      </c>
      <c r="I197" s="4"/>
      <c r="J197" s="4"/>
      <c r="K197" s="4"/>
      <c r="L197" s="4"/>
      <c r="M197" s="4"/>
      <c r="N197" s="4"/>
      <c r="O197" s="4"/>
      <c r="P197" s="4"/>
      <c r="Q197" s="4"/>
      <c r="R197" s="4"/>
      <c r="S197" s="4"/>
      <c r="T197" s="4"/>
      <c r="U197" s="4"/>
      <c r="V197" s="4"/>
      <c r="W197" s="4"/>
      <c r="X197" s="4"/>
      <c r="Y197" s="4"/>
    </row>
    <row r="198">
      <c r="A198" s="11">
        <v>197.0</v>
      </c>
      <c r="B198" s="11" t="s">
        <v>670</v>
      </c>
      <c r="C198" s="6" t="s">
        <v>671</v>
      </c>
      <c r="D198" s="11">
        <v>2019.0</v>
      </c>
      <c r="E198" s="11" t="s">
        <v>672</v>
      </c>
      <c r="F198" s="11" t="s">
        <v>14</v>
      </c>
      <c r="G198" s="11" t="s">
        <v>39</v>
      </c>
      <c r="H198" s="11" t="s">
        <v>1229</v>
      </c>
      <c r="I198" s="4"/>
      <c r="J198" s="4"/>
      <c r="K198" s="4"/>
      <c r="L198" s="4"/>
      <c r="M198" s="4"/>
      <c r="N198" s="4"/>
      <c r="O198" s="4"/>
      <c r="P198" s="4"/>
      <c r="Q198" s="4"/>
      <c r="R198" s="4"/>
      <c r="S198" s="4"/>
      <c r="T198" s="4"/>
      <c r="U198" s="4"/>
      <c r="V198" s="4"/>
      <c r="W198" s="4"/>
      <c r="X198" s="4"/>
      <c r="Y198" s="4"/>
    </row>
    <row r="199">
      <c r="A199" s="11">
        <v>198.0</v>
      </c>
      <c r="B199" s="11" t="s">
        <v>673</v>
      </c>
      <c r="C199" s="6" t="s">
        <v>674</v>
      </c>
      <c r="D199" s="11">
        <v>2022.0</v>
      </c>
      <c r="E199" s="11" t="s">
        <v>675</v>
      </c>
      <c r="F199" s="11" t="s">
        <v>14</v>
      </c>
      <c r="G199" s="11" t="s">
        <v>39</v>
      </c>
      <c r="H199" s="11" t="s">
        <v>1229</v>
      </c>
      <c r="I199" s="4"/>
      <c r="J199" s="4"/>
      <c r="K199" s="4"/>
      <c r="L199" s="4"/>
      <c r="M199" s="4"/>
      <c r="N199" s="4"/>
      <c r="O199" s="4"/>
      <c r="P199" s="4"/>
      <c r="Q199" s="4"/>
      <c r="R199" s="4"/>
      <c r="S199" s="4"/>
      <c r="T199" s="4"/>
      <c r="U199" s="4"/>
      <c r="V199" s="4"/>
      <c r="W199" s="4"/>
      <c r="X199" s="4"/>
      <c r="Y199" s="4"/>
    </row>
    <row r="200">
      <c r="A200" s="12">
        <v>199.0</v>
      </c>
      <c r="B200" s="11" t="s">
        <v>676</v>
      </c>
      <c r="C200" s="6" t="s">
        <v>677</v>
      </c>
      <c r="D200" s="11">
        <v>2025.0</v>
      </c>
      <c r="E200" s="11" t="s">
        <v>678</v>
      </c>
      <c r="F200" s="11" t="s">
        <v>14</v>
      </c>
      <c r="G200" s="11" t="s">
        <v>39</v>
      </c>
      <c r="H200" s="11" t="s">
        <v>1229</v>
      </c>
      <c r="I200" s="4"/>
      <c r="J200" s="4"/>
      <c r="K200" s="4"/>
      <c r="L200" s="4"/>
      <c r="M200" s="4"/>
      <c r="N200" s="4"/>
      <c r="O200" s="4"/>
      <c r="P200" s="4"/>
      <c r="Q200" s="4"/>
      <c r="R200" s="4"/>
      <c r="S200" s="4"/>
      <c r="T200" s="4"/>
      <c r="U200" s="4"/>
      <c r="V200" s="4"/>
      <c r="W200" s="4"/>
      <c r="X200" s="4"/>
      <c r="Y200" s="4"/>
    </row>
    <row r="201">
      <c r="A201" s="11">
        <v>200.0</v>
      </c>
      <c r="B201" s="11" t="s">
        <v>679</v>
      </c>
      <c r="C201" s="6" t="s">
        <v>680</v>
      </c>
      <c r="D201" s="11">
        <v>2018.0</v>
      </c>
      <c r="E201" s="11" t="s">
        <v>580</v>
      </c>
      <c r="F201" s="11" t="s">
        <v>14</v>
      </c>
      <c r="G201" s="11" t="s">
        <v>49</v>
      </c>
      <c r="H201" s="11" t="s">
        <v>1230</v>
      </c>
      <c r="I201" s="4"/>
      <c r="J201" s="4"/>
      <c r="K201" s="4"/>
      <c r="L201" s="4"/>
      <c r="M201" s="4"/>
      <c r="N201" s="4"/>
      <c r="O201" s="4"/>
      <c r="P201" s="4"/>
      <c r="Q201" s="4"/>
      <c r="R201" s="4"/>
      <c r="S201" s="4"/>
      <c r="T201" s="4"/>
      <c r="U201" s="4"/>
      <c r="V201" s="4"/>
      <c r="W201" s="4"/>
      <c r="X201" s="4"/>
      <c r="Y201" s="4"/>
    </row>
    <row r="202">
      <c r="A202" s="11">
        <v>201.0</v>
      </c>
      <c r="B202" s="11" t="s">
        <v>681</v>
      </c>
      <c r="C202" s="6" t="s">
        <v>682</v>
      </c>
      <c r="D202" s="11">
        <v>2015.0</v>
      </c>
      <c r="E202" s="11" t="s">
        <v>683</v>
      </c>
      <c r="F202" s="11" t="s">
        <v>14</v>
      </c>
      <c r="G202" s="11" t="s">
        <v>39</v>
      </c>
      <c r="H202" s="11" t="s">
        <v>1229</v>
      </c>
      <c r="I202" s="4"/>
      <c r="J202" s="4"/>
      <c r="K202" s="4"/>
      <c r="L202" s="4"/>
      <c r="M202" s="4"/>
      <c r="N202" s="4"/>
      <c r="O202" s="4"/>
      <c r="P202" s="4"/>
      <c r="Q202" s="4"/>
      <c r="R202" s="4"/>
      <c r="S202" s="4"/>
      <c r="T202" s="4"/>
      <c r="U202" s="4"/>
      <c r="V202" s="4"/>
      <c r="W202" s="4"/>
      <c r="X202" s="4"/>
      <c r="Y202" s="4"/>
    </row>
    <row r="203">
      <c r="A203" s="12">
        <v>202.0</v>
      </c>
      <c r="B203" s="11" t="s">
        <v>684</v>
      </c>
      <c r="C203" s="6" t="s">
        <v>685</v>
      </c>
      <c r="D203" s="11">
        <v>2024.0</v>
      </c>
      <c r="E203" s="11" t="s">
        <v>580</v>
      </c>
      <c r="F203" s="11" t="s">
        <v>14</v>
      </c>
      <c r="G203" s="11" t="s">
        <v>49</v>
      </c>
      <c r="H203" s="11" t="s">
        <v>1229</v>
      </c>
      <c r="I203" s="4"/>
      <c r="J203" s="4"/>
      <c r="K203" s="4"/>
      <c r="L203" s="4"/>
      <c r="M203" s="4"/>
      <c r="N203" s="4"/>
      <c r="O203" s="4"/>
      <c r="P203" s="4"/>
      <c r="Q203" s="4"/>
      <c r="R203" s="4"/>
      <c r="S203" s="4"/>
      <c r="T203" s="4"/>
      <c r="U203" s="4"/>
      <c r="V203" s="4"/>
      <c r="W203" s="4"/>
      <c r="X203" s="4"/>
      <c r="Y203" s="4"/>
    </row>
    <row r="204">
      <c r="A204" s="11">
        <v>203.0</v>
      </c>
      <c r="B204" s="11" t="s">
        <v>686</v>
      </c>
      <c r="C204" s="6" t="s">
        <v>687</v>
      </c>
      <c r="D204" s="11">
        <v>2020.0</v>
      </c>
      <c r="E204" s="11" t="s">
        <v>688</v>
      </c>
      <c r="F204" s="11" t="s">
        <v>14</v>
      </c>
      <c r="G204" s="11" t="s">
        <v>39</v>
      </c>
      <c r="H204" s="11" t="s">
        <v>1229</v>
      </c>
      <c r="I204" s="4"/>
      <c r="J204" s="4"/>
      <c r="K204" s="4"/>
      <c r="L204" s="4"/>
      <c r="M204" s="4"/>
      <c r="N204" s="4"/>
      <c r="O204" s="4"/>
      <c r="P204" s="4"/>
      <c r="Q204" s="4"/>
      <c r="R204" s="4"/>
      <c r="S204" s="4"/>
      <c r="T204" s="4"/>
      <c r="U204" s="4"/>
      <c r="V204" s="4"/>
      <c r="W204" s="4"/>
      <c r="X204" s="4"/>
      <c r="Y204" s="4"/>
    </row>
    <row r="205">
      <c r="A205" s="11">
        <v>204.0</v>
      </c>
      <c r="B205" s="11" t="s">
        <v>689</v>
      </c>
      <c r="C205" s="6" t="s">
        <v>690</v>
      </c>
      <c r="D205" s="11">
        <v>2021.0</v>
      </c>
      <c r="E205" s="11" t="s">
        <v>691</v>
      </c>
      <c r="F205" s="11" t="s">
        <v>14</v>
      </c>
      <c r="G205" s="11" t="s">
        <v>39</v>
      </c>
      <c r="H205" s="11" t="s">
        <v>1229</v>
      </c>
      <c r="I205" s="4"/>
      <c r="J205" s="4"/>
      <c r="K205" s="4"/>
      <c r="L205" s="4"/>
      <c r="M205" s="4"/>
      <c r="N205" s="4"/>
      <c r="O205" s="4"/>
      <c r="P205" s="4"/>
      <c r="Q205" s="4"/>
      <c r="R205" s="4"/>
      <c r="S205" s="4"/>
      <c r="T205" s="4"/>
      <c r="U205" s="4"/>
      <c r="V205" s="4"/>
      <c r="W205" s="4"/>
      <c r="X205" s="4"/>
      <c r="Y205" s="4"/>
    </row>
    <row r="206">
      <c r="A206" s="12">
        <v>205.0</v>
      </c>
      <c r="B206" s="11" t="s">
        <v>695</v>
      </c>
      <c r="C206" s="6" t="s">
        <v>696</v>
      </c>
      <c r="D206" s="11">
        <v>2021.0</v>
      </c>
      <c r="E206" s="11" t="s">
        <v>574</v>
      </c>
      <c r="F206" s="11" t="s">
        <v>14</v>
      </c>
      <c r="G206" s="11" t="s">
        <v>49</v>
      </c>
      <c r="H206" s="11" t="s">
        <v>1229</v>
      </c>
      <c r="I206" s="4"/>
      <c r="J206" s="4"/>
      <c r="K206" s="4"/>
      <c r="L206" s="4"/>
      <c r="M206" s="4"/>
      <c r="N206" s="4"/>
      <c r="O206" s="4"/>
      <c r="P206" s="4"/>
      <c r="Q206" s="4"/>
      <c r="R206" s="4"/>
      <c r="S206" s="4"/>
      <c r="T206" s="4"/>
      <c r="U206" s="4"/>
      <c r="V206" s="4"/>
      <c r="W206" s="4"/>
      <c r="X206" s="4"/>
      <c r="Y206" s="4"/>
    </row>
    <row r="207">
      <c r="A207" s="11">
        <v>206.0</v>
      </c>
      <c r="B207" s="11" t="s">
        <v>697</v>
      </c>
      <c r="C207" s="6" t="s">
        <v>698</v>
      </c>
      <c r="D207" s="11">
        <v>2015.0</v>
      </c>
      <c r="E207" s="11" t="s">
        <v>699</v>
      </c>
      <c r="F207" s="11" t="s">
        <v>14</v>
      </c>
      <c r="G207" s="11" t="s">
        <v>39</v>
      </c>
      <c r="H207" s="11" t="s">
        <v>1229</v>
      </c>
      <c r="I207" s="4"/>
      <c r="J207" s="4"/>
      <c r="K207" s="4"/>
      <c r="L207" s="4"/>
      <c r="M207" s="4"/>
      <c r="N207" s="4"/>
      <c r="O207" s="4"/>
      <c r="P207" s="4"/>
      <c r="Q207" s="4"/>
      <c r="R207" s="4"/>
      <c r="S207" s="4"/>
      <c r="T207" s="4"/>
      <c r="U207" s="4"/>
      <c r="V207" s="4"/>
      <c r="W207" s="4"/>
      <c r="X207" s="4"/>
      <c r="Y207" s="4"/>
    </row>
    <row r="208">
      <c r="A208" s="11">
        <v>207.0</v>
      </c>
      <c r="B208" s="11" t="s">
        <v>700</v>
      </c>
      <c r="C208" s="6" t="s">
        <v>701</v>
      </c>
      <c r="D208" s="11">
        <v>2025.0</v>
      </c>
      <c r="E208" s="11" t="s">
        <v>574</v>
      </c>
      <c r="F208" s="11" t="s">
        <v>14</v>
      </c>
      <c r="G208" s="11" t="s">
        <v>49</v>
      </c>
      <c r="H208" s="11" t="s">
        <v>1229</v>
      </c>
      <c r="I208" s="4"/>
      <c r="J208" s="4"/>
      <c r="K208" s="4"/>
      <c r="L208" s="4"/>
      <c r="M208" s="4"/>
      <c r="N208" s="4"/>
      <c r="O208" s="4"/>
      <c r="P208" s="4"/>
      <c r="Q208" s="4"/>
      <c r="R208" s="4"/>
      <c r="S208" s="4"/>
      <c r="T208" s="4"/>
      <c r="U208" s="4"/>
      <c r="V208" s="4"/>
      <c r="W208" s="4"/>
      <c r="X208" s="4"/>
      <c r="Y208" s="4"/>
    </row>
    <row r="209">
      <c r="A209" s="12">
        <v>208.0</v>
      </c>
      <c r="B209" s="11" t="s">
        <v>702</v>
      </c>
      <c r="C209" s="6" t="s">
        <v>703</v>
      </c>
      <c r="D209" s="11">
        <v>2025.0</v>
      </c>
      <c r="E209" s="11" t="s">
        <v>574</v>
      </c>
      <c r="F209" s="11" t="s">
        <v>14</v>
      </c>
      <c r="G209" s="11" t="s">
        <v>49</v>
      </c>
      <c r="H209" s="11" t="s">
        <v>1229</v>
      </c>
      <c r="I209" s="4"/>
      <c r="J209" s="4"/>
      <c r="K209" s="4"/>
      <c r="L209" s="4"/>
      <c r="M209" s="4"/>
      <c r="N209" s="4"/>
      <c r="O209" s="4"/>
      <c r="P209" s="4"/>
      <c r="Q209" s="4"/>
      <c r="R209" s="4"/>
      <c r="S209" s="4"/>
      <c r="T209" s="4"/>
      <c r="U209" s="4"/>
      <c r="V209" s="4"/>
      <c r="W209" s="4"/>
      <c r="X209" s="4"/>
      <c r="Y209" s="4"/>
    </row>
    <row r="210">
      <c r="A210" s="11">
        <v>209.0</v>
      </c>
      <c r="B210" s="11" t="s">
        <v>704</v>
      </c>
      <c r="C210" s="6" t="s">
        <v>705</v>
      </c>
      <c r="D210" s="11">
        <v>2019.0</v>
      </c>
      <c r="E210" s="11" t="s">
        <v>706</v>
      </c>
      <c r="F210" s="11" t="s">
        <v>14</v>
      </c>
      <c r="G210" s="11" t="s">
        <v>39</v>
      </c>
      <c r="H210" s="11" t="s">
        <v>1229</v>
      </c>
      <c r="I210" s="4"/>
      <c r="J210" s="4"/>
      <c r="K210" s="4"/>
      <c r="L210" s="4"/>
      <c r="M210" s="4"/>
      <c r="N210" s="4"/>
      <c r="O210" s="4"/>
      <c r="P210" s="4"/>
      <c r="Q210" s="4"/>
      <c r="R210" s="4"/>
      <c r="S210" s="4"/>
      <c r="T210" s="4"/>
      <c r="U210" s="4"/>
      <c r="V210" s="4"/>
      <c r="W210" s="4"/>
      <c r="X210" s="4"/>
      <c r="Y210" s="4"/>
    </row>
    <row r="211">
      <c r="A211" s="11">
        <v>210.0</v>
      </c>
      <c r="B211" s="11" t="s">
        <v>707</v>
      </c>
      <c r="C211" s="6" t="s">
        <v>708</v>
      </c>
      <c r="D211" s="11">
        <v>2021.0</v>
      </c>
      <c r="E211" s="11" t="s">
        <v>706</v>
      </c>
      <c r="F211" s="11" t="s">
        <v>14</v>
      </c>
      <c r="G211" s="11" t="s">
        <v>39</v>
      </c>
      <c r="H211" s="11" t="s">
        <v>1229</v>
      </c>
      <c r="I211" s="4"/>
      <c r="J211" s="4"/>
      <c r="K211" s="4"/>
      <c r="L211" s="4"/>
      <c r="M211" s="4"/>
      <c r="N211" s="4"/>
      <c r="O211" s="4"/>
      <c r="P211" s="4"/>
      <c r="Q211" s="4"/>
      <c r="R211" s="4"/>
      <c r="S211" s="4"/>
      <c r="T211" s="4"/>
      <c r="U211" s="4"/>
      <c r="V211" s="4"/>
      <c r="W211" s="4"/>
      <c r="X211" s="4"/>
      <c r="Y211" s="4"/>
    </row>
    <row r="212">
      <c r="A212" s="12">
        <v>211.0</v>
      </c>
      <c r="B212" s="11" t="s">
        <v>709</v>
      </c>
      <c r="C212" s="6" t="s">
        <v>710</v>
      </c>
      <c r="D212" s="11">
        <v>2025.0</v>
      </c>
      <c r="E212" s="11" t="s">
        <v>574</v>
      </c>
      <c r="F212" s="11" t="s">
        <v>14</v>
      </c>
      <c r="G212" s="11" t="s">
        <v>49</v>
      </c>
      <c r="H212" s="11" t="s">
        <v>1229</v>
      </c>
      <c r="I212" s="4"/>
      <c r="J212" s="4"/>
      <c r="K212" s="4"/>
      <c r="L212" s="4"/>
      <c r="M212" s="4"/>
      <c r="N212" s="4"/>
      <c r="O212" s="4"/>
      <c r="P212" s="4"/>
      <c r="Q212" s="4"/>
      <c r="R212" s="4"/>
      <c r="S212" s="4"/>
      <c r="T212" s="4"/>
      <c r="U212" s="4"/>
      <c r="V212" s="4"/>
      <c r="W212" s="4"/>
      <c r="X212" s="4"/>
      <c r="Y212" s="4"/>
    </row>
    <row r="213">
      <c r="A213" s="11">
        <v>212.0</v>
      </c>
      <c r="B213" s="11" t="s">
        <v>711</v>
      </c>
      <c r="C213" s="6" t="s">
        <v>712</v>
      </c>
      <c r="D213" s="11">
        <v>2021.0</v>
      </c>
      <c r="E213" s="11" t="s">
        <v>713</v>
      </c>
      <c r="F213" s="11" t="s">
        <v>14</v>
      </c>
      <c r="G213" s="11" t="s">
        <v>39</v>
      </c>
      <c r="H213" s="11" t="s">
        <v>1229</v>
      </c>
      <c r="I213" s="4"/>
      <c r="J213" s="4"/>
      <c r="K213" s="4"/>
      <c r="L213" s="4"/>
      <c r="M213" s="4"/>
      <c r="N213" s="4"/>
      <c r="O213" s="4"/>
      <c r="P213" s="4"/>
      <c r="Q213" s="4"/>
      <c r="R213" s="4"/>
      <c r="S213" s="4"/>
      <c r="T213" s="4"/>
      <c r="U213" s="4"/>
      <c r="V213" s="4"/>
      <c r="W213" s="4"/>
      <c r="X213" s="4"/>
      <c r="Y213" s="4"/>
    </row>
    <row r="214">
      <c r="A214" s="11">
        <v>213.0</v>
      </c>
      <c r="B214" s="11" t="s">
        <v>714</v>
      </c>
      <c r="C214" s="6" t="s">
        <v>715</v>
      </c>
      <c r="D214" s="11">
        <v>2022.0</v>
      </c>
      <c r="E214" s="11" t="s">
        <v>716</v>
      </c>
      <c r="F214" s="11" t="s">
        <v>14</v>
      </c>
      <c r="G214" s="11" t="s">
        <v>39</v>
      </c>
      <c r="H214" s="11" t="s">
        <v>1230</v>
      </c>
      <c r="I214" s="4"/>
      <c r="J214" s="4"/>
      <c r="K214" s="4"/>
      <c r="L214" s="4"/>
      <c r="M214" s="4"/>
      <c r="N214" s="4"/>
      <c r="O214" s="4"/>
      <c r="P214" s="4"/>
      <c r="Q214" s="4"/>
      <c r="R214" s="4"/>
      <c r="S214" s="4"/>
      <c r="T214" s="4"/>
      <c r="U214" s="4"/>
      <c r="V214" s="4"/>
      <c r="W214" s="4"/>
      <c r="X214" s="4"/>
      <c r="Y214" s="4"/>
    </row>
    <row r="215">
      <c r="A215" s="12">
        <v>214.0</v>
      </c>
      <c r="B215" s="11" t="s">
        <v>717</v>
      </c>
      <c r="C215" s="6" t="s">
        <v>718</v>
      </c>
      <c r="D215" s="11">
        <v>2018.0</v>
      </c>
      <c r="E215" s="11" t="s">
        <v>719</v>
      </c>
      <c r="F215" s="11" t="s">
        <v>14</v>
      </c>
      <c r="G215" s="11" t="s">
        <v>39</v>
      </c>
      <c r="H215" s="11" t="s">
        <v>1229</v>
      </c>
      <c r="I215" s="4"/>
      <c r="J215" s="4"/>
      <c r="K215" s="4"/>
      <c r="L215" s="4"/>
      <c r="M215" s="4"/>
      <c r="N215" s="4"/>
      <c r="O215" s="4"/>
      <c r="P215" s="4"/>
      <c r="Q215" s="4"/>
      <c r="R215" s="4"/>
      <c r="S215" s="4"/>
      <c r="T215" s="4"/>
      <c r="U215" s="4"/>
      <c r="V215" s="4"/>
      <c r="W215" s="4"/>
      <c r="X215" s="4"/>
      <c r="Y215" s="4"/>
    </row>
    <row r="216">
      <c r="A216" s="11">
        <v>215.0</v>
      </c>
      <c r="B216" s="11" t="s">
        <v>720</v>
      </c>
      <c r="C216" s="6" t="s">
        <v>721</v>
      </c>
      <c r="D216" s="11">
        <v>2024.0</v>
      </c>
      <c r="E216" s="11" t="s">
        <v>580</v>
      </c>
      <c r="F216" s="11" t="s">
        <v>14</v>
      </c>
      <c r="G216" s="11" t="s">
        <v>49</v>
      </c>
      <c r="H216" s="11" t="s">
        <v>1229</v>
      </c>
      <c r="I216" s="4"/>
      <c r="J216" s="4"/>
      <c r="K216" s="4"/>
      <c r="L216" s="4"/>
      <c r="M216" s="4"/>
      <c r="N216" s="4"/>
      <c r="O216" s="4"/>
      <c r="P216" s="4"/>
      <c r="Q216" s="4"/>
      <c r="R216" s="4"/>
      <c r="S216" s="4"/>
      <c r="T216" s="4"/>
      <c r="U216" s="4"/>
      <c r="V216" s="4"/>
      <c r="W216" s="4"/>
      <c r="X216" s="4"/>
      <c r="Y216" s="4"/>
    </row>
    <row r="217">
      <c r="A217" s="11">
        <v>216.0</v>
      </c>
      <c r="B217" s="11" t="s">
        <v>722</v>
      </c>
      <c r="C217" s="6" t="s">
        <v>723</v>
      </c>
      <c r="D217" s="11">
        <v>2025.0</v>
      </c>
      <c r="E217" s="11" t="s">
        <v>574</v>
      </c>
      <c r="F217" s="11" t="s">
        <v>14</v>
      </c>
      <c r="G217" s="11" t="s">
        <v>49</v>
      </c>
      <c r="H217" s="11" t="s">
        <v>1230</v>
      </c>
      <c r="I217" s="4"/>
      <c r="J217" s="4"/>
      <c r="K217" s="4"/>
      <c r="L217" s="4"/>
      <c r="M217" s="4"/>
      <c r="N217" s="4"/>
      <c r="O217" s="4"/>
      <c r="P217" s="4"/>
      <c r="Q217" s="4"/>
      <c r="R217" s="4"/>
      <c r="S217" s="4"/>
      <c r="T217" s="4"/>
      <c r="U217" s="4"/>
      <c r="V217" s="4"/>
      <c r="W217" s="4"/>
      <c r="X217" s="4"/>
      <c r="Y217" s="4"/>
    </row>
    <row r="218">
      <c r="A218" s="12">
        <v>217.0</v>
      </c>
      <c r="B218" s="11" t="s">
        <v>724</v>
      </c>
      <c r="C218" s="6" t="s">
        <v>725</v>
      </c>
      <c r="D218" s="11">
        <v>2024.0</v>
      </c>
      <c r="E218" s="11" t="s">
        <v>726</v>
      </c>
      <c r="F218" s="11" t="s">
        <v>14</v>
      </c>
      <c r="G218" s="11" t="s">
        <v>39</v>
      </c>
      <c r="H218" s="11" t="s">
        <v>1229</v>
      </c>
      <c r="I218" s="4"/>
      <c r="J218" s="4"/>
      <c r="K218" s="4"/>
      <c r="L218" s="4"/>
      <c r="M218" s="4"/>
      <c r="N218" s="4"/>
      <c r="O218" s="4"/>
      <c r="P218" s="4"/>
      <c r="Q218" s="4"/>
      <c r="R218" s="4"/>
      <c r="S218" s="4"/>
      <c r="T218" s="4"/>
      <c r="U218" s="4"/>
      <c r="V218" s="4"/>
      <c r="W218" s="4"/>
      <c r="X218" s="4"/>
      <c r="Y218" s="4"/>
    </row>
    <row r="219">
      <c r="A219" s="11">
        <v>218.0</v>
      </c>
      <c r="B219" s="11" t="s">
        <v>727</v>
      </c>
      <c r="C219" s="6" t="s">
        <v>728</v>
      </c>
      <c r="D219" s="11">
        <v>2019.0</v>
      </c>
      <c r="E219" s="11" t="s">
        <v>580</v>
      </c>
      <c r="F219" s="11" t="s">
        <v>14</v>
      </c>
      <c r="G219" s="11" t="s">
        <v>49</v>
      </c>
      <c r="H219" s="11" t="s">
        <v>1229</v>
      </c>
      <c r="I219" s="4"/>
      <c r="J219" s="4"/>
      <c r="K219" s="4"/>
      <c r="L219" s="4"/>
      <c r="M219" s="4"/>
      <c r="N219" s="4"/>
      <c r="O219" s="4"/>
      <c r="P219" s="4"/>
      <c r="Q219" s="4"/>
      <c r="R219" s="4"/>
      <c r="S219" s="4"/>
      <c r="T219" s="4"/>
      <c r="U219" s="4"/>
      <c r="V219" s="4"/>
      <c r="W219" s="4"/>
      <c r="X219" s="4"/>
      <c r="Y219" s="4"/>
    </row>
    <row r="220">
      <c r="A220" s="11">
        <v>219.0</v>
      </c>
      <c r="B220" s="11" t="s">
        <v>729</v>
      </c>
      <c r="C220" s="6" t="s">
        <v>730</v>
      </c>
      <c r="D220" s="11">
        <v>2021.0</v>
      </c>
      <c r="E220" s="11" t="s">
        <v>574</v>
      </c>
      <c r="F220" s="11" t="s">
        <v>14</v>
      </c>
      <c r="G220" s="11" t="s">
        <v>49</v>
      </c>
      <c r="H220" s="11" t="s">
        <v>1229</v>
      </c>
      <c r="I220" s="4"/>
      <c r="J220" s="4"/>
      <c r="K220" s="4"/>
      <c r="L220" s="4"/>
      <c r="M220" s="4"/>
      <c r="N220" s="4"/>
      <c r="O220" s="4"/>
      <c r="P220" s="4"/>
      <c r="Q220" s="4"/>
      <c r="R220" s="4"/>
      <c r="S220" s="4"/>
      <c r="T220" s="4"/>
      <c r="U220" s="4"/>
      <c r="V220" s="4"/>
      <c r="W220" s="4"/>
      <c r="X220" s="4"/>
      <c r="Y220" s="4"/>
    </row>
    <row r="221">
      <c r="A221" s="12">
        <v>220.0</v>
      </c>
      <c r="B221" s="11" t="s">
        <v>731</v>
      </c>
      <c r="C221" s="6" t="s">
        <v>732</v>
      </c>
      <c r="D221" s="11">
        <v>2020.0</v>
      </c>
      <c r="E221" s="11" t="s">
        <v>574</v>
      </c>
      <c r="F221" s="11" t="s">
        <v>14</v>
      </c>
      <c r="G221" s="11" t="s">
        <v>49</v>
      </c>
      <c r="H221" s="11" t="s">
        <v>1229</v>
      </c>
      <c r="I221" s="4"/>
      <c r="J221" s="4"/>
      <c r="K221" s="4"/>
      <c r="L221" s="4"/>
      <c r="M221" s="4"/>
      <c r="N221" s="4"/>
      <c r="O221" s="4"/>
      <c r="P221" s="4"/>
      <c r="Q221" s="4"/>
      <c r="R221" s="4"/>
      <c r="S221" s="4"/>
      <c r="T221" s="4"/>
      <c r="U221" s="4"/>
      <c r="V221" s="4"/>
      <c r="W221" s="4"/>
      <c r="X221" s="4"/>
      <c r="Y221" s="4"/>
    </row>
    <row r="222">
      <c r="A222" s="11">
        <v>221.0</v>
      </c>
      <c r="B222" s="11" t="s">
        <v>738</v>
      </c>
      <c r="C222" s="6" t="s">
        <v>739</v>
      </c>
      <c r="D222" s="11">
        <v>2022.0</v>
      </c>
      <c r="E222" s="11" t="s">
        <v>740</v>
      </c>
      <c r="F222" s="11" t="s">
        <v>14</v>
      </c>
      <c r="G222" s="11" t="s">
        <v>39</v>
      </c>
      <c r="H222" s="11" t="s">
        <v>1229</v>
      </c>
      <c r="I222" s="4"/>
      <c r="J222" s="4"/>
      <c r="K222" s="4"/>
      <c r="L222" s="4"/>
      <c r="M222" s="4"/>
      <c r="N222" s="4"/>
      <c r="O222" s="4"/>
      <c r="P222" s="4"/>
      <c r="Q222" s="4"/>
      <c r="R222" s="4"/>
      <c r="S222" s="4"/>
      <c r="T222" s="4"/>
      <c r="U222" s="4"/>
      <c r="V222" s="4"/>
      <c r="W222" s="4"/>
      <c r="X222" s="4"/>
      <c r="Y222" s="4"/>
    </row>
    <row r="223">
      <c r="A223" s="11">
        <v>222.0</v>
      </c>
      <c r="B223" s="11" t="s">
        <v>741</v>
      </c>
      <c r="C223" s="6" t="s">
        <v>742</v>
      </c>
      <c r="D223" s="11">
        <v>2024.0</v>
      </c>
      <c r="E223" s="11" t="s">
        <v>743</v>
      </c>
      <c r="F223" s="11" t="s">
        <v>14</v>
      </c>
      <c r="G223" s="11" t="s">
        <v>39</v>
      </c>
      <c r="H223" s="11" t="s">
        <v>1229</v>
      </c>
      <c r="I223" s="4"/>
      <c r="J223" s="4"/>
      <c r="K223" s="4"/>
      <c r="L223" s="4"/>
      <c r="M223" s="4"/>
      <c r="N223" s="4"/>
      <c r="O223" s="4"/>
      <c r="P223" s="4"/>
      <c r="Q223" s="4"/>
      <c r="R223" s="4"/>
      <c r="S223" s="4"/>
      <c r="T223" s="4"/>
      <c r="U223" s="4"/>
      <c r="V223" s="4"/>
      <c r="W223" s="4"/>
      <c r="X223" s="4"/>
      <c r="Y223" s="4"/>
    </row>
    <row r="224">
      <c r="A224" s="12">
        <v>223.0</v>
      </c>
      <c r="B224" s="11" t="s">
        <v>746</v>
      </c>
      <c r="C224" s="6" t="s">
        <v>747</v>
      </c>
      <c r="D224" s="11">
        <v>2023.0</v>
      </c>
      <c r="E224" s="11" t="s">
        <v>748</v>
      </c>
      <c r="F224" s="11" t="s">
        <v>14</v>
      </c>
      <c r="G224" s="11" t="s">
        <v>39</v>
      </c>
      <c r="H224" s="11" t="s">
        <v>1229</v>
      </c>
      <c r="I224" s="4"/>
      <c r="J224" s="4"/>
      <c r="K224" s="4"/>
      <c r="L224" s="4"/>
      <c r="M224" s="4"/>
      <c r="N224" s="4"/>
      <c r="O224" s="4"/>
      <c r="P224" s="4"/>
      <c r="Q224" s="4"/>
      <c r="R224" s="4"/>
      <c r="S224" s="4"/>
      <c r="T224" s="4"/>
      <c r="U224" s="4"/>
      <c r="V224" s="4"/>
      <c r="W224" s="4"/>
      <c r="X224" s="4"/>
      <c r="Y224" s="4"/>
    </row>
    <row r="225">
      <c r="A225" s="11">
        <v>224.0</v>
      </c>
      <c r="B225" s="11" t="s">
        <v>749</v>
      </c>
      <c r="C225" s="6" t="s">
        <v>750</v>
      </c>
      <c r="D225" s="11">
        <v>2023.0</v>
      </c>
      <c r="E225" s="11" t="s">
        <v>659</v>
      </c>
      <c r="F225" s="11" t="s">
        <v>14</v>
      </c>
      <c r="G225" s="11" t="s">
        <v>39</v>
      </c>
      <c r="H225" s="11" t="s">
        <v>1229</v>
      </c>
      <c r="I225" s="4"/>
      <c r="J225" s="4"/>
      <c r="K225" s="4"/>
      <c r="L225" s="4"/>
      <c r="M225" s="4"/>
      <c r="N225" s="4"/>
      <c r="O225" s="4"/>
      <c r="P225" s="4"/>
      <c r="Q225" s="4"/>
      <c r="R225" s="4"/>
      <c r="S225" s="4"/>
      <c r="T225" s="4"/>
      <c r="U225" s="4"/>
      <c r="V225" s="4"/>
      <c r="W225" s="4"/>
      <c r="X225" s="4"/>
      <c r="Y225" s="4"/>
    </row>
    <row r="226">
      <c r="A226" s="11">
        <v>225.0</v>
      </c>
      <c r="B226" s="11" t="s">
        <v>751</v>
      </c>
      <c r="C226" s="6" t="s">
        <v>752</v>
      </c>
      <c r="D226" s="11">
        <v>2021.0</v>
      </c>
      <c r="E226" s="11" t="s">
        <v>580</v>
      </c>
      <c r="F226" s="11" t="s">
        <v>14</v>
      </c>
      <c r="G226" s="11" t="s">
        <v>49</v>
      </c>
      <c r="H226" s="11" t="s">
        <v>1229</v>
      </c>
      <c r="I226" s="4"/>
      <c r="J226" s="4"/>
      <c r="K226" s="4"/>
      <c r="L226" s="4"/>
      <c r="M226" s="4"/>
      <c r="N226" s="4"/>
      <c r="O226" s="4"/>
      <c r="P226" s="4"/>
      <c r="Q226" s="4"/>
      <c r="R226" s="4"/>
      <c r="S226" s="4"/>
      <c r="T226" s="4"/>
      <c r="U226" s="4"/>
      <c r="V226" s="4"/>
      <c r="W226" s="4"/>
      <c r="X226" s="4"/>
      <c r="Y226" s="4"/>
    </row>
    <row r="227">
      <c r="A227" s="12">
        <v>226.0</v>
      </c>
      <c r="B227" s="11" t="s">
        <v>753</v>
      </c>
      <c r="C227" s="6" t="s">
        <v>754</v>
      </c>
      <c r="D227" s="11">
        <v>2023.0</v>
      </c>
      <c r="E227" s="11" t="s">
        <v>755</v>
      </c>
      <c r="F227" s="11" t="s">
        <v>14</v>
      </c>
      <c r="G227" s="11" t="s">
        <v>49</v>
      </c>
      <c r="H227" s="11" t="s">
        <v>1229</v>
      </c>
      <c r="I227" s="4"/>
      <c r="J227" s="4"/>
      <c r="K227" s="4"/>
      <c r="L227" s="4"/>
      <c r="M227" s="4"/>
      <c r="N227" s="4"/>
      <c r="O227" s="4"/>
      <c r="P227" s="4"/>
      <c r="Q227" s="4"/>
      <c r="R227" s="4"/>
      <c r="S227" s="4"/>
      <c r="T227" s="4"/>
      <c r="U227" s="4"/>
      <c r="V227" s="4"/>
      <c r="W227" s="4"/>
      <c r="X227" s="4"/>
      <c r="Y227" s="4"/>
    </row>
    <row r="228">
      <c r="A228" s="11">
        <v>227.0</v>
      </c>
      <c r="B228" s="11" t="s">
        <v>756</v>
      </c>
      <c r="C228" s="6" t="s">
        <v>757</v>
      </c>
      <c r="D228" s="11">
        <v>2022.0</v>
      </c>
      <c r="E228" s="11" t="s">
        <v>625</v>
      </c>
      <c r="F228" s="11" t="s">
        <v>14</v>
      </c>
      <c r="G228" s="11" t="s">
        <v>49</v>
      </c>
      <c r="H228" s="11" t="s">
        <v>1229</v>
      </c>
      <c r="I228" s="4"/>
      <c r="J228" s="4"/>
      <c r="K228" s="4"/>
      <c r="L228" s="4"/>
      <c r="M228" s="4"/>
      <c r="N228" s="4"/>
      <c r="O228" s="4"/>
      <c r="P228" s="4"/>
      <c r="Q228" s="4"/>
      <c r="R228" s="4"/>
      <c r="S228" s="4"/>
      <c r="T228" s="4"/>
      <c r="U228" s="4"/>
      <c r="V228" s="4"/>
      <c r="W228" s="4"/>
      <c r="X228" s="4"/>
      <c r="Y228" s="4"/>
    </row>
    <row r="229">
      <c r="A229" s="11">
        <v>228.0</v>
      </c>
      <c r="B229" s="11" t="s">
        <v>758</v>
      </c>
      <c r="C229" s="6" t="s">
        <v>759</v>
      </c>
      <c r="D229" s="11">
        <v>2016.0</v>
      </c>
      <c r="E229" s="11" t="s">
        <v>760</v>
      </c>
      <c r="F229" s="11" t="s">
        <v>14</v>
      </c>
      <c r="G229" s="11" t="s">
        <v>39</v>
      </c>
      <c r="H229" s="11" t="s">
        <v>1229</v>
      </c>
      <c r="I229" s="4"/>
      <c r="J229" s="4"/>
      <c r="K229" s="4"/>
      <c r="L229" s="4"/>
      <c r="M229" s="4"/>
      <c r="N229" s="4"/>
      <c r="O229" s="4"/>
      <c r="P229" s="4"/>
      <c r="Q229" s="4"/>
      <c r="R229" s="4"/>
      <c r="S229" s="4"/>
      <c r="T229" s="4"/>
      <c r="U229" s="4"/>
      <c r="V229" s="4"/>
      <c r="W229" s="4"/>
      <c r="X229" s="4"/>
      <c r="Y229" s="4"/>
    </row>
    <row r="230">
      <c r="A230" s="12">
        <v>229.0</v>
      </c>
      <c r="B230" s="11" t="s">
        <v>761</v>
      </c>
      <c r="C230" s="6" t="s">
        <v>762</v>
      </c>
      <c r="D230" s="11">
        <v>2016.0</v>
      </c>
      <c r="E230" s="11" t="s">
        <v>763</v>
      </c>
      <c r="F230" s="11" t="s">
        <v>14</v>
      </c>
      <c r="G230" s="11" t="s">
        <v>49</v>
      </c>
      <c r="H230" s="11" t="s">
        <v>1229</v>
      </c>
      <c r="I230" s="4"/>
      <c r="J230" s="4"/>
      <c r="K230" s="4"/>
      <c r="L230" s="4"/>
      <c r="M230" s="4"/>
      <c r="N230" s="4"/>
      <c r="O230" s="4"/>
      <c r="P230" s="4"/>
      <c r="Q230" s="4"/>
      <c r="R230" s="4"/>
      <c r="S230" s="4"/>
      <c r="T230" s="4"/>
      <c r="U230" s="4"/>
      <c r="V230" s="4"/>
      <c r="W230" s="4"/>
      <c r="X230" s="4"/>
      <c r="Y230" s="4"/>
    </row>
    <row r="231">
      <c r="A231" s="11">
        <v>230.0</v>
      </c>
      <c r="B231" s="11" t="s">
        <v>764</v>
      </c>
      <c r="C231" s="6" t="s">
        <v>765</v>
      </c>
      <c r="D231" s="11">
        <v>2023.0</v>
      </c>
      <c r="E231" s="11" t="s">
        <v>766</v>
      </c>
      <c r="F231" s="11" t="s">
        <v>14</v>
      </c>
      <c r="G231" s="11" t="s">
        <v>49</v>
      </c>
      <c r="H231" s="11" t="s">
        <v>1229</v>
      </c>
      <c r="I231" s="4"/>
      <c r="J231" s="4"/>
      <c r="K231" s="4"/>
      <c r="L231" s="4"/>
      <c r="M231" s="4"/>
      <c r="N231" s="4"/>
      <c r="O231" s="4"/>
      <c r="P231" s="4"/>
      <c r="Q231" s="4"/>
      <c r="R231" s="4"/>
      <c r="S231" s="4"/>
      <c r="T231" s="4"/>
      <c r="U231" s="4"/>
      <c r="V231" s="4"/>
      <c r="W231" s="4"/>
      <c r="X231" s="4"/>
      <c r="Y231" s="4"/>
    </row>
    <row r="232">
      <c r="A232" s="11">
        <v>231.0</v>
      </c>
      <c r="B232" s="11" t="s">
        <v>767</v>
      </c>
      <c r="C232" s="6" t="s">
        <v>768</v>
      </c>
      <c r="D232" s="11">
        <v>2023.0</v>
      </c>
      <c r="E232" s="11" t="s">
        <v>769</v>
      </c>
      <c r="F232" s="11" t="s">
        <v>14</v>
      </c>
      <c r="G232" s="11" t="s">
        <v>39</v>
      </c>
      <c r="H232" s="11" t="s">
        <v>1229</v>
      </c>
      <c r="I232" s="4"/>
      <c r="J232" s="4"/>
      <c r="K232" s="4"/>
      <c r="L232" s="4"/>
      <c r="M232" s="4"/>
      <c r="N232" s="4"/>
      <c r="O232" s="4"/>
      <c r="P232" s="4"/>
      <c r="Q232" s="4"/>
      <c r="R232" s="4"/>
      <c r="S232" s="4"/>
      <c r="T232" s="4"/>
      <c r="U232" s="4"/>
      <c r="V232" s="4"/>
      <c r="W232" s="4"/>
      <c r="X232" s="4"/>
      <c r="Y232" s="4"/>
    </row>
    <row r="233">
      <c r="A233" s="12">
        <v>232.0</v>
      </c>
      <c r="B233" s="11" t="s">
        <v>774</v>
      </c>
      <c r="C233" s="6" t="s">
        <v>775</v>
      </c>
      <c r="D233" s="11">
        <v>2023.0</v>
      </c>
      <c r="E233" s="11" t="s">
        <v>776</v>
      </c>
      <c r="F233" s="11" t="s">
        <v>14</v>
      </c>
      <c r="G233" s="11" t="s">
        <v>39</v>
      </c>
      <c r="H233" s="11" t="s">
        <v>1229</v>
      </c>
      <c r="I233" s="4"/>
      <c r="J233" s="4"/>
      <c r="K233" s="4"/>
      <c r="L233" s="4"/>
      <c r="M233" s="4"/>
      <c r="N233" s="4"/>
      <c r="O233" s="4"/>
      <c r="P233" s="4"/>
      <c r="Q233" s="4"/>
      <c r="R233" s="4"/>
      <c r="S233" s="4"/>
      <c r="T233" s="4"/>
      <c r="U233" s="4"/>
      <c r="V233" s="4"/>
      <c r="W233" s="4"/>
      <c r="X233" s="4"/>
      <c r="Y233" s="4"/>
    </row>
    <row r="234">
      <c r="A234" s="11">
        <v>233.0</v>
      </c>
      <c r="B234" s="11" t="s">
        <v>777</v>
      </c>
      <c r="C234" s="6" t="s">
        <v>778</v>
      </c>
      <c r="D234" s="11">
        <v>2015.0</v>
      </c>
      <c r="E234" s="11" t="s">
        <v>779</v>
      </c>
      <c r="F234" s="11" t="s">
        <v>14</v>
      </c>
      <c r="G234" s="11" t="s">
        <v>39</v>
      </c>
      <c r="H234" s="11" t="s">
        <v>1229</v>
      </c>
      <c r="I234" s="4"/>
      <c r="J234" s="4"/>
      <c r="K234" s="4"/>
      <c r="L234" s="4"/>
      <c r="M234" s="4"/>
      <c r="N234" s="4"/>
      <c r="O234" s="4"/>
      <c r="P234" s="4"/>
      <c r="Q234" s="4"/>
      <c r="R234" s="4"/>
      <c r="S234" s="4"/>
      <c r="T234" s="4"/>
      <c r="U234" s="4"/>
      <c r="V234" s="4"/>
      <c r="W234" s="4"/>
      <c r="X234" s="4"/>
      <c r="Y234" s="4"/>
    </row>
    <row r="235">
      <c r="A235" s="11">
        <v>234.0</v>
      </c>
      <c r="B235" s="11" t="s">
        <v>780</v>
      </c>
      <c r="C235" s="6" t="s">
        <v>781</v>
      </c>
      <c r="D235" s="11">
        <v>2016.0</v>
      </c>
      <c r="E235" s="11" t="s">
        <v>782</v>
      </c>
      <c r="F235" s="11" t="s">
        <v>14</v>
      </c>
      <c r="G235" s="11" t="s">
        <v>39</v>
      </c>
      <c r="H235" s="11" t="s">
        <v>1229</v>
      </c>
      <c r="I235" s="4"/>
      <c r="J235" s="4"/>
      <c r="K235" s="4"/>
      <c r="L235" s="4"/>
      <c r="M235" s="4"/>
      <c r="N235" s="4"/>
      <c r="O235" s="4"/>
      <c r="P235" s="4"/>
      <c r="Q235" s="4"/>
      <c r="R235" s="4"/>
      <c r="S235" s="4"/>
      <c r="T235" s="4"/>
      <c r="U235" s="4"/>
      <c r="V235" s="4"/>
      <c r="W235" s="4"/>
      <c r="X235" s="4"/>
      <c r="Y235" s="4"/>
    </row>
    <row r="236">
      <c r="A236" s="12">
        <v>235.0</v>
      </c>
      <c r="B236" s="11" t="s">
        <v>783</v>
      </c>
      <c r="C236" s="6" t="s">
        <v>784</v>
      </c>
      <c r="D236" s="11">
        <v>2022.0</v>
      </c>
      <c r="E236" s="11" t="s">
        <v>785</v>
      </c>
      <c r="F236" s="11" t="s">
        <v>14</v>
      </c>
      <c r="G236" s="11" t="s">
        <v>49</v>
      </c>
      <c r="H236" s="11" t="s">
        <v>1229</v>
      </c>
      <c r="I236" s="4"/>
      <c r="J236" s="4"/>
      <c r="K236" s="4"/>
      <c r="L236" s="4"/>
      <c r="M236" s="4"/>
      <c r="N236" s="4"/>
      <c r="O236" s="4"/>
      <c r="P236" s="4"/>
      <c r="Q236" s="4"/>
      <c r="R236" s="4"/>
      <c r="S236" s="4"/>
      <c r="T236" s="4"/>
      <c r="U236" s="4"/>
      <c r="V236" s="4"/>
      <c r="W236" s="4"/>
      <c r="X236" s="4"/>
      <c r="Y236" s="4"/>
    </row>
    <row r="237">
      <c r="A237" s="11">
        <v>236.0</v>
      </c>
      <c r="B237" s="11" t="s">
        <v>786</v>
      </c>
      <c r="C237" s="6" t="s">
        <v>787</v>
      </c>
      <c r="D237" s="11">
        <v>2017.0</v>
      </c>
      <c r="E237" s="11" t="s">
        <v>788</v>
      </c>
      <c r="F237" s="11" t="s">
        <v>14</v>
      </c>
      <c r="G237" s="11" t="s">
        <v>39</v>
      </c>
      <c r="H237" s="11" t="s">
        <v>1229</v>
      </c>
      <c r="I237" s="4"/>
      <c r="J237" s="4"/>
      <c r="K237" s="4"/>
      <c r="L237" s="4"/>
      <c r="M237" s="4"/>
      <c r="N237" s="4"/>
      <c r="O237" s="4"/>
      <c r="P237" s="4"/>
      <c r="Q237" s="4"/>
      <c r="R237" s="4"/>
      <c r="S237" s="4"/>
      <c r="T237" s="4"/>
      <c r="U237" s="4"/>
      <c r="V237" s="4"/>
      <c r="W237" s="4"/>
      <c r="X237" s="4"/>
      <c r="Y237" s="4"/>
    </row>
    <row r="238">
      <c r="A238" s="11">
        <v>237.0</v>
      </c>
      <c r="B238" s="11" t="s">
        <v>789</v>
      </c>
      <c r="C238" s="6" t="s">
        <v>790</v>
      </c>
      <c r="D238" s="11">
        <v>2025.0</v>
      </c>
      <c r="E238" s="11" t="s">
        <v>580</v>
      </c>
      <c r="F238" s="11" t="s">
        <v>14</v>
      </c>
      <c r="G238" s="11" t="s">
        <v>49</v>
      </c>
      <c r="H238" s="11" t="s">
        <v>1229</v>
      </c>
      <c r="I238" s="4"/>
      <c r="J238" s="4"/>
      <c r="K238" s="4"/>
      <c r="L238" s="4"/>
      <c r="M238" s="4"/>
      <c r="N238" s="4"/>
      <c r="O238" s="4"/>
      <c r="P238" s="4"/>
      <c r="Q238" s="4"/>
      <c r="R238" s="4"/>
      <c r="S238" s="4"/>
      <c r="T238" s="4"/>
      <c r="U238" s="4"/>
      <c r="V238" s="4"/>
      <c r="W238" s="4"/>
      <c r="X238" s="4"/>
      <c r="Y238" s="4"/>
    </row>
    <row r="239">
      <c r="A239" s="12">
        <v>238.0</v>
      </c>
      <c r="B239" s="11" t="s">
        <v>791</v>
      </c>
      <c r="C239" s="6" t="s">
        <v>792</v>
      </c>
      <c r="D239" s="11">
        <v>2019.0</v>
      </c>
      <c r="E239" s="11" t="s">
        <v>793</v>
      </c>
      <c r="F239" s="11" t="s">
        <v>14</v>
      </c>
      <c r="G239" s="11" t="s">
        <v>39</v>
      </c>
      <c r="H239" s="11" t="s">
        <v>1229</v>
      </c>
      <c r="I239" s="4"/>
      <c r="J239" s="4"/>
      <c r="K239" s="4"/>
      <c r="L239" s="4"/>
      <c r="M239" s="4"/>
      <c r="N239" s="4"/>
      <c r="O239" s="4"/>
      <c r="P239" s="4"/>
      <c r="Q239" s="4"/>
      <c r="R239" s="4"/>
      <c r="S239" s="4"/>
      <c r="T239" s="4"/>
      <c r="U239" s="4"/>
      <c r="V239" s="4"/>
      <c r="W239" s="4"/>
      <c r="X239" s="4"/>
      <c r="Y239" s="4"/>
    </row>
    <row r="240">
      <c r="A240" s="11">
        <v>239.0</v>
      </c>
      <c r="B240" s="11" t="s">
        <v>794</v>
      </c>
      <c r="C240" s="6" t="s">
        <v>795</v>
      </c>
      <c r="D240" s="11">
        <v>2022.0</v>
      </c>
      <c r="E240" s="11" t="s">
        <v>796</v>
      </c>
      <c r="F240" s="11" t="s">
        <v>14</v>
      </c>
      <c r="G240" s="11" t="s">
        <v>39</v>
      </c>
      <c r="H240" s="11" t="s">
        <v>1229</v>
      </c>
      <c r="I240" s="4"/>
      <c r="J240" s="4"/>
      <c r="K240" s="4"/>
      <c r="L240" s="4"/>
      <c r="M240" s="4"/>
      <c r="N240" s="4"/>
      <c r="O240" s="4"/>
      <c r="P240" s="4"/>
      <c r="Q240" s="4"/>
      <c r="R240" s="4"/>
      <c r="S240" s="4"/>
      <c r="T240" s="4"/>
      <c r="U240" s="4"/>
      <c r="V240" s="4"/>
      <c r="W240" s="4"/>
      <c r="X240" s="4"/>
      <c r="Y240" s="4"/>
    </row>
    <row r="241">
      <c r="A241" s="11">
        <v>240.0</v>
      </c>
      <c r="B241" s="11" t="s">
        <v>797</v>
      </c>
      <c r="C241" s="6" t="s">
        <v>798</v>
      </c>
      <c r="D241" s="11">
        <v>2021.0</v>
      </c>
      <c r="E241" s="11" t="s">
        <v>799</v>
      </c>
      <c r="F241" s="11" t="s">
        <v>14</v>
      </c>
      <c r="G241" s="11" t="s">
        <v>39</v>
      </c>
      <c r="H241" s="11" t="s">
        <v>1229</v>
      </c>
      <c r="I241" s="4"/>
      <c r="J241" s="4"/>
      <c r="K241" s="4"/>
      <c r="L241" s="4"/>
      <c r="M241" s="4"/>
      <c r="N241" s="4"/>
      <c r="O241" s="4"/>
      <c r="P241" s="4"/>
      <c r="Q241" s="4"/>
      <c r="R241" s="4"/>
      <c r="S241" s="4"/>
      <c r="T241" s="4"/>
      <c r="U241" s="4"/>
      <c r="V241" s="4"/>
      <c r="W241" s="4"/>
      <c r="X241" s="4"/>
      <c r="Y241" s="4"/>
    </row>
    <row r="242">
      <c r="A242" s="12">
        <v>241.0</v>
      </c>
      <c r="B242" s="11" t="s">
        <v>800</v>
      </c>
      <c r="C242" s="6" t="s">
        <v>801</v>
      </c>
      <c r="D242" s="11">
        <v>2021.0</v>
      </c>
      <c r="E242" s="11" t="s">
        <v>580</v>
      </c>
      <c r="F242" s="11" t="s">
        <v>14</v>
      </c>
      <c r="G242" s="11" t="s">
        <v>49</v>
      </c>
      <c r="H242" s="11" t="s">
        <v>1229</v>
      </c>
      <c r="I242" s="4"/>
      <c r="J242" s="4"/>
      <c r="K242" s="4"/>
      <c r="L242" s="4"/>
      <c r="M242" s="4"/>
      <c r="N242" s="4"/>
      <c r="O242" s="4"/>
      <c r="P242" s="4"/>
      <c r="Q242" s="4"/>
      <c r="R242" s="4"/>
      <c r="S242" s="4"/>
      <c r="T242" s="4"/>
      <c r="U242" s="4"/>
      <c r="V242" s="4"/>
      <c r="W242" s="4"/>
      <c r="X242" s="4"/>
      <c r="Y242" s="4"/>
    </row>
    <row r="243">
      <c r="A243" s="11">
        <v>242.0</v>
      </c>
      <c r="B243" s="11" t="s">
        <v>802</v>
      </c>
      <c r="C243" s="6" t="s">
        <v>803</v>
      </c>
      <c r="D243" s="11">
        <v>2015.0</v>
      </c>
      <c r="E243" s="11" t="s">
        <v>804</v>
      </c>
      <c r="F243" s="11" t="s">
        <v>14</v>
      </c>
      <c r="G243" s="11" t="s">
        <v>39</v>
      </c>
      <c r="H243" s="11" t="s">
        <v>1229</v>
      </c>
      <c r="I243" s="4"/>
      <c r="J243" s="4"/>
      <c r="K243" s="4"/>
      <c r="L243" s="4"/>
      <c r="M243" s="4"/>
      <c r="N243" s="4"/>
      <c r="O243" s="4"/>
      <c r="P243" s="4"/>
      <c r="Q243" s="4"/>
      <c r="R243" s="4"/>
      <c r="S243" s="4"/>
      <c r="T243" s="4"/>
      <c r="U243" s="4"/>
      <c r="V243" s="4"/>
      <c r="W243" s="4"/>
      <c r="X243" s="4"/>
      <c r="Y243" s="4"/>
    </row>
    <row r="244">
      <c r="A244" s="11">
        <v>243.0</v>
      </c>
      <c r="B244" s="11" t="s">
        <v>805</v>
      </c>
      <c r="C244" s="6" t="s">
        <v>806</v>
      </c>
      <c r="D244" s="11">
        <v>2023.0</v>
      </c>
      <c r="E244" s="11" t="s">
        <v>574</v>
      </c>
      <c r="F244" s="11" t="s">
        <v>14</v>
      </c>
      <c r="G244" s="11" t="s">
        <v>49</v>
      </c>
      <c r="H244" s="11" t="s">
        <v>1229</v>
      </c>
      <c r="I244" s="4"/>
      <c r="J244" s="4"/>
      <c r="K244" s="4"/>
      <c r="L244" s="4"/>
      <c r="M244" s="4"/>
      <c r="N244" s="4"/>
      <c r="O244" s="4"/>
      <c r="P244" s="4"/>
      <c r="Q244" s="4"/>
      <c r="R244" s="4"/>
      <c r="S244" s="4"/>
      <c r="T244" s="4"/>
      <c r="U244" s="4"/>
      <c r="V244" s="4"/>
      <c r="W244" s="4"/>
      <c r="X244" s="4"/>
      <c r="Y244" s="4"/>
    </row>
    <row r="245">
      <c r="A245" s="12">
        <v>244.0</v>
      </c>
      <c r="B245" s="11" t="s">
        <v>807</v>
      </c>
      <c r="C245" s="6" t="s">
        <v>808</v>
      </c>
      <c r="D245" s="11">
        <v>2015.0</v>
      </c>
      <c r="E245" s="11" t="s">
        <v>809</v>
      </c>
      <c r="F245" s="11" t="s">
        <v>14</v>
      </c>
      <c r="G245" s="11" t="s">
        <v>39</v>
      </c>
      <c r="H245" s="11" t="s">
        <v>1229</v>
      </c>
      <c r="I245" s="4"/>
      <c r="J245" s="4"/>
      <c r="K245" s="4"/>
      <c r="L245" s="4"/>
      <c r="M245" s="4"/>
      <c r="N245" s="4"/>
      <c r="O245" s="4"/>
      <c r="P245" s="4"/>
      <c r="Q245" s="4"/>
      <c r="R245" s="4"/>
      <c r="S245" s="4"/>
      <c r="T245" s="4"/>
      <c r="U245" s="4"/>
      <c r="V245" s="4"/>
      <c r="W245" s="4"/>
      <c r="X245" s="4"/>
      <c r="Y245" s="4"/>
    </row>
    <row r="246">
      <c r="A246" s="11">
        <v>245.0</v>
      </c>
      <c r="B246" s="11" t="s">
        <v>810</v>
      </c>
      <c r="C246" s="6" t="s">
        <v>811</v>
      </c>
      <c r="D246" s="11">
        <v>2025.0</v>
      </c>
      <c r="E246" s="11" t="s">
        <v>812</v>
      </c>
      <c r="F246" s="11" t="s">
        <v>14</v>
      </c>
      <c r="G246" s="11" t="s">
        <v>49</v>
      </c>
      <c r="H246" s="11" t="s">
        <v>1229</v>
      </c>
      <c r="I246" s="4"/>
      <c r="J246" s="4"/>
      <c r="K246" s="4"/>
      <c r="L246" s="4"/>
      <c r="M246" s="4"/>
      <c r="N246" s="4"/>
      <c r="O246" s="4"/>
      <c r="P246" s="4"/>
      <c r="Q246" s="4"/>
      <c r="R246" s="4"/>
      <c r="S246" s="4"/>
      <c r="T246" s="4"/>
      <c r="U246" s="4"/>
      <c r="V246" s="4"/>
      <c r="W246" s="4"/>
      <c r="X246" s="4"/>
      <c r="Y246" s="4"/>
    </row>
    <row r="247">
      <c r="A247" s="11">
        <v>246.0</v>
      </c>
      <c r="B247" s="11" t="s">
        <v>813</v>
      </c>
      <c r="C247" s="6" t="s">
        <v>814</v>
      </c>
      <c r="D247" s="11">
        <v>2015.0</v>
      </c>
      <c r="E247" s="11" t="s">
        <v>815</v>
      </c>
      <c r="F247" s="11" t="s">
        <v>14</v>
      </c>
      <c r="G247" s="11" t="s">
        <v>39</v>
      </c>
      <c r="H247" s="11" t="s">
        <v>1229</v>
      </c>
      <c r="I247" s="4"/>
      <c r="J247" s="4"/>
      <c r="K247" s="4"/>
      <c r="L247" s="4"/>
      <c r="M247" s="4"/>
      <c r="N247" s="4"/>
      <c r="O247" s="4"/>
      <c r="P247" s="4"/>
      <c r="Q247" s="4"/>
      <c r="R247" s="4"/>
      <c r="S247" s="4"/>
      <c r="T247" s="4"/>
      <c r="U247" s="4"/>
      <c r="V247" s="4"/>
      <c r="W247" s="4"/>
      <c r="X247" s="4"/>
      <c r="Y247" s="4"/>
    </row>
    <row r="248">
      <c r="A248" s="12">
        <v>247.0</v>
      </c>
      <c r="B248" s="11" t="s">
        <v>816</v>
      </c>
      <c r="C248" s="6" t="s">
        <v>817</v>
      </c>
      <c r="D248" s="11">
        <v>2025.0</v>
      </c>
      <c r="E248" s="11" t="s">
        <v>818</v>
      </c>
      <c r="F248" s="11" t="s">
        <v>14</v>
      </c>
      <c r="G248" s="11" t="s">
        <v>49</v>
      </c>
      <c r="H248" s="11" t="s">
        <v>1230</v>
      </c>
      <c r="I248" s="4"/>
      <c r="J248" s="4"/>
      <c r="K248" s="4"/>
      <c r="L248" s="4"/>
      <c r="M248" s="4"/>
      <c r="N248" s="4"/>
      <c r="O248" s="4"/>
      <c r="P248" s="4"/>
      <c r="Q248" s="4"/>
      <c r="R248" s="4"/>
      <c r="S248" s="4"/>
      <c r="T248" s="4"/>
      <c r="U248" s="4"/>
      <c r="V248" s="4"/>
      <c r="W248" s="4"/>
      <c r="X248" s="4"/>
      <c r="Y248" s="4"/>
    </row>
    <row r="249">
      <c r="A249" s="11">
        <v>248.0</v>
      </c>
      <c r="B249" s="11" t="s">
        <v>819</v>
      </c>
      <c r="C249" s="6" t="s">
        <v>820</v>
      </c>
      <c r="D249" s="11">
        <v>2022.0</v>
      </c>
      <c r="E249" s="11" t="s">
        <v>821</v>
      </c>
      <c r="F249" s="11" t="s">
        <v>14</v>
      </c>
      <c r="G249" s="11" t="s">
        <v>39</v>
      </c>
      <c r="H249" s="11" t="s">
        <v>1229</v>
      </c>
      <c r="I249" s="4"/>
      <c r="J249" s="4"/>
      <c r="K249" s="4"/>
      <c r="L249" s="4"/>
      <c r="M249" s="4"/>
      <c r="N249" s="4"/>
      <c r="O249" s="4"/>
      <c r="P249" s="4"/>
      <c r="Q249" s="4"/>
      <c r="R249" s="4"/>
      <c r="S249" s="4"/>
      <c r="T249" s="4"/>
      <c r="U249" s="4"/>
      <c r="V249" s="4"/>
      <c r="W249" s="4"/>
      <c r="X249" s="4"/>
      <c r="Y249" s="4"/>
    </row>
    <row r="250">
      <c r="A250" s="11">
        <v>249.0</v>
      </c>
      <c r="B250" s="11" t="s">
        <v>825</v>
      </c>
      <c r="C250" s="6" t="s">
        <v>826</v>
      </c>
      <c r="D250" s="11">
        <v>2019.0</v>
      </c>
      <c r="E250" s="11" t="s">
        <v>827</v>
      </c>
      <c r="F250" s="11" t="s">
        <v>14</v>
      </c>
      <c r="G250" s="11" t="s">
        <v>49</v>
      </c>
      <c r="H250" s="11" t="s">
        <v>1229</v>
      </c>
      <c r="I250" s="4"/>
      <c r="J250" s="4"/>
      <c r="K250" s="4"/>
      <c r="L250" s="4"/>
      <c r="M250" s="4"/>
      <c r="N250" s="4"/>
      <c r="O250" s="4"/>
      <c r="P250" s="4"/>
      <c r="Q250" s="4"/>
      <c r="R250" s="4"/>
      <c r="S250" s="4"/>
      <c r="T250" s="4"/>
      <c r="U250" s="4"/>
      <c r="V250" s="4"/>
      <c r="W250" s="4"/>
      <c r="X250" s="4"/>
      <c r="Y250" s="4"/>
    </row>
    <row r="251">
      <c r="A251" s="12">
        <v>250.0</v>
      </c>
      <c r="B251" s="11" t="s">
        <v>828</v>
      </c>
      <c r="C251" s="6" t="s">
        <v>829</v>
      </c>
      <c r="D251" s="11">
        <v>2019.0</v>
      </c>
      <c r="E251" s="11" t="s">
        <v>830</v>
      </c>
      <c r="F251" s="11" t="s">
        <v>14</v>
      </c>
      <c r="G251" s="11" t="s">
        <v>39</v>
      </c>
      <c r="H251" s="11" t="s">
        <v>1229</v>
      </c>
      <c r="I251" s="4"/>
      <c r="J251" s="4"/>
      <c r="K251" s="4"/>
      <c r="L251" s="4"/>
      <c r="M251" s="4"/>
      <c r="N251" s="4"/>
      <c r="O251" s="4"/>
      <c r="P251" s="4"/>
      <c r="Q251" s="4"/>
      <c r="R251" s="4"/>
      <c r="S251" s="4"/>
      <c r="T251" s="4"/>
      <c r="U251" s="4"/>
      <c r="V251" s="4"/>
      <c r="W251" s="4"/>
      <c r="X251" s="4"/>
      <c r="Y251" s="4"/>
    </row>
    <row r="252">
      <c r="A252" s="11">
        <v>251.0</v>
      </c>
      <c r="B252" s="11" t="s">
        <v>831</v>
      </c>
      <c r="C252" s="6" t="s">
        <v>832</v>
      </c>
      <c r="D252" s="11">
        <v>2019.0</v>
      </c>
      <c r="E252" s="11" t="s">
        <v>833</v>
      </c>
      <c r="F252" s="11" t="s">
        <v>14</v>
      </c>
      <c r="G252" s="11" t="s">
        <v>39</v>
      </c>
      <c r="H252" s="11" t="s">
        <v>1229</v>
      </c>
      <c r="I252" s="4"/>
      <c r="J252" s="4"/>
      <c r="K252" s="4"/>
      <c r="L252" s="4"/>
      <c r="M252" s="4"/>
      <c r="N252" s="4"/>
      <c r="O252" s="4"/>
      <c r="P252" s="4"/>
      <c r="Q252" s="4"/>
      <c r="R252" s="4"/>
      <c r="S252" s="4"/>
      <c r="T252" s="4"/>
      <c r="U252" s="4"/>
      <c r="V252" s="4"/>
      <c r="W252" s="4"/>
      <c r="X252" s="4"/>
      <c r="Y252" s="4"/>
    </row>
    <row r="253">
      <c r="A253" s="11">
        <v>252.0</v>
      </c>
      <c r="B253" s="11" t="s">
        <v>834</v>
      </c>
      <c r="C253" s="6" t="s">
        <v>835</v>
      </c>
      <c r="D253" s="11">
        <v>2020.0</v>
      </c>
      <c r="E253" s="11" t="s">
        <v>580</v>
      </c>
      <c r="F253" s="11" t="s">
        <v>14</v>
      </c>
      <c r="G253" s="11" t="s">
        <v>49</v>
      </c>
      <c r="H253" s="11" t="s">
        <v>1229</v>
      </c>
      <c r="I253" s="4"/>
      <c r="J253" s="4"/>
      <c r="K253" s="4"/>
      <c r="L253" s="4"/>
      <c r="M253" s="4"/>
      <c r="N253" s="4"/>
      <c r="O253" s="4"/>
      <c r="P253" s="4"/>
      <c r="Q253" s="4"/>
      <c r="R253" s="4"/>
      <c r="S253" s="4"/>
      <c r="T253" s="4"/>
      <c r="U253" s="4"/>
      <c r="V253" s="4"/>
      <c r="W253" s="4"/>
      <c r="X253" s="4"/>
      <c r="Y253" s="4"/>
    </row>
    <row r="254">
      <c r="A254" s="12">
        <v>253.0</v>
      </c>
      <c r="B254" s="11" t="s">
        <v>836</v>
      </c>
      <c r="C254" s="6" t="s">
        <v>837</v>
      </c>
      <c r="D254" s="11">
        <v>2024.0</v>
      </c>
      <c r="E254" s="11" t="s">
        <v>596</v>
      </c>
      <c r="F254" s="11" t="s">
        <v>14</v>
      </c>
      <c r="G254" s="11" t="s">
        <v>49</v>
      </c>
      <c r="H254" s="11" t="s">
        <v>1229</v>
      </c>
      <c r="I254" s="4"/>
      <c r="J254" s="4"/>
      <c r="K254" s="4"/>
      <c r="L254" s="4"/>
      <c r="M254" s="4"/>
      <c r="N254" s="4"/>
      <c r="O254" s="4"/>
      <c r="P254" s="4"/>
      <c r="Q254" s="4"/>
      <c r="R254" s="4"/>
      <c r="S254" s="4"/>
      <c r="T254" s="4"/>
      <c r="U254" s="4"/>
      <c r="V254" s="4"/>
      <c r="W254" s="4"/>
      <c r="X254" s="4"/>
      <c r="Y254" s="4"/>
    </row>
    <row r="255">
      <c r="A255" s="11">
        <v>254.0</v>
      </c>
      <c r="B255" s="11" t="s">
        <v>838</v>
      </c>
      <c r="C255" s="6" t="s">
        <v>839</v>
      </c>
      <c r="D255" s="11">
        <v>2025.0</v>
      </c>
      <c r="E255" s="11" t="s">
        <v>596</v>
      </c>
      <c r="F255" s="11" t="s">
        <v>14</v>
      </c>
      <c r="G255" s="11" t="s">
        <v>49</v>
      </c>
      <c r="H255" s="11" t="s">
        <v>1229</v>
      </c>
      <c r="I255" s="4"/>
      <c r="J255" s="4"/>
      <c r="K255" s="4"/>
      <c r="L255" s="4"/>
      <c r="M255" s="4"/>
      <c r="N255" s="4"/>
      <c r="O255" s="4"/>
      <c r="P255" s="4"/>
      <c r="Q255" s="4"/>
      <c r="R255" s="4"/>
      <c r="S255" s="4"/>
      <c r="T255" s="4"/>
      <c r="U255" s="4"/>
      <c r="V255" s="4"/>
      <c r="W255" s="4"/>
      <c r="X255" s="4"/>
      <c r="Y255" s="4"/>
    </row>
    <row r="256">
      <c r="A256" s="11">
        <v>255.0</v>
      </c>
      <c r="B256" s="11" t="s">
        <v>840</v>
      </c>
      <c r="C256" s="6" t="s">
        <v>841</v>
      </c>
      <c r="D256" s="11">
        <v>2018.0</v>
      </c>
      <c r="E256" s="11" t="s">
        <v>842</v>
      </c>
      <c r="F256" s="11" t="s">
        <v>14</v>
      </c>
      <c r="G256" s="11" t="s">
        <v>39</v>
      </c>
      <c r="H256" s="11" t="s">
        <v>1229</v>
      </c>
      <c r="I256" s="4"/>
      <c r="J256" s="4"/>
      <c r="K256" s="4"/>
      <c r="L256" s="4"/>
      <c r="M256" s="4"/>
      <c r="N256" s="4"/>
      <c r="O256" s="4"/>
      <c r="P256" s="4"/>
      <c r="Q256" s="4"/>
      <c r="R256" s="4"/>
      <c r="S256" s="4"/>
      <c r="T256" s="4"/>
      <c r="U256" s="4"/>
      <c r="V256" s="4"/>
      <c r="W256" s="4"/>
      <c r="X256" s="4"/>
      <c r="Y256" s="4"/>
    </row>
    <row r="257">
      <c r="A257" s="12">
        <v>256.0</v>
      </c>
      <c r="B257" s="11" t="s">
        <v>843</v>
      </c>
      <c r="C257" s="6" t="s">
        <v>844</v>
      </c>
      <c r="D257" s="11">
        <v>2021.0</v>
      </c>
      <c r="E257" s="11" t="s">
        <v>845</v>
      </c>
      <c r="F257" s="11" t="s">
        <v>14</v>
      </c>
      <c r="G257" s="11" t="s">
        <v>39</v>
      </c>
      <c r="H257" s="11" t="s">
        <v>1229</v>
      </c>
      <c r="I257" s="4"/>
      <c r="J257" s="4"/>
      <c r="K257" s="4"/>
      <c r="L257" s="4"/>
      <c r="M257" s="4"/>
      <c r="N257" s="4"/>
      <c r="O257" s="4"/>
      <c r="P257" s="4"/>
      <c r="Q257" s="4"/>
      <c r="R257" s="4"/>
      <c r="S257" s="4"/>
      <c r="T257" s="4"/>
      <c r="U257" s="4"/>
      <c r="V257" s="4"/>
      <c r="W257" s="4"/>
      <c r="X257" s="4"/>
      <c r="Y257" s="4"/>
    </row>
    <row r="258">
      <c r="A258" s="11">
        <v>257.0</v>
      </c>
      <c r="B258" s="11" t="s">
        <v>846</v>
      </c>
      <c r="C258" s="6" t="s">
        <v>847</v>
      </c>
      <c r="D258" s="11">
        <v>2015.0</v>
      </c>
      <c r="E258" s="11" t="s">
        <v>848</v>
      </c>
      <c r="F258" s="11" t="s">
        <v>14</v>
      </c>
      <c r="G258" s="11" t="s">
        <v>39</v>
      </c>
      <c r="H258" s="11" t="s">
        <v>1229</v>
      </c>
      <c r="I258" s="4"/>
      <c r="J258" s="4"/>
      <c r="K258" s="4"/>
      <c r="L258" s="4"/>
      <c r="M258" s="4"/>
      <c r="N258" s="4"/>
      <c r="O258" s="4"/>
      <c r="P258" s="4"/>
      <c r="Q258" s="4"/>
      <c r="R258" s="4"/>
      <c r="S258" s="4"/>
      <c r="T258" s="4"/>
      <c r="U258" s="4"/>
      <c r="V258" s="4"/>
      <c r="W258" s="4"/>
      <c r="X258" s="4"/>
      <c r="Y258" s="4"/>
    </row>
    <row r="259">
      <c r="A259" s="11">
        <v>258.0</v>
      </c>
      <c r="B259" s="11" t="s">
        <v>849</v>
      </c>
      <c r="C259" s="6" t="s">
        <v>850</v>
      </c>
      <c r="D259" s="11">
        <v>2018.0</v>
      </c>
      <c r="E259" s="11" t="s">
        <v>851</v>
      </c>
      <c r="F259" s="11" t="s">
        <v>14</v>
      </c>
      <c r="G259" s="11" t="s">
        <v>49</v>
      </c>
      <c r="H259" s="11" t="s">
        <v>1229</v>
      </c>
      <c r="I259" s="4"/>
      <c r="J259" s="4"/>
      <c r="K259" s="4"/>
      <c r="L259" s="4"/>
      <c r="M259" s="4"/>
      <c r="N259" s="4"/>
      <c r="O259" s="4"/>
      <c r="P259" s="4"/>
      <c r="Q259" s="4"/>
      <c r="R259" s="4"/>
      <c r="S259" s="4"/>
      <c r="T259" s="4"/>
      <c r="U259" s="4"/>
      <c r="V259" s="4"/>
      <c r="W259" s="4"/>
      <c r="X259" s="4"/>
      <c r="Y259" s="4"/>
    </row>
    <row r="260">
      <c r="A260" s="12">
        <v>259.0</v>
      </c>
      <c r="B260" s="11" t="s">
        <v>852</v>
      </c>
      <c r="C260" s="6" t="s">
        <v>853</v>
      </c>
      <c r="D260" s="11">
        <v>2018.0</v>
      </c>
      <c r="E260" s="11" t="s">
        <v>854</v>
      </c>
      <c r="F260" s="11" t="s">
        <v>14</v>
      </c>
      <c r="G260" s="11" t="s">
        <v>39</v>
      </c>
      <c r="H260" s="11" t="s">
        <v>1229</v>
      </c>
      <c r="I260" s="4"/>
      <c r="J260" s="4"/>
      <c r="K260" s="4"/>
      <c r="L260" s="4"/>
      <c r="M260" s="4"/>
      <c r="N260" s="4"/>
      <c r="O260" s="4"/>
      <c r="P260" s="4"/>
      <c r="Q260" s="4"/>
      <c r="R260" s="4"/>
      <c r="S260" s="4"/>
      <c r="T260" s="4"/>
      <c r="U260" s="4"/>
      <c r="V260" s="4"/>
      <c r="W260" s="4"/>
      <c r="X260" s="4"/>
      <c r="Y260" s="4"/>
    </row>
    <row r="261">
      <c r="A261" s="11">
        <v>260.0</v>
      </c>
      <c r="B261" s="11" t="s">
        <v>855</v>
      </c>
      <c r="C261" s="6" t="s">
        <v>856</v>
      </c>
      <c r="D261" s="11">
        <v>2016.0</v>
      </c>
      <c r="E261" s="11" t="s">
        <v>694</v>
      </c>
      <c r="F261" s="11" t="s">
        <v>14</v>
      </c>
      <c r="G261" s="11" t="s">
        <v>49</v>
      </c>
      <c r="H261" s="11" t="s">
        <v>1229</v>
      </c>
      <c r="I261" s="4"/>
      <c r="J261" s="4"/>
      <c r="K261" s="4"/>
      <c r="L261" s="4"/>
      <c r="M261" s="4"/>
      <c r="N261" s="4"/>
      <c r="O261" s="4"/>
      <c r="P261" s="4"/>
      <c r="Q261" s="4"/>
      <c r="R261" s="4"/>
      <c r="S261" s="4"/>
      <c r="T261" s="4"/>
      <c r="U261" s="4"/>
      <c r="V261" s="4"/>
      <c r="W261" s="4"/>
      <c r="X261" s="4"/>
      <c r="Y261" s="4"/>
    </row>
    <row r="262">
      <c r="A262" s="11">
        <v>261.0</v>
      </c>
      <c r="B262" s="11" t="s">
        <v>857</v>
      </c>
      <c r="C262" s="6" t="s">
        <v>858</v>
      </c>
      <c r="D262" s="11">
        <v>2018.0</v>
      </c>
      <c r="E262" s="11" t="s">
        <v>580</v>
      </c>
      <c r="F262" s="11" t="s">
        <v>14</v>
      </c>
      <c r="G262" s="11" t="s">
        <v>49</v>
      </c>
      <c r="H262" s="11" t="s">
        <v>1229</v>
      </c>
      <c r="I262" s="4"/>
      <c r="J262" s="4"/>
      <c r="K262" s="4"/>
      <c r="L262" s="4"/>
      <c r="M262" s="4"/>
      <c r="N262" s="4"/>
      <c r="O262" s="4"/>
      <c r="P262" s="4"/>
      <c r="Q262" s="4"/>
      <c r="R262" s="4"/>
      <c r="S262" s="4"/>
      <c r="T262" s="4"/>
      <c r="U262" s="4"/>
      <c r="V262" s="4"/>
      <c r="W262" s="4"/>
      <c r="X262" s="4"/>
      <c r="Y262" s="4"/>
    </row>
    <row r="263">
      <c r="A263" s="12">
        <v>262.0</v>
      </c>
      <c r="B263" s="11" t="s">
        <v>859</v>
      </c>
      <c r="C263" s="6" t="s">
        <v>860</v>
      </c>
      <c r="D263" s="11">
        <v>2017.0</v>
      </c>
      <c r="E263" s="11" t="s">
        <v>861</v>
      </c>
      <c r="F263" s="11" t="s">
        <v>14</v>
      </c>
      <c r="G263" s="11" t="s">
        <v>39</v>
      </c>
      <c r="H263" s="11" t="s">
        <v>1229</v>
      </c>
      <c r="I263" s="4"/>
      <c r="J263" s="4"/>
      <c r="K263" s="4"/>
      <c r="L263" s="4"/>
      <c r="M263" s="4"/>
      <c r="N263" s="4"/>
      <c r="O263" s="4"/>
      <c r="P263" s="4"/>
      <c r="Q263" s="4"/>
      <c r="R263" s="4"/>
      <c r="S263" s="4"/>
      <c r="T263" s="4"/>
      <c r="U263" s="4"/>
      <c r="V263" s="4"/>
      <c r="W263" s="4"/>
      <c r="X263" s="4"/>
      <c r="Y263" s="4"/>
    </row>
    <row r="264">
      <c r="A264" s="11">
        <v>263.0</v>
      </c>
      <c r="B264" s="11" t="s">
        <v>862</v>
      </c>
      <c r="C264" s="6" t="s">
        <v>863</v>
      </c>
      <c r="D264" s="11">
        <v>2020.0</v>
      </c>
      <c r="E264" s="11" t="s">
        <v>596</v>
      </c>
      <c r="F264" s="11" t="s">
        <v>14</v>
      </c>
      <c r="G264" s="11" t="s">
        <v>49</v>
      </c>
      <c r="H264" s="11" t="s">
        <v>1229</v>
      </c>
      <c r="I264" s="4"/>
      <c r="J264" s="4"/>
      <c r="K264" s="4"/>
      <c r="L264" s="4"/>
      <c r="M264" s="4"/>
      <c r="N264" s="4"/>
      <c r="O264" s="4"/>
      <c r="P264" s="4"/>
      <c r="Q264" s="4"/>
      <c r="R264" s="4"/>
      <c r="S264" s="4"/>
      <c r="T264" s="4"/>
      <c r="U264" s="4"/>
      <c r="V264" s="4"/>
      <c r="W264" s="4"/>
      <c r="X264" s="4"/>
      <c r="Y264" s="4"/>
    </row>
    <row r="265">
      <c r="A265" s="11">
        <v>264.0</v>
      </c>
      <c r="B265" s="11" t="s">
        <v>864</v>
      </c>
      <c r="C265" s="6" t="s">
        <v>865</v>
      </c>
      <c r="D265" s="11">
        <v>2018.0</v>
      </c>
      <c r="E265" s="11" t="s">
        <v>580</v>
      </c>
      <c r="F265" s="11" t="s">
        <v>14</v>
      </c>
      <c r="G265" s="11" t="s">
        <v>49</v>
      </c>
      <c r="H265" s="11" t="s">
        <v>1229</v>
      </c>
      <c r="I265" s="4"/>
      <c r="J265" s="4"/>
      <c r="K265" s="4"/>
      <c r="L265" s="4"/>
      <c r="M265" s="4"/>
      <c r="N265" s="4"/>
      <c r="O265" s="4"/>
      <c r="P265" s="4"/>
      <c r="Q265" s="4"/>
      <c r="R265" s="4"/>
      <c r="S265" s="4"/>
      <c r="T265" s="4"/>
      <c r="U265" s="4"/>
      <c r="V265" s="4"/>
      <c r="W265" s="4"/>
      <c r="X265" s="4"/>
      <c r="Y265" s="4"/>
    </row>
    <row r="266">
      <c r="A266" s="12">
        <v>265.0</v>
      </c>
      <c r="B266" s="11" t="s">
        <v>866</v>
      </c>
      <c r="C266" s="6" t="s">
        <v>867</v>
      </c>
      <c r="D266" s="11">
        <v>2019.0</v>
      </c>
      <c r="E266" s="11" t="s">
        <v>868</v>
      </c>
      <c r="F266" s="11" t="s">
        <v>14</v>
      </c>
      <c r="G266" s="11" t="s">
        <v>39</v>
      </c>
      <c r="H266" s="11" t="s">
        <v>1229</v>
      </c>
      <c r="I266" s="4"/>
      <c r="J266" s="4"/>
      <c r="K266" s="4"/>
      <c r="L266" s="4"/>
      <c r="M266" s="4"/>
      <c r="N266" s="4"/>
      <c r="O266" s="4"/>
      <c r="P266" s="4"/>
      <c r="Q266" s="4"/>
      <c r="R266" s="4"/>
      <c r="S266" s="4"/>
      <c r="T266" s="4"/>
      <c r="U266" s="4"/>
      <c r="V266" s="4"/>
      <c r="W266" s="4"/>
      <c r="X266" s="4"/>
      <c r="Y266" s="4"/>
    </row>
    <row r="267">
      <c r="A267" s="11">
        <v>266.0</v>
      </c>
      <c r="B267" s="11" t="s">
        <v>869</v>
      </c>
      <c r="C267" s="6" t="s">
        <v>870</v>
      </c>
      <c r="D267" s="11">
        <v>2019.0</v>
      </c>
      <c r="E267" s="11" t="s">
        <v>871</v>
      </c>
      <c r="F267" s="11" t="s">
        <v>14</v>
      </c>
      <c r="G267" s="11" t="s">
        <v>39</v>
      </c>
      <c r="H267" s="11" t="s">
        <v>1229</v>
      </c>
      <c r="I267" s="4"/>
      <c r="J267" s="4"/>
      <c r="K267" s="4"/>
      <c r="L267" s="4"/>
      <c r="M267" s="4"/>
      <c r="N267" s="4"/>
      <c r="O267" s="4"/>
      <c r="P267" s="4"/>
      <c r="Q267" s="4"/>
      <c r="R267" s="4"/>
      <c r="S267" s="4"/>
      <c r="T267" s="4"/>
      <c r="U267" s="4"/>
      <c r="V267" s="4"/>
      <c r="W267" s="4"/>
      <c r="X267" s="4"/>
      <c r="Y267" s="4"/>
    </row>
    <row r="268">
      <c r="A268" s="11">
        <v>267.0</v>
      </c>
      <c r="B268" s="11" t="s">
        <v>872</v>
      </c>
      <c r="C268" s="6" t="s">
        <v>873</v>
      </c>
      <c r="D268" s="11">
        <v>2022.0</v>
      </c>
      <c r="E268" s="11" t="s">
        <v>874</v>
      </c>
      <c r="F268" s="11" t="s">
        <v>14</v>
      </c>
      <c r="G268" s="11" t="s">
        <v>49</v>
      </c>
      <c r="H268" s="11" t="s">
        <v>1229</v>
      </c>
      <c r="I268" s="4"/>
      <c r="J268" s="4"/>
      <c r="K268" s="4"/>
      <c r="L268" s="4"/>
      <c r="M268" s="4"/>
      <c r="N268" s="4"/>
      <c r="O268" s="4"/>
      <c r="P268" s="4"/>
      <c r="Q268" s="4"/>
      <c r="R268" s="4"/>
      <c r="S268" s="4"/>
      <c r="T268" s="4"/>
      <c r="U268" s="4"/>
      <c r="V268" s="4"/>
      <c r="W268" s="4"/>
      <c r="X268" s="4"/>
      <c r="Y268" s="4"/>
    </row>
    <row r="269">
      <c r="A269" s="12">
        <v>268.0</v>
      </c>
      <c r="B269" s="11" t="s">
        <v>875</v>
      </c>
      <c r="C269" s="6" t="s">
        <v>876</v>
      </c>
      <c r="D269" s="11">
        <v>2016.0</v>
      </c>
      <c r="E269" s="11" t="s">
        <v>877</v>
      </c>
      <c r="F269" s="11" t="s">
        <v>14</v>
      </c>
      <c r="G269" s="11" t="s">
        <v>39</v>
      </c>
      <c r="H269" s="11" t="s">
        <v>1229</v>
      </c>
      <c r="I269" s="4"/>
      <c r="J269" s="4"/>
      <c r="K269" s="4"/>
      <c r="L269" s="4"/>
      <c r="M269" s="4"/>
      <c r="N269" s="4"/>
      <c r="O269" s="4"/>
      <c r="P269" s="4"/>
      <c r="Q269" s="4"/>
      <c r="R269" s="4"/>
      <c r="S269" s="4"/>
      <c r="T269" s="4"/>
      <c r="U269" s="4"/>
      <c r="V269" s="4"/>
      <c r="W269" s="4"/>
      <c r="X269" s="4"/>
      <c r="Y269" s="4"/>
    </row>
    <row r="270">
      <c r="A270" s="11">
        <v>269.0</v>
      </c>
      <c r="B270" s="11" t="s">
        <v>878</v>
      </c>
      <c r="C270" s="6" t="s">
        <v>879</v>
      </c>
      <c r="D270" s="11">
        <v>2018.0</v>
      </c>
      <c r="E270" s="11" t="s">
        <v>880</v>
      </c>
      <c r="F270" s="11" t="s">
        <v>16</v>
      </c>
      <c r="G270" s="11" t="s">
        <v>49</v>
      </c>
      <c r="H270" s="11" t="s">
        <v>1229</v>
      </c>
      <c r="I270" s="4"/>
      <c r="J270" s="4"/>
      <c r="K270" s="4"/>
      <c r="L270" s="4"/>
      <c r="M270" s="4"/>
      <c r="N270" s="4"/>
      <c r="O270" s="4"/>
      <c r="P270" s="4"/>
      <c r="Q270" s="4"/>
      <c r="R270" s="4"/>
      <c r="S270" s="4"/>
      <c r="T270" s="4"/>
      <c r="U270" s="4"/>
      <c r="V270" s="4"/>
      <c r="W270" s="4"/>
      <c r="X270" s="4"/>
      <c r="Y270" s="4"/>
    </row>
    <row r="271">
      <c r="A271" s="11">
        <v>270.0</v>
      </c>
      <c r="B271" s="11" t="s">
        <v>881</v>
      </c>
      <c r="C271" s="6" t="s">
        <v>882</v>
      </c>
      <c r="D271" s="11">
        <v>2018.0</v>
      </c>
      <c r="E271" s="11" t="s">
        <v>883</v>
      </c>
      <c r="F271" s="11" t="s">
        <v>16</v>
      </c>
      <c r="G271" s="11" t="s">
        <v>49</v>
      </c>
      <c r="H271" s="11" t="s">
        <v>1229</v>
      </c>
      <c r="I271" s="4"/>
      <c r="J271" s="4"/>
      <c r="K271" s="4"/>
      <c r="L271" s="4"/>
      <c r="M271" s="4"/>
      <c r="N271" s="4"/>
      <c r="O271" s="4"/>
      <c r="P271" s="4"/>
      <c r="Q271" s="4"/>
      <c r="R271" s="4"/>
      <c r="S271" s="4"/>
      <c r="T271" s="4"/>
      <c r="U271" s="4"/>
      <c r="V271" s="4"/>
      <c r="W271" s="4"/>
      <c r="X271" s="4"/>
      <c r="Y271" s="4"/>
    </row>
    <row r="272">
      <c r="A272" s="12">
        <v>271.0</v>
      </c>
      <c r="B272" s="11" t="s">
        <v>884</v>
      </c>
      <c r="C272" s="6" t="s">
        <v>885</v>
      </c>
      <c r="D272" s="11">
        <v>2023.0</v>
      </c>
      <c r="E272" s="11" t="s">
        <v>886</v>
      </c>
      <c r="F272" s="11" t="s">
        <v>16</v>
      </c>
      <c r="G272" s="11" t="s">
        <v>49</v>
      </c>
      <c r="H272" s="11" t="s">
        <v>1230</v>
      </c>
      <c r="I272" s="4"/>
      <c r="J272" s="4"/>
      <c r="K272" s="4"/>
      <c r="L272" s="4"/>
      <c r="M272" s="4"/>
      <c r="N272" s="4"/>
      <c r="O272" s="4"/>
      <c r="P272" s="4"/>
      <c r="Q272" s="4"/>
      <c r="R272" s="4"/>
      <c r="S272" s="4"/>
      <c r="T272" s="4"/>
      <c r="U272" s="4"/>
      <c r="V272" s="4"/>
      <c r="W272" s="4"/>
      <c r="X272" s="4"/>
      <c r="Y272" s="4"/>
    </row>
    <row r="273">
      <c r="A273" s="11">
        <v>272.0</v>
      </c>
      <c r="B273" s="11" t="s">
        <v>887</v>
      </c>
      <c r="C273" s="6" t="s">
        <v>888</v>
      </c>
      <c r="D273" s="11">
        <v>2026.0</v>
      </c>
      <c r="E273" s="11" t="s">
        <v>889</v>
      </c>
      <c r="F273" s="11" t="s">
        <v>16</v>
      </c>
      <c r="G273" s="11" t="s">
        <v>49</v>
      </c>
      <c r="H273" s="11" t="s">
        <v>1229</v>
      </c>
      <c r="I273" s="4"/>
      <c r="J273" s="4"/>
      <c r="K273" s="4"/>
      <c r="L273" s="4"/>
      <c r="M273" s="4"/>
      <c r="N273" s="4"/>
      <c r="O273" s="4"/>
      <c r="P273" s="4"/>
      <c r="Q273" s="4"/>
      <c r="R273" s="4"/>
      <c r="S273" s="4"/>
      <c r="T273" s="4"/>
      <c r="U273" s="4"/>
      <c r="V273" s="4"/>
      <c r="W273" s="4"/>
      <c r="X273" s="4"/>
      <c r="Y273" s="4"/>
    </row>
    <row r="274">
      <c r="A274" s="11">
        <v>273.0</v>
      </c>
      <c r="B274" s="11" t="s">
        <v>890</v>
      </c>
      <c r="C274" s="6" t="s">
        <v>891</v>
      </c>
      <c r="D274" s="11">
        <v>2022.0</v>
      </c>
      <c r="E274" s="11" t="s">
        <v>892</v>
      </c>
      <c r="F274" s="11" t="s">
        <v>16</v>
      </c>
      <c r="G274" s="11" t="s">
        <v>49</v>
      </c>
      <c r="H274" s="11" t="s">
        <v>1229</v>
      </c>
      <c r="I274" s="4"/>
      <c r="J274" s="4"/>
      <c r="K274" s="4"/>
      <c r="L274" s="4"/>
      <c r="M274" s="4"/>
      <c r="N274" s="4"/>
      <c r="O274" s="4"/>
      <c r="P274" s="4"/>
      <c r="Q274" s="4"/>
      <c r="R274" s="4"/>
      <c r="S274" s="4"/>
      <c r="T274" s="4"/>
      <c r="U274" s="4"/>
      <c r="V274" s="4"/>
      <c r="W274" s="4"/>
      <c r="X274" s="4"/>
      <c r="Y274" s="4"/>
    </row>
    <row r="275">
      <c r="A275" s="12">
        <v>274.0</v>
      </c>
      <c r="B275" s="11" t="s">
        <v>893</v>
      </c>
      <c r="C275" s="6" t="s">
        <v>894</v>
      </c>
      <c r="D275" s="11">
        <v>2024.0</v>
      </c>
      <c r="E275" s="11" t="s">
        <v>895</v>
      </c>
      <c r="F275" s="11" t="s">
        <v>16</v>
      </c>
      <c r="G275" s="11" t="s">
        <v>49</v>
      </c>
      <c r="H275" s="11" t="s">
        <v>1229</v>
      </c>
      <c r="I275" s="4"/>
      <c r="J275" s="4"/>
      <c r="K275" s="4"/>
      <c r="L275" s="4"/>
      <c r="M275" s="4"/>
      <c r="N275" s="4"/>
      <c r="O275" s="4"/>
      <c r="P275" s="4"/>
      <c r="Q275" s="4"/>
      <c r="R275" s="4"/>
      <c r="S275" s="4"/>
      <c r="T275" s="4"/>
      <c r="U275" s="4"/>
      <c r="V275" s="4"/>
      <c r="W275" s="4"/>
      <c r="X275" s="4"/>
      <c r="Y275" s="4"/>
    </row>
    <row r="276">
      <c r="A276" s="11">
        <v>275.0</v>
      </c>
      <c r="B276" s="11" t="s">
        <v>896</v>
      </c>
      <c r="C276" s="6" t="s">
        <v>897</v>
      </c>
      <c r="D276" s="11">
        <v>2019.0</v>
      </c>
      <c r="E276" s="11" t="s">
        <v>880</v>
      </c>
      <c r="F276" s="11" t="s">
        <v>16</v>
      </c>
      <c r="G276" s="11" t="s">
        <v>49</v>
      </c>
      <c r="H276" s="11" t="s">
        <v>1229</v>
      </c>
      <c r="I276" s="4"/>
      <c r="J276" s="4"/>
      <c r="K276" s="4"/>
      <c r="L276" s="4"/>
      <c r="M276" s="4"/>
      <c r="N276" s="4"/>
      <c r="O276" s="4"/>
      <c r="P276" s="4"/>
      <c r="Q276" s="4"/>
      <c r="R276" s="4"/>
      <c r="S276" s="4"/>
      <c r="T276" s="4"/>
      <c r="U276" s="4"/>
      <c r="V276" s="4"/>
      <c r="W276" s="4"/>
      <c r="X276" s="4"/>
      <c r="Y276" s="4"/>
    </row>
    <row r="277">
      <c r="A277" s="11">
        <v>276.0</v>
      </c>
      <c r="B277" s="11" t="s">
        <v>902</v>
      </c>
      <c r="C277" s="6" t="s">
        <v>903</v>
      </c>
      <c r="D277" s="11">
        <v>2020.0</v>
      </c>
      <c r="E277" s="11" t="s">
        <v>904</v>
      </c>
      <c r="F277" s="11" t="s">
        <v>16</v>
      </c>
      <c r="G277" s="11" t="s">
        <v>49</v>
      </c>
      <c r="H277" s="11" t="s">
        <v>1229</v>
      </c>
      <c r="I277" s="4"/>
      <c r="J277" s="4"/>
      <c r="K277" s="4"/>
      <c r="L277" s="4"/>
      <c r="M277" s="4"/>
      <c r="N277" s="4"/>
      <c r="O277" s="4"/>
      <c r="P277" s="4"/>
      <c r="Q277" s="4"/>
      <c r="R277" s="4"/>
      <c r="S277" s="4"/>
      <c r="T277" s="4"/>
      <c r="U277" s="4"/>
      <c r="V277" s="4"/>
      <c r="W277" s="4"/>
      <c r="X277" s="4"/>
      <c r="Y277" s="4"/>
    </row>
    <row r="278">
      <c r="A278" s="12">
        <v>277.0</v>
      </c>
      <c r="B278" s="11" t="s">
        <v>905</v>
      </c>
      <c r="C278" s="6" t="s">
        <v>906</v>
      </c>
      <c r="D278" s="11">
        <v>2024.0</v>
      </c>
      <c r="E278" s="11" t="s">
        <v>907</v>
      </c>
      <c r="F278" s="11" t="s">
        <v>16</v>
      </c>
      <c r="G278" s="11" t="s">
        <v>49</v>
      </c>
      <c r="H278" s="11" t="s">
        <v>1229</v>
      </c>
      <c r="I278" s="4"/>
      <c r="J278" s="4"/>
      <c r="K278" s="4"/>
      <c r="L278" s="4"/>
      <c r="M278" s="4"/>
      <c r="N278" s="4"/>
      <c r="O278" s="4"/>
      <c r="P278" s="4"/>
      <c r="Q278" s="4"/>
      <c r="R278" s="4"/>
      <c r="S278" s="4"/>
      <c r="T278" s="4"/>
      <c r="U278" s="4"/>
      <c r="V278" s="4"/>
      <c r="W278" s="4"/>
      <c r="X278" s="4"/>
      <c r="Y278" s="4"/>
    </row>
    <row r="279">
      <c r="A279" s="11">
        <v>278.0</v>
      </c>
      <c r="B279" s="11" t="s">
        <v>908</v>
      </c>
      <c r="C279" s="6" t="s">
        <v>909</v>
      </c>
      <c r="D279" s="11">
        <v>2020.0</v>
      </c>
      <c r="E279" s="11" t="s">
        <v>910</v>
      </c>
      <c r="F279" s="11" t="s">
        <v>16</v>
      </c>
      <c r="G279" s="11" t="s">
        <v>49</v>
      </c>
      <c r="H279" s="11" t="s">
        <v>1229</v>
      </c>
      <c r="I279" s="4"/>
      <c r="J279" s="4"/>
      <c r="K279" s="4"/>
      <c r="L279" s="4"/>
      <c r="M279" s="4"/>
      <c r="N279" s="4"/>
      <c r="O279" s="4"/>
      <c r="P279" s="4"/>
      <c r="Q279" s="4"/>
      <c r="R279" s="4"/>
      <c r="S279" s="4"/>
      <c r="T279" s="4"/>
      <c r="U279" s="4"/>
      <c r="V279" s="4"/>
      <c r="W279" s="4"/>
      <c r="X279" s="4"/>
      <c r="Y279" s="4"/>
    </row>
    <row r="280">
      <c r="A280" s="11">
        <v>279.0</v>
      </c>
      <c r="B280" s="11" t="s">
        <v>911</v>
      </c>
      <c r="C280" s="6" t="s">
        <v>912</v>
      </c>
      <c r="D280" s="11">
        <v>2024.0</v>
      </c>
      <c r="E280" s="11" t="s">
        <v>913</v>
      </c>
      <c r="F280" s="11" t="s">
        <v>16</v>
      </c>
      <c r="G280" s="11" t="s">
        <v>49</v>
      </c>
      <c r="H280" s="11" t="s">
        <v>1229</v>
      </c>
      <c r="I280" s="4"/>
      <c r="J280" s="4"/>
      <c r="K280" s="4"/>
      <c r="L280" s="4"/>
      <c r="M280" s="4"/>
      <c r="N280" s="4"/>
      <c r="O280" s="4"/>
      <c r="P280" s="4"/>
      <c r="Q280" s="4"/>
      <c r="R280" s="4"/>
      <c r="S280" s="4"/>
      <c r="T280" s="4"/>
      <c r="U280" s="4"/>
      <c r="V280" s="4"/>
      <c r="W280" s="4"/>
      <c r="X280" s="4"/>
      <c r="Y280" s="4"/>
    </row>
    <row r="281">
      <c r="A281" s="12">
        <v>280.0</v>
      </c>
      <c r="B281" s="11" t="s">
        <v>914</v>
      </c>
      <c r="C281" s="6" t="s">
        <v>915</v>
      </c>
      <c r="D281" s="11">
        <v>2025.0</v>
      </c>
      <c r="E281" s="11" t="s">
        <v>910</v>
      </c>
      <c r="F281" s="11" t="s">
        <v>16</v>
      </c>
      <c r="G281" s="11" t="s">
        <v>49</v>
      </c>
      <c r="H281" s="11" t="s">
        <v>1229</v>
      </c>
      <c r="I281" s="4"/>
      <c r="J281" s="4"/>
      <c r="K281" s="4"/>
      <c r="L281" s="4"/>
      <c r="M281" s="4"/>
      <c r="N281" s="4"/>
      <c r="O281" s="4"/>
      <c r="P281" s="4"/>
      <c r="Q281" s="4"/>
      <c r="R281" s="4"/>
      <c r="S281" s="4"/>
      <c r="T281" s="4"/>
      <c r="U281" s="4"/>
      <c r="V281" s="4"/>
      <c r="W281" s="4"/>
      <c r="X281" s="4"/>
      <c r="Y281" s="4"/>
    </row>
    <row r="282">
      <c r="A282" s="11">
        <v>281.0</v>
      </c>
      <c r="B282" s="11" t="s">
        <v>916</v>
      </c>
      <c r="C282" s="6" t="s">
        <v>917</v>
      </c>
      <c r="D282" s="11">
        <v>2022.0</v>
      </c>
      <c r="E282" s="11" t="s">
        <v>918</v>
      </c>
      <c r="F282" s="11" t="s">
        <v>16</v>
      </c>
      <c r="G282" s="11" t="s">
        <v>49</v>
      </c>
      <c r="H282" s="11" t="s">
        <v>1229</v>
      </c>
      <c r="I282" s="4"/>
      <c r="J282" s="4"/>
      <c r="K282" s="4"/>
      <c r="L282" s="4"/>
      <c r="M282" s="4"/>
      <c r="N282" s="4"/>
      <c r="O282" s="4"/>
      <c r="P282" s="4"/>
      <c r="Q282" s="4"/>
      <c r="R282" s="4"/>
      <c r="S282" s="4"/>
      <c r="T282" s="4"/>
      <c r="U282" s="4"/>
      <c r="V282" s="4"/>
      <c r="W282" s="4"/>
      <c r="X282" s="4"/>
      <c r="Y282" s="4"/>
    </row>
    <row r="283">
      <c r="A283" s="11">
        <v>282.0</v>
      </c>
      <c r="B283" s="11" t="s">
        <v>919</v>
      </c>
      <c r="C283" s="6" t="s">
        <v>920</v>
      </c>
      <c r="D283" s="11">
        <v>2024.0</v>
      </c>
      <c r="E283" s="11" t="s">
        <v>921</v>
      </c>
      <c r="F283" s="11" t="s">
        <v>16</v>
      </c>
      <c r="G283" s="11" t="s">
        <v>49</v>
      </c>
      <c r="H283" s="11" t="s">
        <v>1229</v>
      </c>
      <c r="I283" s="4"/>
      <c r="J283" s="4"/>
      <c r="K283" s="4"/>
      <c r="L283" s="4"/>
      <c r="M283" s="4"/>
      <c r="N283" s="4"/>
      <c r="O283" s="4"/>
      <c r="P283" s="4"/>
      <c r="Q283" s="4"/>
      <c r="R283" s="4"/>
      <c r="S283" s="4"/>
      <c r="T283" s="4"/>
      <c r="U283" s="4"/>
      <c r="V283" s="4"/>
      <c r="W283" s="4"/>
      <c r="X283" s="4"/>
      <c r="Y283" s="4"/>
    </row>
    <row r="284">
      <c r="A284" s="12">
        <v>283.0</v>
      </c>
      <c r="B284" s="11" t="s">
        <v>928</v>
      </c>
      <c r="C284" s="6" t="s">
        <v>929</v>
      </c>
      <c r="D284" s="11">
        <v>2017.0</v>
      </c>
      <c r="E284" s="11" t="s">
        <v>930</v>
      </c>
      <c r="F284" s="11" t="s">
        <v>18</v>
      </c>
      <c r="G284" s="11" t="s">
        <v>49</v>
      </c>
      <c r="H284" s="11" t="s">
        <v>1230</v>
      </c>
      <c r="I284" s="4"/>
      <c r="J284" s="4"/>
      <c r="K284" s="4"/>
      <c r="L284" s="4"/>
      <c r="M284" s="4"/>
      <c r="N284" s="4"/>
      <c r="O284" s="4"/>
      <c r="P284" s="4"/>
      <c r="Q284" s="4"/>
      <c r="R284" s="4"/>
      <c r="S284" s="4"/>
      <c r="T284" s="4"/>
      <c r="U284" s="4"/>
      <c r="V284" s="4"/>
      <c r="W284" s="4"/>
      <c r="X284" s="4"/>
      <c r="Y284" s="4"/>
    </row>
    <row r="285">
      <c r="A285" s="11">
        <v>284.0</v>
      </c>
      <c r="B285" s="11" t="s">
        <v>931</v>
      </c>
      <c r="C285" s="6" t="s">
        <v>932</v>
      </c>
      <c r="D285" s="11">
        <v>2023.0</v>
      </c>
      <c r="E285" s="11" t="s">
        <v>933</v>
      </c>
      <c r="F285" s="11" t="s">
        <v>18</v>
      </c>
      <c r="G285" s="11" t="s">
        <v>49</v>
      </c>
      <c r="H285" s="11" t="s">
        <v>1229</v>
      </c>
      <c r="I285" s="4"/>
      <c r="J285" s="4"/>
      <c r="K285" s="4"/>
      <c r="L285" s="4"/>
      <c r="M285" s="4"/>
      <c r="N285" s="4"/>
      <c r="O285" s="4"/>
      <c r="P285" s="4"/>
      <c r="Q285" s="4"/>
      <c r="R285" s="4"/>
      <c r="S285" s="4"/>
      <c r="T285" s="4"/>
      <c r="U285" s="4"/>
      <c r="V285" s="4"/>
      <c r="W285" s="4"/>
      <c r="X285" s="4"/>
      <c r="Y285" s="4"/>
    </row>
    <row r="286">
      <c r="A286" s="11">
        <v>285.0</v>
      </c>
      <c r="B286" s="11" t="s">
        <v>934</v>
      </c>
      <c r="C286" s="6" t="s">
        <v>935</v>
      </c>
      <c r="D286" s="11">
        <v>2025.0</v>
      </c>
      <c r="E286" s="11" t="s">
        <v>936</v>
      </c>
      <c r="F286" s="11" t="s">
        <v>18</v>
      </c>
      <c r="G286" s="11" t="s">
        <v>49</v>
      </c>
      <c r="H286" s="11" t="s">
        <v>1230</v>
      </c>
      <c r="I286" s="4"/>
      <c r="J286" s="4"/>
      <c r="K286" s="4"/>
      <c r="L286" s="4"/>
      <c r="M286" s="4"/>
      <c r="N286" s="4"/>
      <c r="O286" s="4"/>
      <c r="P286" s="4"/>
      <c r="Q286" s="4"/>
      <c r="R286" s="4"/>
      <c r="S286" s="4"/>
      <c r="T286" s="4"/>
      <c r="U286" s="4"/>
      <c r="V286" s="4"/>
      <c r="W286" s="4"/>
      <c r="X286" s="4"/>
      <c r="Y286" s="4"/>
    </row>
    <row r="287">
      <c r="A287" s="12">
        <v>286.0</v>
      </c>
      <c r="B287" s="11" t="s">
        <v>937</v>
      </c>
      <c r="C287" s="6" t="s">
        <v>938</v>
      </c>
      <c r="D287" s="11">
        <v>2025.0</v>
      </c>
      <c r="E287" s="11" t="s">
        <v>939</v>
      </c>
      <c r="F287" s="11" t="s">
        <v>18</v>
      </c>
      <c r="G287" s="11" t="s">
        <v>49</v>
      </c>
      <c r="H287" s="11" t="s">
        <v>1229</v>
      </c>
      <c r="I287" s="4"/>
      <c r="J287" s="4"/>
      <c r="K287" s="4"/>
      <c r="L287" s="4"/>
      <c r="M287" s="4"/>
      <c r="N287" s="4"/>
      <c r="O287" s="4"/>
      <c r="P287" s="4"/>
      <c r="Q287" s="4"/>
      <c r="R287" s="4"/>
      <c r="S287" s="4"/>
      <c r="T287" s="4"/>
      <c r="U287" s="4"/>
      <c r="V287" s="4"/>
      <c r="W287" s="4"/>
      <c r="X287" s="4"/>
      <c r="Y287" s="4"/>
    </row>
    <row r="288">
      <c r="A288" s="11">
        <v>287.0</v>
      </c>
      <c r="B288" s="11" t="s">
        <v>942</v>
      </c>
      <c r="C288" s="6" t="s">
        <v>943</v>
      </c>
      <c r="D288" s="11">
        <v>2022.0</v>
      </c>
      <c r="E288" s="11" t="s">
        <v>944</v>
      </c>
      <c r="F288" s="11" t="s">
        <v>18</v>
      </c>
      <c r="G288" s="11" t="s">
        <v>49</v>
      </c>
      <c r="H288" s="11" t="s">
        <v>1229</v>
      </c>
      <c r="I288" s="4"/>
      <c r="J288" s="4"/>
      <c r="K288" s="4"/>
      <c r="L288" s="4"/>
      <c r="M288" s="4"/>
      <c r="N288" s="4"/>
      <c r="O288" s="4"/>
      <c r="P288" s="4"/>
      <c r="Q288" s="4"/>
      <c r="R288" s="4"/>
      <c r="S288" s="4"/>
      <c r="T288" s="4"/>
      <c r="U288" s="4"/>
      <c r="V288" s="4"/>
      <c r="W288" s="4"/>
      <c r="X288" s="4"/>
      <c r="Y288" s="4"/>
    </row>
    <row r="289">
      <c r="A289" s="11">
        <v>288.0</v>
      </c>
      <c r="B289" s="11" t="s">
        <v>948</v>
      </c>
      <c r="C289" s="6" t="s">
        <v>949</v>
      </c>
      <c r="D289" s="11">
        <v>2015.0</v>
      </c>
      <c r="E289" s="11" t="s">
        <v>950</v>
      </c>
      <c r="F289" s="11" t="s">
        <v>18</v>
      </c>
      <c r="G289" s="11" t="s">
        <v>49</v>
      </c>
      <c r="H289" s="11" t="s">
        <v>1229</v>
      </c>
      <c r="I289" s="4"/>
      <c r="J289" s="4"/>
      <c r="K289" s="4"/>
      <c r="L289" s="4"/>
      <c r="M289" s="4"/>
      <c r="N289" s="4"/>
      <c r="O289" s="4"/>
      <c r="P289" s="4"/>
      <c r="Q289" s="4"/>
      <c r="R289" s="4"/>
      <c r="S289" s="4"/>
      <c r="T289" s="4"/>
      <c r="U289" s="4"/>
      <c r="V289" s="4"/>
      <c r="W289" s="4"/>
      <c r="X289" s="4"/>
      <c r="Y289" s="4"/>
    </row>
    <row r="290">
      <c r="A290" s="12">
        <v>289.0</v>
      </c>
      <c r="B290" s="11" t="s">
        <v>953</v>
      </c>
      <c r="C290" s="6" t="s">
        <v>954</v>
      </c>
      <c r="D290" s="11">
        <v>2021.0</v>
      </c>
      <c r="E290" s="11" t="s">
        <v>955</v>
      </c>
      <c r="F290" s="11" t="s">
        <v>18</v>
      </c>
      <c r="G290" s="11" t="s">
        <v>49</v>
      </c>
      <c r="H290" s="11" t="s">
        <v>1229</v>
      </c>
      <c r="I290" s="4"/>
      <c r="J290" s="4"/>
      <c r="K290" s="4"/>
      <c r="L290" s="4"/>
      <c r="M290" s="4"/>
      <c r="N290" s="4"/>
      <c r="O290" s="4"/>
      <c r="P290" s="4"/>
      <c r="Q290" s="4"/>
      <c r="R290" s="4"/>
      <c r="S290" s="4"/>
      <c r="T290" s="4"/>
      <c r="U290" s="4"/>
      <c r="V290" s="4"/>
      <c r="W290" s="4"/>
      <c r="X290" s="4"/>
      <c r="Y290" s="4"/>
    </row>
    <row r="291">
      <c r="A291" s="11">
        <v>290.0</v>
      </c>
      <c r="B291" s="11" t="s">
        <v>956</v>
      </c>
      <c r="C291" s="6" t="s">
        <v>957</v>
      </c>
      <c r="D291" s="11">
        <v>2021.0</v>
      </c>
      <c r="E291" s="11" t="s">
        <v>958</v>
      </c>
      <c r="F291" s="11" t="s">
        <v>18</v>
      </c>
      <c r="G291" s="11" t="s">
        <v>49</v>
      </c>
      <c r="H291" s="11" t="s">
        <v>1229</v>
      </c>
      <c r="I291" s="4"/>
      <c r="J291" s="4"/>
      <c r="K291" s="4"/>
      <c r="L291" s="4"/>
      <c r="M291" s="4"/>
      <c r="N291" s="4"/>
      <c r="O291" s="4"/>
      <c r="P291" s="4"/>
      <c r="Q291" s="4"/>
      <c r="R291" s="4"/>
      <c r="S291" s="4"/>
      <c r="T291" s="4"/>
      <c r="U291" s="4"/>
      <c r="V291" s="4"/>
      <c r="W291" s="4"/>
      <c r="X291" s="4"/>
      <c r="Y291" s="4"/>
    </row>
    <row r="292">
      <c r="A292" s="11">
        <v>291.0</v>
      </c>
      <c r="B292" s="11" t="s">
        <v>959</v>
      </c>
      <c r="C292" s="6" t="s">
        <v>960</v>
      </c>
      <c r="D292" s="11">
        <v>2020.0</v>
      </c>
      <c r="E292" s="11" t="s">
        <v>961</v>
      </c>
      <c r="F292" s="11" t="s">
        <v>18</v>
      </c>
      <c r="G292" s="11" t="s">
        <v>49</v>
      </c>
      <c r="H292" s="11" t="s">
        <v>1229</v>
      </c>
      <c r="I292" s="4"/>
      <c r="J292" s="4"/>
      <c r="K292" s="4"/>
      <c r="L292" s="4"/>
      <c r="M292" s="4"/>
      <c r="N292" s="4"/>
      <c r="O292" s="4"/>
      <c r="P292" s="4"/>
      <c r="Q292" s="4"/>
      <c r="R292" s="4"/>
      <c r="S292" s="4"/>
      <c r="T292" s="4"/>
      <c r="U292" s="4"/>
      <c r="V292" s="4"/>
      <c r="W292" s="4"/>
      <c r="X292" s="4"/>
      <c r="Y292" s="4"/>
    </row>
    <row r="293">
      <c r="A293" s="12">
        <v>292.0</v>
      </c>
      <c r="B293" s="11" t="s">
        <v>962</v>
      </c>
      <c r="C293" s="6" t="s">
        <v>963</v>
      </c>
      <c r="D293" s="11">
        <v>2025.0</v>
      </c>
      <c r="E293" s="11" t="s">
        <v>964</v>
      </c>
      <c r="F293" s="11" t="s">
        <v>18</v>
      </c>
      <c r="G293" s="11" t="s">
        <v>49</v>
      </c>
      <c r="H293" s="11" t="s">
        <v>1230</v>
      </c>
      <c r="I293" s="4"/>
      <c r="J293" s="4"/>
      <c r="K293" s="4"/>
      <c r="L293" s="4"/>
      <c r="M293" s="4"/>
      <c r="N293" s="4"/>
      <c r="O293" s="4"/>
      <c r="P293" s="4"/>
      <c r="Q293" s="4"/>
      <c r="R293" s="4"/>
      <c r="S293" s="4"/>
      <c r="T293" s="4"/>
      <c r="U293" s="4"/>
      <c r="V293" s="4"/>
      <c r="W293" s="4"/>
      <c r="X293" s="4"/>
      <c r="Y293" s="4"/>
    </row>
    <row r="294">
      <c r="A294" s="11">
        <v>293.0</v>
      </c>
      <c r="B294" s="11" t="s">
        <v>965</v>
      </c>
      <c r="C294" s="6" t="s">
        <v>966</v>
      </c>
      <c r="D294" s="11">
        <v>2025.0</v>
      </c>
      <c r="E294" s="11" t="s">
        <v>967</v>
      </c>
      <c r="F294" s="11" t="s">
        <v>18</v>
      </c>
      <c r="G294" s="11" t="s">
        <v>49</v>
      </c>
      <c r="H294" s="11" t="s">
        <v>1230</v>
      </c>
      <c r="I294" s="4"/>
      <c r="J294" s="4"/>
      <c r="K294" s="4"/>
      <c r="L294" s="4"/>
      <c r="M294" s="4"/>
      <c r="N294" s="4"/>
      <c r="O294" s="4"/>
      <c r="P294" s="4"/>
      <c r="Q294" s="4"/>
      <c r="R294" s="4"/>
      <c r="S294" s="4"/>
      <c r="T294" s="4"/>
      <c r="U294" s="4"/>
      <c r="V294" s="4"/>
      <c r="W294" s="4"/>
      <c r="X294" s="4"/>
      <c r="Y294" s="4"/>
    </row>
    <row r="295">
      <c r="A295" s="11">
        <v>294.0</v>
      </c>
      <c r="B295" s="11" t="s">
        <v>970</v>
      </c>
      <c r="C295" s="6" t="s">
        <v>971</v>
      </c>
      <c r="D295" s="11">
        <v>2021.0</v>
      </c>
      <c r="E295" s="11" t="s">
        <v>930</v>
      </c>
      <c r="F295" s="11" t="s">
        <v>18</v>
      </c>
      <c r="G295" s="11" t="s">
        <v>49</v>
      </c>
      <c r="H295" s="11" t="s">
        <v>1229</v>
      </c>
      <c r="I295" s="4"/>
      <c r="J295" s="4"/>
      <c r="K295" s="4"/>
      <c r="L295" s="4"/>
      <c r="M295" s="4"/>
      <c r="N295" s="4"/>
      <c r="O295" s="4"/>
      <c r="P295" s="4"/>
      <c r="Q295" s="4"/>
      <c r="R295" s="4"/>
      <c r="S295" s="4"/>
      <c r="T295" s="4"/>
      <c r="U295" s="4"/>
      <c r="V295" s="4"/>
      <c r="W295" s="4"/>
      <c r="X295" s="4"/>
      <c r="Y295" s="4"/>
    </row>
    <row r="296">
      <c r="A296" s="12">
        <v>295.0</v>
      </c>
      <c r="B296" s="11" t="s">
        <v>972</v>
      </c>
      <c r="C296" s="6" t="s">
        <v>973</v>
      </c>
      <c r="D296" s="11">
        <v>2020.0</v>
      </c>
      <c r="E296" s="11" t="s">
        <v>967</v>
      </c>
      <c r="F296" s="11" t="s">
        <v>18</v>
      </c>
      <c r="G296" s="11" t="s">
        <v>49</v>
      </c>
      <c r="H296" s="11" t="s">
        <v>1229</v>
      </c>
      <c r="I296" s="4"/>
      <c r="J296" s="4"/>
      <c r="K296" s="4"/>
      <c r="L296" s="4"/>
      <c r="M296" s="4"/>
      <c r="N296" s="4"/>
      <c r="O296" s="4"/>
      <c r="P296" s="4"/>
      <c r="Q296" s="4"/>
      <c r="R296" s="4"/>
      <c r="S296" s="4"/>
      <c r="T296" s="4"/>
      <c r="U296" s="4"/>
      <c r="V296" s="4"/>
      <c r="W296" s="4"/>
      <c r="X296" s="4"/>
      <c r="Y296" s="4"/>
    </row>
    <row r="297">
      <c r="A297" s="11">
        <v>296.0</v>
      </c>
      <c r="B297" s="11" t="s">
        <v>974</v>
      </c>
      <c r="C297" s="6" t="s">
        <v>975</v>
      </c>
      <c r="D297" s="11">
        <v>2022.0</v>
      </c>
      <c r="E297" s="11" t="s">
        <v>976</v>
      </c>
      <c r="F297" s="11" t="s">
        <v>18</v>
      </c>
      <c r="G297" s="11" t="s">
        <v>49</v>
      </c>
      <c r="H297" s="11" t="s">
        <v>1229</v>
      </c>
      <c r="I297" s="4"/>
      <c r="J297" s="4"/>
      <c r="K297" s="4"/>
      <c r="L297" s="4"/>
      <c r="M297" s="4"/>
      <c r="N297" s="4"/>
      <c r="O297" s="4"/>
      <c r="P297" s="4"/>
      <c r="Q297" s="4"/>
      <c r="R297" s="4"/>
      <c r="S297" s="4"/>
      <c r="T297" s="4"/>
      <c r="U297" s="4"/>
      <c r="V297" s="4"/>
      <c r="W297" s="4"/>
      <c r="X297" s="4"/>
      <c r="Y297" s="4"/>
    </row>
    <row r="298">
      <c r="A298" s="11">
        <v>297.0</v>
      </c>
      <c r="B298" s="11" t="s">
        <v>977</v>
      </c>
      <c r="C298" s="6" t="s">
        <v>978</v>
      </c>
      <c r="D298" s="11">
        <v>2022.0</v>
      </c>
      <c r="E298" s="11" t="s">
        <v>979</v>
      </c>
      <c r="F298" s="11" t="s">
        <v>18</v>
      </c>
      <c r="G298" s="11" t="s">
        <v>49</v>
      </c>
      <c r="H298" s="11" t="s">
        <v>1229</v>
      </c>
      <c r="I298" s="4"/>
      <c r="J298" s="4"/>
      <c r="K298" s="4"/>
      <c r="L298" s="4"/>
      <c r="M298" s="4"/>
      <c r="N298" s="4"/>
      <c r="O298" s="4"/>
      <c r="P298" s="4"/>
      <c r="Q298" s="4"/>
      <c r="R298" s="4"/>
      <c r="S298" s="4"/>
      <c r="T298" s="4"/>
      <c r="U298" s="4"/>
      <c r="V298" s="4"/>
      <c r="W298" s="4"/>
      <c r="X298" s="4"/>
      <c r="Y298" s="4"/>
    </row>
    <row r="299">
      <c r="A299" s="12">
        <v>298.0</v>
      </c>
      <c r="B299" s="11" t="s">
        <v>980</v>
      </c>
      <c r="C299" s="6" t="s">
        <v>981</v>
      </c>
      <c r="D299" s="11">
        <v>2021.0</v>
      </c>
      <c r="E299" s="11" t="s">
        <v>982</v>
      </c>
      <c r="F299" s="11" t="s">
        <v>18</v>
      </c>
      <c r="G299" s="11" t="s">
        <v>49</v>
      </c>
      <c r="H299" s="11" t="s">
        <v>1229</v>
      </c>
      <c r="I299" s="4"/>
      <c r="J299" s="4"/>
      <c r="K299" s="4"/>
      <c r="L299" s="4"/>
      <c r="M299" s="4"/>
      <c r="N299" s="4"/>
      <c r="O299" s="4"/>
      <c r="P299" s="4"/>
      <c r="Q299" s="4"/>
      <c r="R299" s="4"/>
      <c r="S299" s="4"/>
      <c r="T299" s="4"/>
      <c r="U299" s="4"/>
      <c r="V299" s="4"/>
      <c r="W299" s="4"/>
      <c r="X299" s="4"/>
      <c r="Y299" s="4"/>
    </row>
    <row r="300">
      <c r="A300" s="11">
        <v>299.0</v>
      </c>
      <c r="B300" s="11" t="s">
        <v>983</v>
      </c>
      <c r="C300" s="6" t="s">
        <v>984</v>
      </c>
      <c r="D300" s="11">
        <v>2022.0</v>
      </c>
      <c r="E300" s="11" t="s">
        <v>985</v>
      </c>
      <c r="F300" s="11" t="s">
        <v>18</v>
      </c>
      <c r="G300" s="11" t="s">
        <v>49</v>
      </c>
      <c r="H300" s="11" t="s">
        <v>1229</v>
      </c>
      <c r="I300" s="4"/>
      <c r="J300" s="4"/>
      <c r="K300" s="4"/>
      <c r="L300" s="4"/>
      <c r="M300" s="4"/>
      <c r="N300" s="4"/>
      <c r="O300" s="4"/>
      <c r="P300" s="4"/>
      <c r="Q300" s="4"/>
      <c r="R300" s="4"/>
      <c r="S300" s="4"/>
      <c r="T300" s="4"/>
      <c r="U300" s="4"/>
      <c r="V300" s="4"/>
      <c r="W300" s="4"/>
      <c r="X300" s="4"/>
      <c r="Y300" s="4"/>
    </row>
    <row r="301">
      <c r="A301" s="11">
        <v>300.0</v>
      </c>
      <c r="B301" s="11" t="s">
        <v>990</v>
      </c>
      <c r="C301" s="6" t="s">
        <v>991</v>
      </c>
      <c r="D301" s="11">
        <v>2022.0</v>
      </c>
      <c r="E301" s="11" t="s">
        <v>964</v>
      </c>
      <c r="F301" s="11" t="s">
        <v>18</v>
      </c>
      <c r="G301" s="11" t="s">
        <v>49</v>
      </c>
      <c r="H301" s="11" t="s">
        <v>1229</v>
      </c>
      <c r="I301" s="4"/>
      <c r="J301" s="4"/>
      <c r="K301" s="4"/>
      <c r="L301" s="4"/>
      <c r="M301" s="4"/>
      <c r="N301" s="4"/>
      <c r="O301" s="4"/>
      <c r="P301" s="4"/>
      <c r="Q301" s="4"/>
      <c r="R301" s="4"/>
      <c r="S301" s="4"/>
      <c r="T301" s="4"/>
      <c r="U301" s="4"/>
      <c r="V301" s="4"/>
      <c r="W301" s="4"/>
      <c r="X301" s="4"/>
      <c r="Y301" s="4"/>
    </row>
    <row r="302">
      <c r="A302" s="12">
        <v>301.0</v>
      </c>
      <c r="B302" s="11" t="s">
        <v>992</v>
      </c>
      <c r="C302" s="6" t="s">
        <v>993</v>
      </c>
      <c r="D302" s="11">
        <v>2018.0</v>
      </c>
      <c r="E302" s="11" t="s">
        <v>947</v>
      </c>
      <c r="F302" s="11" t="s">
        <v>18</v>
      </c>
      <c r="G302" s="11" t="s">
        <v>49</v>
      </c>
      <c r="H302" s="11" t="s">
        <v>1229</v>
      </c>
      <c r="I302" s="4"/>
      <c r="J302" s="4"/>
      <c r="K302" s="4"/>
      <c r="L302" s="4"/>
      <c r="M302" s="4"/>
      <c r="N302" s="4"/>
      <c r="O302" s="4"/>
      <c r="P302" s="4"/>
      <c r="Q302" s="4"/>
      <c r="R302" s="4"/>
      <c r="S302" s="4"/>
      <c r="T302" s="4"/>
      <c r="U302" s="4"/>
      <c r="V302" s="4"/>
      <c r="W302" s="4"/>
      <c r="X302" s="4"/>
      <c r="Y302" s="4"/>
    </row>
    <row r="303">
      <c r="A303" s="11">
        <v>302.0</v>
      </c>
      <c r="B303" s="11" t="s">
        <v>994</v>
      </c>
      <c r="C303" s="6" t="s">
        <v>995</v>
      </c>
      <c r="D303" s="11">
        <v>2021.0</v>
      </c>
      <c r="E303" s="11" t="s">
        <v>930</v>
      </c>
      <c r="F303" s="11" t="s">
        <v>18</v>
      </c>
      <c r="G303" s="11" t="s">
        <v>49</v>
      </c>
      <c r="H303" s="11" t="s">
        <v>1229</v>
      </c>
      <c r="I303" s="4"/>
      <c r="J303" s="4"/>
      <c r="K303" s="4"/>
      <c r="L303" s="4"/>
      <c r="M303" s="4"/>
      <c r="N303" s="4"/>
      <c r="O303" s="4"/>
      <c r="P303" s="4"/>
      <c r="Q303" s="4"/>
      <c r="R303" s="4"/>
      <c r="S303" s="4"/>
      <c r="T303" s="4"/>
      <c r="U303" s="4"/>
      <c r="V303" s="4"/>
      <c r="W303" s="4"/>
      <c r="X303" s="4"/>
      <c r="Y303" s="4"/>
    </row>
    <row r="304">
      <c r="A304" s="11">
        <v>303.0</v>
      </c>
      <c r="B304" s="11" t="s">
        <v>999</v>
      </c>
      <c r="C304" s="6" t="s">
        <v>1000</v>
      </c>
      <c r="D304" s="11">
        <v>2019.0</v>
      </c>
      <c r="E304" s="11" t="s">
        <v>1001</v>
      </c>
      <c r="F304" s="11" t="s">
        <v>18</v>
      </c>
      <c r="G304" s="11" t="s">
        <v>49</v>
      </c>
      <c r="H304" s="11" t="s">
        <v>1229</v>
      </c>
      <c r="I304" s="4"/>
      <c r="J304" s="4"/>
      <c r="K304" s="4"/>
      <c r="L304" s="4"/>
      <c r="M304" s="4"/>
      <c r="N304" s="4"/>
      <c r="O304" s="4"/>
      <c r="P304" s="4"/>
      <c r="Q304" s="4"/>
      <c r="R304" s="4"/>
      <c r="S304" s="4"/>
      <c r="T304" s="4"/>
      <c r="U304" s="4"/>
      <c r="V304" s="4"/>
      <c r="W304" s="4"/>
      <c r="X304" s="4"/>
      <c r="Y304" s="4"/>
    </row>
    <row r="305">
      <c r="A305" s="12">
        <v>304.0</v>
      </c>
      <c r="B305" s="11" t="s">
        <v>1002</v>
      </c>
      <c r="C305" s="6" t="s">
        <v>1003</v>
      </c>
      <c r="D305" s="11">
        <v>2023.0</v>
      </c>
      <c r="E305" s="11" t="s">
        <v>958</v>
      </c>
      <c r="F305" s="11" t="s">
        <v>18</v>
      </c>
      <c r="G305" s="11" t="s">
        <v>49</v>
      </c>
      <c r="H305" s="11" t="s">
        <v>1230</v>
      </c>
      <c r="I305" s="4"/>
      <c r="J305" s="4"/>
      <c r="K305" s="4"/>
      <c r="L305" s="4"/>
      <c r="M305" s="4"/>
      <c r="N305" s="4"/>
      <c r="O305" s="4"/>
      <c r="P305" s="4"/>
      <c r="Q305" s="4"/>
      <c r="R305" s="4"/>
      <c r="S305" s="4"/>
      <c r="T305" s="4"/>
      <c r="U305" s="4"/>
      <c r="V305" s="4"/>
      <c r="W305" s="4"/>
      <c r="X305" s="4"/>
      <c r="Y305" s="4"/>
    </row>
    <row r="306">
      <c r="A306" s="11">
        <v>305.0</v>
      </c>
      <c r="B306" s="11" t="s">
        <v>1004</v>
      </c>
      <c r="C306" s="6" t="s">
        <v>1005</v>
      </c>
      <c r="D306" s="11">
        <v>2022.0</v>
      </c>
      <c r="E306" s="11" t="s">
        <v>930</v>
      </c>
      <c r="F306" s="11" t="s">
        <v>18</v>
      </c>
      <c r="G306" s="11" t="s">
        <v>49</v>
      </c>
      <c r="H306" s="11" t="s">
        <v>1229</v>
      </c>
      <c r="I306" s="4"/>
      <c r="J306" s="4"/>
      <c r="K306" s="4"/>
      <c r="L306" s="4"/>
      <c r="M306" s="4"/>
      <c r="N306" s="4"/>
      <c r="O306" s="4"/>
      <c r="P306" s="4"/>
      <c r="Q306" s="4"/>
      <c r="R306" s="4"/>
      <c r="S306" s="4"/>
      <c r="T306" s="4"/>
      <c r="U306" s="4"/>
      <c r="V306" s="4"/>
      <c r="W306" s="4"/>
      <c r="X306" s="4"/>
      <c r="Y306" s="4"/>
    </row>
    <row r="307">
      <c r="A307" s="11">
        <v>306.0</v>
      </c>
      <c r="B307" s="11" t="s">
        <v>1006</v>
      </c>
      <c r="C307" s="6" t="s">
        <v>1007</v>
      </c>
      <c r="D307" s="11">
        <v>2019.0</v>
      </c>
      <c r="E307" s="11" t="s">
        <v>930</v>
      </c>
      <c r="F307" s="11" t="s">
        <v>18</v>
      </c>
      <c r="G307" s="11" t="s">
        <v>49</v>
      </c>
      <c r="H307" s="11" t="s">
        <v>1229</v>
      </c>
      <c r="I307" s="4"/>
      <c r="J307" s="4"/>
      <c r="K307" s="4"/>
      <c r="L307" s="4"/>
      <c r="M307" s="4"/>
      <c r="N307" s="4"/>
      <c r="O307" s="4"/>
      <c r="P307" s="4"/>
      <c r="Q307" s="4"/>
      <c r="R307" s="4"/>
      <c r="S307" s="4"/>
      <c r="T307" s="4"/>
      <c r="U307" s="4"/>
      <c r="V307" s="4"/>
      <c r="W307" s="4"/>
      <c r="X307" s="4"/>
      <c r="Y307" s="4"/>
    </row>
    <row r="308">
      <c r="A308" s="12">
        <v>307.0</v>
      </c>
      <c r="B308" s="11" t="s">
        <v>1008</v>
      </c>
      <c r="C308" s="6" t="s">
        <v>1009</v>
      </c>
      <c r="D308" s="11">
        <v>2023.0</v>
      </c>
      <c r="E308" s="11" t="s">
        <v>958</v>
      </c>
      <c r="F308" s="11" t="s">
        <v>18</v>
      </c>
      <c r="G308" s="11" t="s">
        <v>49</v>
      </c>
      <c r="H308" s="11" t="s">
        <v>1229</v>
      </c>
      <c r="I308" s="4"/>
      <c r="J308" s="4"/>
      <c r="K308" s="4"/>
      <c r="L308" s="4"/>
      <c r="M308" s="4"/>
      <c r="N308" s="4"/>
      <c r="O308" s="4"/>
      <c r="P308" s="4"/>
      <c r="Q308" s="4"/>
      <c r="R308" s="4"/>
      <c r="S308" s="4"/>
      <c r="T308" s="4"/>
      <c r="U308" s="4"/>
      <c r="V308" s="4"/>
      <c r="W308" s="4"/>
      <c r="X308" s="4"/>
      <c r="Y308" s="4"/>
    </row>
    <row r="309">
      <c r="A309" s="11">
        <v>308.0</v>
      </c>
      <c r="B309" s="11" t="s">
        <v>1010</v>
      </c>
      <c r="C309" s="6" t="s">
        <v>1011</v>
      </c>
      <c r="D309" s="11">
        <v>2021.0</v>
      </c>
      <c r="E309" s="11" t="s">
        <v>924</v>
      </c>
      <c r="F309" s="11" t="s">
        <v>18</v>
      </c>
      <c r="G309" s="11" t="s">
        <v>49</v>
      </c>
      <c r="H309" s="11" t="s">
        <v>1229</v>
      </c>
      <c r="I309" s="4"/>
      <c r="J309" s="4"/>
      <c r="K309" s="4"/>
      <c r="L309" s="4"/>
      <c r="M309" s="4"/>
      <c r="N309" s="4"/>
      <c r="O309" s="4"/>
      <c r="P309" s="4"/>
      <c r="Q309" s="4"/>
      <c r="R309" s="4"/>
      <c r="S309" s="4"/>
      <c r="T309" s="4"/>
      <c r="U309" s="4"/>
      <c r="V309" s="4"/>
      <c r="W309" s="4"/>
      <c r="X309" s="4"/>
      <c r="Y309" s="4"/>
    </row>
    <row r="310">
      <c r="A310" s="11">
        <v>309.0</v>
      </c>
      <c r="B310" s="11" t="s">
        <v>1012</v>
      </c>
      <c r="C310" s="6" t="s">
        <v>1013</v>
      </c>
      <c r="D310" s="11">
        <v>2020.0</v>
      </c>
      <c r="E310" s="11" t="s">
        <v>1014</v>
      </c>
      <c r="F310" s="11" t="s">
        <v>18</v>
      </c>
      <c r="G310" s="11" t="s">
        <v>49</v>
      </c>
      <c r="H310" s="11" t="s">
        <v>1229</v>
      </c>
      <c r="I310" s="4"/>
      <c r="J310" s="4"/>
      <c r="K310" s="4"/>
      <c r="L310" s="4"/>
      <c r="M310" s="4"/>
      <c r="N310" s="4"/>
      <c r="O310" s="4"/>
      <c r="P310" s="4"/>
      <c r="Q310" s="4"/>
      <c r="R310" s="4"/>
      <c r="S310" s="4"/>
      <c r="T310" s="4"/>
      <c r="U310" s="4"/>
      <c r="V310" s="4"/>
      <c r="W310" s="4"/>
      <c r="X310" s="4"/>
      <c r="Y310" s="4"/>
    </row>
    <row r="311">
      <c r="A311" s="12">
        <v>310.0</v>
      </c>
      <c r="B311" s="11" t="s">
        <v>1015</v>
      </c>
      <c r="C311" s="6" t="s">
        <v>1016</v>
      </c>
      <c r="D311" s="11">
        <v>2016.0</v>
      </c>
      <c r="E311" s="11" t="s">
        <v>958</v>
      </c>
      <c r="F311" s="11" t="s">
        <v>18</v>
      </c>
      <c r="G311" s="11" t="s">
        <v>49</v>
      </c>
      <c r="H311" s="11" t="s">
        <v>1229</v>
      </c>
      <c r="I311" s="4"/>
      <c r="J311" s="4"/>
      <c r="K311" s="4"/>
      <c r="L311" s="4"/>
      <c r="M311" s="4"/>
      <c r="N311" s="4"/>
      <c r="O311" s="4"/>
      <c r="P311" s="4"/>
      <c r="Q311" s="4"/>
      <c r="R311" s="4"/>
      <c r="S311" s="4"/>
      <c r="T311" s="4"/>
      <c r="U311" s="4"/>
      <c r="V311" s="4"/>
      <c r="W311" s="4"/>
      <c r="X311" s="4"/>
      <c r="Y311" s="4"/>
    </row>
    <row r="312">
      <c r="A312" s="11">
        <v>311.0</v>
      </c>
      <c r="B312" s="11" t="s">
        <v>1017</v>
      </c>
      <c r="C312" s="6" t="s">
        <v>1018</v>
      </c>
      <c r="D312" s="11">
        <v>2015.0</v>
      </c>
      <c r="E312" s="11" t="s">
        <v>1019</v>
      </c>
      <c r="F312" s="11" t="s">
        <v>18</v>
      </c>
      <c r="G312" s="11" t="s">
        <v>49</v>
      </c>
      <c r="H312" s="11" t="s">
        <v>1229</v>
      </c>
      <c r="I312" s="4"/>
      <c r="J312" s="4"/>
      <c r="K312" s="4"/>
      <c r="L312" s="4"/>
      <c r="M312" s="4"/>
      <c r="N312" s="4"/>
      <c r="O312" s="4"/>
      <c r="P312" s="4"/>
      <c r="Q312" s="4"/>
      <c r="R312" s="4"/>
      <c r="S312" s="4"/>
      <c r="T312" s="4"/>
      <c r="U312" s="4"/>
      <c r="V312" s="4"/>
      <c r="W312" s="4"/>
      <c r="X312" s="4"/>
      <c r="Y312" s="4"/>
    </row>
    <row r="313">
      <c r="A313" s="11">
        <v>312.0</v>
      </c>
      <c r="B313" s="11" t="s">
        <v>1020</v>
      </c>
      <c r="C313" s="6" t="s">
        <v>1021</v>
      </c>
      <c r="D313" s="11">
        <v>2022.0</v>
      </c>
      <c r="E313" s="11" t="s">
        <v>1022</v>
      </c>
      <c r="F313" s="11" t="s">
        <v>18</v>
      </c>
      <c r="G313" s="11" t="s">
        <v>49</v>
      </c>
      <c r="H313" s="11" t="s">
        <v>1229</v>
      </c>
      <c r="I313" s="4"/>
      <c r="J313" s="4"/>
      <c r="K313" s="4"/>
      <c r="L313" s="4"/>
      <c r="M313" s="4"/>
      <c r="N313" s="4"/>
      <c r="O313" s="4"/>
      <c r="P313" s="4"/>
      <c r="Q313" s="4"/>
      <c r="R313" s="4"/>
      <c r="S313" s="4"/>
      <c r="T313" s="4"/>
      <c r="U313" s="4"/>
      <c r="V313" s="4"/>
      <c r="W313" s="4"/>
      <c r="X313" s="4"/>
      <c r="Y313" s="4"/>
    </row>
    <row r="314">
      <c r="A314" s="12">
        <v>313.0</v>
      </c>
      <c r="B314" s="11" t="s">
        <v>1027</v>
      </c>
      <c r="C314" s="6" t="s">
        <v>1028</v>
      </c>
      <c r="D314" s="11">
        <v>2021.0</v>
      </c>
      <c r="E314" s="11" t="s">
        <v>1029</v>
      </c>
      <c r="F314" s="11" t="s">
        <v>18</v>
      </c>
      <c r="G314" s="11" t="s">
        <v>49</v>
      </c>
      <c r="H314" s="11" t="s">
        <v>1229</v>
      </c>
      <c r="I314" s="4"/>
      <c r="J314" s="4"/>
      <c r="K314" s="4"/>
      <c r="L314" s="4"/>
      <c r="M314" s="4"/>
      <c r="N314" s="4"/>
      <c r="O314" s="4"/>
      <c r="P314" s="4"/>
      <c r="Q314" s="4"/>
      <c r="R314" s="4"/>
      <c r="S314" s="4"/>
      <c r="T314" s="4"/>
      <c r="U314" s="4"/>
      <c r="V314" s="4"/>
      <c r="W314" s="4"/>
      <c r="X314" s="4"/>
      <c r="Y314" s="4"/>
    </row>
    <row r="315">
      <c r="A315" s="11">
        <v>314.0</v>
      </c>
      <c r="B315" s="11" t="s">
        <v>1030</v>
      </c>
      <c r="C315" s="6" t="s">
        <v>1031</v>
      </c>
      <c r="D315" s="11">
        <v>2024.0</v>
      </c>
      <c r="E315" s="11" t="s">
        <v>1032</v>
      </c>
      <c r="F315" s="11" t="s">
        <v>20</v>
      </c>
      <c r="G315" s="11" t="s">
        <v>1033</v>
      </c>
      <c r="H315" s="11" t="s">
        <v>1229</v>
      </c>
      <c r="I315" s="4"/>
      <c r="J315" s="4"/>
      <c r="K315" s="4"/>
      <c r="L315" s="4"/>
      <c r="M315" s="4"/>
      <c r="N315" s="4"/>
      <c r="O315" s="4"/>
      <c r="P315" s="4"/>
      <c r="Q315" s="4"/>
      <c r="R315" s="4"/>
      <c r="S315" s="4"/>
      <c r="T315" s="4"/>
      <c r="U315" s="4"/>
      <c r="V315" s="4"/>
      <c r="W315" s="4"/>
      <c r="X315" s="4"/>
      <c r="Y315" s="4"/>
    </row>
    <row r="316">
      <c r="A316" s="11">
        <v>315.0</v>
      </c>
      <c r="B316" s="11" t="s">
        <v>1034</v>
      </c>
      <c r="C316" s="6" t="s">
        <v>1035</v>
      </c>
      <c r="D316" s="11">
        <v>2021.0</v>
      </c>
      <c r="E316" s="11" t="s">
        <v>1032</v>
      </c>
      <c r="F316" s="11" t="s">
        <v>20</v>
      </c>
      <c r="G316" s="11" t="s">
        <v>1033</v>
      </c>
      <c r="H316" s="11" t="s">
        <v>1229</v>
      </c>
      <c r="I316" s="4"/>
      <c r="J316" s="4"/>
      <c r="K316" s="4"/>
      <c r="L316" s="4"/>
      <c r="M316" s="4"/>
      <c r="N316" s="4"/>
      <c r="O316" s="4"/>
      <c r="P316" s="4"/>
      <c r="Q316" s="4"/>
      <c r="R316" s="4"/>
      <c r="S316" s="4"/>
      <c r="T316" s="4"/>
      <c r="U316" s="4"/>
      <c r="V316" s="4"/>
      <c r="W316" s="4"/>
      <c r="X316" s="4"/>
      <c r="Y316" s="4"/>
    </row>
    <row r="317">
      <c r="A317" s="12">
        <v>316.0</v>
      </c>
      <c r="B317" s="11" t="s">
        <v>1036</v>
      </c>
      <c r="C317" s="6" t="s">
        <v>1037</v>
      </c>
      <c r="D317" s="4"/>
      <c r="E317" s="11" t="s">
        <v>1038</v>
      </c>
      <c r="F317" s="11" t="s">
        <v>20</v>
      </c>
      <c r="G317" s="11" t="s">
        <v>39</v>
      </c>
      <c r="H317" s="11" t="s">
        <v>1229</v>
      </c>
      <c r="I317" s="4"/>
      <c r="J317" s="4"/>
      <c r="K317" s="4"/>
      <c r="L317" s="4"/>
      <c r="M317" s="4"/>
      <c r="N317" s="4"/>
      <c r="O317" s="4"/>
      <c r="P317" s="4"/>
      <c r="Q317" s="4"/>
      <c r="R317" s="4"/>
      <c r="S317" s="4"/>
      <c r="T317" s="4"/>
      <c r="U317" s="4"/>
      <c r="V317" s="4"/>
      <c r="W317" s="4"/>
      <c r="X317" s="4"/>
      <c r="Y317" s="4"/>
    </row>
    <row r="318">
      <c r="A318" s="11">
        <v>317.0</v>
      </c>
      <c r="B318" s="11" t="s">
        <v>1039</v>
      </c>
      <c r="C318" s="6" t="s">
        <v>1040</v>
      </c>
      <c r="D318" s="11">
        <v>2016.0</v>
      </c>
      <c r="E318" s="11" t="s">
        <v>1041</v>
      </c>
      <c r="F318" s="11" t="s">
        <v>20</v>
      </c>
      <c r="G318" s="11" t="s">
        <v>49</v>
      </c>
      <c r="H318" s="11" t="s">
        <v>1229</v>
      </c>
      <c r="I318" s="4"/>
      <c r="J318" s="4"/>
      <c r="K318" s="4"/>
      <c r="L318" s="4"/>
      <c r="M318" s="4"/>
      <c r="N318" s="4"/>
      <c r="O318" s="4"/>
      <c r="P318" s="4"/>
      <c r="Q318" s="4"/>
      <c r="R318" s="4"/>
      <c r="S318" s="4"/>
      <c r="T318" s="4"/>
      <c r="U318" s="4"/>
      <c r="V318" s="4"/>
      <c r="W318" s="4"/>
      <c r="X318" s="4"/>
      <c r="Y318" s="4"/>
    </row>
    <row r="319">
      <c r="A319" s="11">
        <v>318.0</v>
      </c>
      <c r="B319" s="11" t="s">
        <v>1042</v>
      </c>
      <c r="C319" s="6" t="s">
        <v>1043</v>
      </c>
      <c r="D319" s="11">
        <v>2016.0</v>
      </c>
      <c r="E319" s="4"/>
      <c r="F319" s="11" t="s">
        <v>20</v>
      </c>
      <c r="G319" s="11" t="s">
        <v>49</v>
      </c>
      <c r="H319" s="11" t="s">
        <v>1229</v>
      </c>
      <c r="I319" s="4"/>
      <c r="J319" s="4"/>
      <c r="K319" s="4"/>
      <c r="L319" s="4"/>
      <c r="M319" s="4"/>
      <c r="N319" s="4"/>
      <c r="O319" s="4"/>
      <c r="P319" s="4"/>
      <c r="Q319" s="4"/>
      <c r="R319" s="4"/>
      <c r="S319" s="4"/>
      <c r="T319" s="4"/>
      <c r="U319" s="4"/>
      <c r="V319" s="4"/>
      <c r="W319" s="4"/>
      <c r="X319" s="4"/>
      <c r="Y319" s="4"/>
    </row>
    <row r="320">
      <c r="A320" s="12">
        <v>319.0</v>
      </c>
      <c r="B320" s="11" t="s">
        <v>1044</v>
      </c>
      <c r="C320" s="6" t="s">
        <v>1045</v>
      </c>
      <c r="D320" s="11">
        <v>2024.0</v>
      </c>
      <c r="E320" s="11" t="s">
        <v>1046</v>
      </c>
      <c r="F320" s="11" t="s">
        <v>20</v>
      </c>
      <c r="G320" s="11" t="s">
        <v>1033</v>
      </c>
      <c r="H320" s="11" t="s">
        <v>1229</v>
      </c>
      <c r="I320" s="4"/>
      <c r="J320" s="4"/>
      <c r="K320" s="4"/>
      <c r="L320" s="4"/>
      <c r="M320" s="4"/>
      <c r="N320" s="4"/>
      <c r="O320" s="4"/>
      <c r="P320" s="4"/>
      <c r="Q320" s="4"/>
      <c r="R320" s="4"/>
      <c r="S320" s="4"/>
      <c r="T320" s="4"/>
      <c r="U320" s="4"/>
      <c r="V320" s="4"/>
      <c r="W320" s="4"/>
      <c r="X320" s="4"/>
      <c r="Y320" s="4"/>
    </row>
    <row r="321">
      <c r="A321" s="11">
        <v>320.0</v>
      </c>
      <c r="B321" s="11" t="s">
        <v>1047</v>
      </c>
      <c r="C321" s="6" t="s">
        <v>1048</v>
      </c>
      <c r="D321" s="11">
        <v>2021.0</v>
      </c>
      <c r="E321" s="11" t="s">
        <v>1049</v>
      </c>
      <c r="F321" s="11" t="s">
        <v>20</v>
      </c>
      <c r="G321" s="11" t="s">
        <v>1033</v>
      </c>
      <c r="H321" s="11" t="s">
        <v>1229</v>
      </c>
      <c r="I321" s="4"/>
      <c r="J321" s="4"/>
      <c r="K321" s="4"/>
      <c r="L321" s="4"/>
      <c r="M321" s="4"/>
      <c r="N321" s="4"/>
      <c r="O321" s="4"/>
      <c r="P321" s="4"/>
      <c r="Q321" s="4"/>
      <c r="R321" s="4"/>
      <c r="S321" s="4"/>
      <c r="T321" s="4"/>
      <c r="U321" s="4"/>
      <c r="V321" s="4"/>
      <c r="W321" s="4"/>
      <c r="X321" s="4"/>
      <c r="Y321" s="4"/>
    </row>
    <row r="322">
      <c r="A322" s="11">
        <v>321.0</v>
      </c>
      <c r="B322" s="11" t="s">
        <v>1050</v>
      </c>
      <c r="C322" s="6" t="s">
        <v>1051</v>
      </c>
      <c r="D322" s="11">
        <v>2015.0</v>
      </c>
      <c r="E322" s="11" t="s">
        <v>1052</v>
      </c>
      <c r="F322" s="11" t="s">
        <v>20</v>
      </c>
      <c r="G322" s="11" t="s">
        <v>49</v>
      </c>
      <c r="H322" s="11" t="s">
        <v>1229</v>
      </c>
      <c r="I322" s="4"/>
      <c r="J322" s="4"/>
      <c r="K322" s="4"/>
      <c r="L322" s="4"/>
      <c r="M322" s="4"/>
      <c r="N322" s="4"/>
      <c r="O322" s="4"/>
      <c r="P322" s="4"/>
      <c r="Q322" s="4"/>
      <c r="R322" s="4"/>
      <c r="S322" s="4"/>
      <c r="T322" s="4"/>
      <c r="U322" s="4"/>
      <c r="V322" s="4"/>
      <c r="W322" s="4"/>
      <c r="X322" s="4"/>
      <c r="Y322" s="4"/>
    </row>
    <row r="323">
      <c r="A323" s="12">
        <v>322.0</v>
      </c>
      <c r="B323" s="11" t="s">
        <v>1053</v>
      </c>
      <c r="C323" s="6" t="s">
        <v>1054</v>
      </c>
      <c r="D323" s="11">
        <v>2019.0</v>
      </c>
      <c r="E323" s="4"/>
      <c r="F323" s="11" t="s">
        <v>20</v>
      </c>
      <c r="G323" s="11" t="s">
        <v>49</v>
      </c>
      <c r="H323" s="11" t="s">
        <v>1229</v>
      </c>
      <c r="I323" s="4"/>
      <c r="J323" s="4"/>
      <c r="K323" s="4"/>
      <c r="L323" s="4"/>
      <c r="M323" s="4"/>
      <c r="N323" s="4"/>
      <c r="O323" s="4"/>
      <c r="P323" s="4"/>
      <c r="Q323" s="4"/>
      <c r="R323" s="4"/>
      <c r="S323" s="4"/>
      <c r="T323" s="4"/>
      <c r="U323" s="4"/>
      <c r="V323" s="4"/>
      <c r="W323" s="4"/>
      <c r="X323" s="4"/>
      <c r="Y323" s="4"/>
    </row>
    <row r="324">
      <c r="A324" s="11">
        <v>323.0</v>
      </c>
      <c r="B324" s="11" t="s">
        <v>1055</v>
      </c>
      <c r="C324" s="6" t="s">
        <v>1056</v>
      </c>
      <c r="D324" s="4"/>
      <c r="E324" s="4"/>
      <c r="F324" s="11" t="s">
        <v>20</v>
      </c>
      <c r="G324" s="11" t="s">
        <v>49</v>
      </c>
      <c r="H324" s="11" t="s">
        <v>1229</v>
      </c>
      <c r="I324" s="4"/>
      <c r="J324" s="4"/>
      <c r="K324" s="4"/>
      <c r="L324" s="4"/>
      <c r="M324" s="4"/>
      <c r="N324" s="4"/>
      <c r="O324" s="4"/>
      <c r="P324" s="4"/>
      <c r="Q324" s="4"/>
      <c r="R324" s="4"/>
      <c r="S324" s="4"/>
      <c r="T324" s="4"/>
      <c r="U324" s="4"/>
      <c r="V324" s="4"/>
      <c r="W324" s="4"/>
      <c r="X324" s="4"/>
      <c r="Y324" s="4"/>
    </row>
    <row r="325">
      <c r="A325" s="11">
        <v>324.0</v>
      </c>
      <c r="B325" s="11" t="s">
        <v>1057</v>
      </c>
      <c r="C325" s="6" t="s">
        <v>1058</v>
      </c>
      <c r="D325" s="11">
        <v>2022.0</v>
      </c>
      <c r="E325" s="4"/>
      <c r="F325" s="11" t="s">
        <v>20</v>
      </c>
      <c r="G325" s="11" t="s">
        <v>1033</v>
      </c>
      <c r="H325" s="11" t="s">
        <v>1229</v>
      </c>
      <c r="I325" s="4"/>
      <c r="J325" s="4"/>
      <c r="K325" s="4"/>
      <c r="L325" s="4"/>
      <c r="M325" s="4"/>
      <c r="N325" s="4"/>
      <c r="O325" s="4"/>
      <c r="P325" s="4"/>
      <c r="Q325" s="4"/>
      <c r="R325" s="4"/>
      <c r="S325" s="4"/>
      <c r="T325" s="4"/>
      <c r="U325" s="4"/>
      <c r="V325" s="4"/>
      <c r="W325" s="4"/>
      <c r="X325" s="4"/>
      <c r="Y325" s="4"/>
    </row>
    <row r="326">
      <c r="A326" s="12">
        <v>325.0</v>
      </c>
      <c r="B326" s="11" t="s">
        <v>1059</v>
      </c>
      <c r="C326" s="6" t="s">
        <v>1060</v>
      </c>
      <c r="D326" s="4"/>
      <c r="E326" s="4"/>
      <c r="F326" s="11" t="s">
        <v>20</v>
      </c>
      <c r="G326" s="11" t="s">
        <v>49</v>
      </c>
      <c r="H326" s="11" t="s">
        <v>1229</v>
      </c>
      <c r="I326" s="4"/>
      <c r="J326" s="4"/>
      <c r="K326" s="4"/>
      <c r="L326" s="4"/>
      <c r="M326" s="4"/>
      <c r="N326" s="4"/>
      <c r="O326" s="4"/>
      <c r="P326" s="4"/>
      <c r="Q326" s="4"/>
      <c r="R326" s="4"/>
      <c r="S326" s="4"/>
      <c r="T326" s="4"/>
      <c r="U326" s="4"/>
      <c r="V326" s="4"/>
      <c r="W326" s="4"/>
      <c r="X326" s="4"/>
      <c r="Y326" s="4"/>
    </row>
    <row r="327">
      <c r="A327" s="11">
        <v>326.0</v>
      </c>
      <c r="B327" s="11" t="s">
        <v>1061</v>
      </c>
      <c r="C327" s="6" t="s">
        <v>1062</v>
      </c>
      <c r="D327" s="11">
        <v>2018.0</v>
      </c>
      <c r="E327" s="11" t="s">
        <v>1063</v>
      </c>
      <c r="F327" s="11" t="s">
        <v>20</v>
      </c>
      <c r="G327" s="11" t="s">
        <v>49</v>
      </c>
      <c r="H327" s="11" t="s">
        <v>1229</v>
      </c>
      <c r="I327" s="4"/>
      <c r="J327" s="4"/>
      <c r="K327" s="4"/>
      <c r="L327" s="4"/>
      <c r="M327" s="4"/>
      <c r="N327" s="4"/>
      <c r="O327" s="4"/>
      <c r="P327" s="4"/>
      <c r="Q327" s="4"/>
      <c r="R327" s="4"/>
      <c r="S327" s="4"/>
      <c r="T327" s="4"/>
      <c r="U327" s="4"/>
      <c r="V327" s="4"/>
      <c r="W327" s="4"/>
      <c r="X327" s="4"/>
      <c r="Y327" s="4"/>
    </row>
    <row r="328">
      <c r="A328" s="11">
        <v>327.0</v>
      </c>
      <c r="B328" s="11" t="s">
        <v>1064</v>
      </c>
      <c r="C328" s="6" t="s">
        <v>1065</v>
      </c>
      <c r="D328" s="11">
        <v>2021.0</v>
      </c>
      <c r="E328" s="11" t="s">
        <v>1066</v>
      </c>
      <c r="F328" s="11" t="s">
        <v>20</v>
      </c>
      <c r="G328" s="11" t="s">
        <v>1033</v>
      </c>
      <c r="H328" s="11" t="s">
        <v>1229</v>
      </c>
      <c r="I328" s="4"/>
      <c r="J328" s="4"/>
      <c r="K328" s="4"/>
      <c r="L328" s="4"/>
      <c r="M328" s="4"/>
      <c r="N328" s="4"/>
      <c r="O328" s="4"/>
      <c r="P328" s="4"/>
      <c r="Q328" s="4"/>
      <c r="R328" s="4"/>
      <c r="S328" s="4"/>
      <c r="T328" s="4"/>
      <c r="U328" s="4"/>
      <c r="V328" s="4"/>
      <c r="W328" s="4"/>
      <c r="X328" s="4"/>
      <c r="Y328" s="4"/>
    </row>
    <row r="329">
      <c r="A329" s="12">
        <v>328.0</v>
      </c>
      <c r="B329" s="11" t="s">
        <v>1067</v>
      </c>
      <c r="C329" s="6" t="s">
        <v>1068</v>
      </c>
      <c r="D329" s="11">
        <v>2021.0</v>
      </c>
      <c r="E329" s="11" t="s">
        <v>1069</v>
      </c>
      <c r="F329" s="11" t="s">
        <v>20</v>
      </c>
      <c r="G329" s="11" t="s">
        <v>49</v>
      </c>
      <c r="H329" s="11" t="s">
        <v>1229</v>
      </c>
      <c r="I329" s="4"/>
      <c r="J329" s="4"/>
      <c r="K329" s="4"/>
      <c r="L329" s="4"/>
      <c r="M329" s="4"/>
      <c r="N329" s="4"/>
      <c r="O329" s="4"/>
      <c r="P329" s="4"/>
      <c r="Q329" s="4"/>
      <c r="R329" s="4"/>
      <c r="S329" s="4"/>
      <c r="T329" s="4"/>
      <c r="U329" s="4"/>
      <c r="V329" s="4"/>
      <c r="W329" s="4"/>
      <c r="X329" s="4"/>
      <c r="Y329" s="4"/>
    </row>
    <row r="330">
      <c r="A330" s="11">
        <v>329.0</v>
      </c>
      <c r="B330" s="11" t="s">
        <v>1070</v>
      </c>
      <c r="C330" s="6" t="s">
        <v>1071</v>
      </c>
      <c r="D330" s="11">
        <v>2018.0</v>
      </c>
      <c r="E330" s="11" t="s">
        <v>1072</v>
      </c>
      <c r="F330" s="11" t="s">
        <v>20</v>
      </c>
      <c r="G330" s="11" t="s">
        <v>49</v>
      </c>
      <c r="H330" s="11" t="s">
        <v>1229</v>
      </c>
      <c r="I330" s="4"/>
      <c r="J330" s="4"/>
      <c r="K330" s="4"/>
      <c r="L330" s="4"/>
      <c r="M330" s="4"/>
      <c r="N330" s="4"/>
      <c r="O330" s="4"/>
      <c r="P330" s="4"/>
      <c r="Q330" s="4"/>
      <c r="R330" s="4"/>
      <c r="S330" s="4"/>
      <c r="T330" s="4"/>
      <c r="U330" s="4"/>
      <c r="V330" s="4"/>
      <c r="W330" s="4"/>
      <c r="X330" s="4"/>
      <c r="Y330" s="4"/>
    </row>
    <row r="331">
      <c r="A331" s="11">
        <v>330.0</v>
      </c>
      <c r="B331" s="11" t="s">
        <v>1073</v>
      </c>
      <c r="C331" s="6" t="s">
        <v>1074</v>
      </c>
      <c r="D331" s="11">
        <v>2020.0</v>
      </c>
      <c r="E331" s="11" t="s">
        <v>1075</v>
      </c>
      <c r="F331" s="11" t="s">
        <v>20</v>
      </c>
      <c r="G331" s="11" t="s">
        <v>1033</v>
      </c>
      <c r="H331" s="11" t="s">
        <v>1229</v>
      </c>
      <c r="I331" s="4"/>
      <c r="J331" s="4"/>
      <c r="K331" s="4"/>
      <c r="L331" s="4"/>
      <c r="M331" s="4"/>
      <c r="N331" s="4"/>
      <c r="O331" s="4"/>
      <c r="P331" s="4"/>
      <c r="Q331" s="4"/>
      <c r="R331" s="4"/>
      <c r="S331" s="4"/>
      <c r="T331" s="4"/>
      <c r="U331" s="4"/>
      <c r="V331" s="4"/>
      <c r="W331" s="4"/>
      <c r="X331" s="4"/>
      <c r="Y331" s="4"/>
    </row>
    <row r="332">
      <c r="A332" s="12">
        <v>331.0</v>
      </c>
      <c r="B332" s="11" t="s">
        <v>1076</v>
      </c>
      <c r="C332" s="6" t="s">
        <v>1077</v>
      </c>
      <c r="D332" s="11">
        <v>2023.0</v>
      </c>
      <c r="E332" s="11" t="s">
        <v>1078</v>
      </c>
      <c r="F332" s="11" t="s">
        <v>20</v>
      </c>
      <c r="G332" s="11" t="s">
        <v>1033</v>
      </c>
      <c r="H332" s="11" t="s">
        <v>1229</v>
      </c>
      <c r="I332" s="4"/>
      <c r="J332" s="4"/>
      <c r="K332" s="4"/>
      <c r="L332" s="4"/>
      <c r="M332" s="4"/>
      <c r="N332" s="4"/>
      <c r="O332" s="4"/>
      <c r="P332" s="4"/>
      <c r="Q332" s="4"/>
      <c r="R332" s="4"/>
      <c r="S332" s="4"/>
      <c r="T332" s="4"/>
      <c r="U332" s="4"/>
      <c r="V332" s="4"/>
      <c r="W332" s="4"/>
      <c r="X332" s="4"/>
      <c r="Y332" s="4"/>
    </row>
    <row r="333">
      <c r="A333" s="11">
        <v>332.0</v>
      </c>
      <c r="B333" s="11" t="s">
        <v>1079</v>
      </c>
      <c r="C333" s="6" t="s">
        <v>1080</v>
      </c>
      <c r="D333" s="11">
        <v>2025.0</v>
      </c>
      <c r="E333" s="11" t="s">
        <v>1081</v>
      </c>
      <c r="F333" s="11" t="s">
        <v>20</v>
      </c>
      <c r="G333" s="11" t="s">
        <v>1033</v>
      </c>
      <c r="H333" s="11" t="s">
        <v>1229</v>
      </c>
      <c r="I333" s="4"/>
      <c r="J333" s="4"/>
      <c r="K333" s="4"/>
      <c r="L333" s="4"/>
      <c r="M333" s="4"/>
      <c r="N333" s="4"/>
      <c r="O333" s="4"/>
      <c r="P333" s="4"/>
      <c r="Q333" s="4"/>
      <c r="R333" s="4"/>
      <c r="S333" s="4"/>
      <c r="T333" s="4"/>
      <c r="U333" s="4"/>
      <c r="V333" s="4"/>
      <c r="W333" s="4"/>
      <c r="X333" s="4"/>
      <c r="Y333" s="4"/>
    </row>
    <row r="334">
      <c r="A334" s="11">
        <v>333.0</v>
      </c>
      <c r="B334" s="11" t="s">
        <v>1082</v>
      </c>
      <c r="C334" s="6" t="s">
        <v>1083</v>
      </c>
      <c r="D334" s="11">
        <v>2016.0</v>
      </c>
      <c r="E334" s="11" t="s">
        <v>1084</v>
      </c>
      <c r="F334" s="11" t="s">
        <v>20</v>
      </c>
      <c r="G334" s="11" t="s">
        <v>1033</v>
      </c>
      <c r="H334" s="11" t="s">
        <v>1229</v>
      </c>
      <c r="I334" s="4"/>
      <c r="J334" s="4"/>
      <c r="K334" s="4"/>
      <c r="L334" s="4"/>
      <c r="M334" s="4"/>
      <c r="N334" s="4"/>
      <c r="O334" s="4"/>
      <c r="P334" s="4"/>
      <c r="Q334" s="4"/>
      <c r="R334" s="4"/>
      <c r="S334" s="4"/>
      <c r="T334" s="4"/>
      <c r="U334" s="4"/>
      <c r="V334" s="4"/>
      <c r="W334" s="4"/>
      <c r="X334" s="4"/>
      <c r="Y334" s="4"/>
    </row>
    <row r="335">
      <c r="A335" s="12">
        <v>334.0</v>
      </c>
      <c r="B335" s="11" t="s">
        <v>1085</v>
      </c>
      <c r="C335" s="6" t="s">
        <v>1086</v>
      </c>
      <c r="D335" s="11">
        <v>2021.0</v>
      </c>
      <c r="E335" s="11" t="s">
        <v>1087</v>
      </c>
      <c r="F335" s="11" t="s">
        <v>20</v>
      </c>
      <c r="G335" s="11" t="s">
        <v>1033</v>
      </c>
      <c r="H335" s="11" t="s">
        <v>1229</v>
      </c>
      <c r="I335" s="4"/>
      <c r="J335" s="4"/>
      <c r="K335" s="4"/>
      <c r="L335" s="4"/>
      <c r="M335" s="4"/>
      <c r="N335" s="4"/>
      <c r="O335" s="4"/>
      <c r="P335" s="4"/>
      <c r="Q335" s="4"/>
      <c r="R335" s="4"/>
      <c r="S335" s="4"/>
      <c r="T335" s="4"/>
      <c r="U335" s="4"/>
      <c r="V335" s="4"/>
      <c r="W335" s="4"/>
      <c r="X335" s="4"/>
      <c r="Y335" s="4"/>
    </row>
    <row r="336">
      <c r="A336" s="11">
        <v>335.0</v>
      </c>
      <c r="B336" s="11" t="s">
        <v>1088</v>
      </c>
      <c r="C336" s="6" t="s">
        <v>1089</v>
      </c>
      <c r="D336" s="11">
        <v>2024.0</v>
      </c>
      <c r="E336" s="11" t="s">
        <v>1090</v>
      </c>
      <c r="F336" s="11" t="s">
        <v>20</v>
      </c>
      <c r="G336" s="11" t="s">
        <v>1033</v>
      </c>
      <c r="H336" s="11" t="s">
        <v>1229</v>
      </c>
      <c r="I336" s="4"/>
      <c r="J336" s="4"/>
      <c r="K336" s="4"/>
      <c r="L336" s="4"/>
      <c r="M336" s="4"/>
      <c r="N336" s="4"/>
      <c r="O336" s="4"/>
      <c r="P336" s="4"/>
      <c r="Q336" s="4"/>
      <c r="R336" s="4"/>
      <c r="S336" s="4"/>
      <c r="T336" s="4"/>
      <c r="U336" s="4"/>
      <c r="V336" s="4"/>
      <c r="W336" s="4"/>
      <c r="X336" s="4"/>
      <c r="Y336" s="4"/>
    </row>
    <row r="337">
      <c r="A337" s="11">
        <v>336.0</v>
      </c>
      <c r="B337" s="11" t="s">
        <v>1091</v>
      </c>
      <c r="C337" s="6" t="s">
        <v>1092</v>
      </c>
      <c r="D337" s="11">
        <v>2016.0</v>
      </c>
      <c r="E337" s="11" t="s">
        <v>1093</v>
      </c>
      <c r="F337" s="11" t="s">
        <v>20</v>
      </c>
      <c r="G337" s="11" t="s">
        <v>1033</v>
      </c>
      <c r="H337" s="11" t="s">
        <v>1229</v>
      </c>
      <c r="I337" s="4"/>
      <c r="J337" s="4"/>
      <c r="K337" s="4"/>
      <c r="L337" s="4"/>
      <c r="M337" s="4"/>
      <c r="N337" s="4"/>
      <c r="O337" s="4"/>
      <c r="P337" s="4"/>
      <c r="Q337" s="4"/>
      <c r="R337" s="4"/>
      <c r="S337" s="4"/>
      <c r="T337" s="4"/>
      <c r="U337" s="4"/>
      <c r="V337" s="4"/>
      <c r="W337" s="4"/>
      <c r="X337" s="4"/>
      <c r="Y337" s="4"/>
    </row>
    <row r="338">
      <c r="A338" s="12">
        <v>337.0</v>
      </c>
      <c r="B338" s="11" t="s">
        <v>1094</v>
      </c>
      <c r="C338" s="6" t="s">
        <v>1095</v>
      </c>
      <c r="D338" s="11">
        <v>2021.0</v>
      </c>
      <c r="E338" s="4"/>
      <c r="F338" s="11" t="s">
        <v>20</v>
      </c>
      <c r="G338" s="11" t="s">
        <v>49</v>
      </c>
      <c r="H338" s="11" t="s">
        <v>1229</v>
      </c>
      <c r="I338" s="4"/>
      <c r="J338" s="4"/>
      <c r="K338" s="4"/>
      <c r="L338" s="4"/>
      <c r="M338" s="4"/>
      <c r="N338" s="4"/>
      <c r="O338" s="4"/>
      <c r="P338" s="4"/>
      <c r="Q338" s="4"/>
      <c r="R338" s="4"/>
      <c r="S338" s="4"/>
      <c r="T338" s="4"/>
      <c r="U338" s="4"/>
      <c r="V338" s="4"/>
      <c r="W338" s="4"/>
      <c r="X338" s="4"/>
      <c r="Y338" s="4"/>
    </row>
    <row r="339">
      <c r="A339" s="11">
        <v>338.0</v>
      </c>
      <c r="B339" s="11" t="s">
        <v>1096</v>
      </c>
      <c r="C339" s="6" t="s">
        <v>1097</v>
      </c>
      <c r="D339" s="11">
        <v>2025.0</v>
      </c>
      <c r="E339" s="4"/>
      <c r="F339" s="11" t="s">
        <v>20</v>
      </c>
      <c r="G339" s="11" t="s">
        <v>1033</v>
      </c>
      <c r="H339" s="11" t="s">
        <v>1229</v>
      </c>
      <c r="I339" s="4"/>
      <c r="J339" s="4"/>
      <c r="K339" s="4"/>
      <c r="L339" s="4"/>
      <c r="M339" s="4"/>
      <c r="N339" s="4"/>
      <c r="O339" s="4"/>
      <c r="P339" s="4"/>
      <c r="Q339" s="4"/>
      <c r="R339" s="4"/>
      <c r="S339" s="4"/>
      <c r="T339" s="4"/>
      <c r="U339" s="4"/>
      <c r="V339" s="4"/>
      <c r="W339" s="4"/>
      <c r="X339" s="4"/>
      <c r="Y339" s="4"/>
    </row>
    <row r="340">
      <c r="A340" s="11">
        <v>339.0</v>
      </c>
      <c r="B340" s="11" t="s">
        <v>1098</v>
      </c>
      <c r="C340" s="6" t="s">
        <v>1099</v>
      </c>
      <c r="D340" s="11">
        <v>2023.0</v>
      </c>
      <c r="E340" s="4"/>
      <c r="F340" s="11" t="s">
        <v>20</v>
      </c>
      <c r="G340" s="11" t="s">
        <v>49</v>
      </c>
      <c r="H340" s="11" t="s">
        <v>1229</v>
      </c>
      <c r="I340" s="4"/>
      <c r="J340" s="4"/>
      <c r="K340" s="4"/>
      <c r="L340" s="4"/>
      <c r="M340" s="4"/>
      <c r="N340" s="4"/>
      <c r="O340" s="4"/>
      <c r="P340" s="4"/>
      <c r="Q340" s="4"/>
      <c r="R340" s="4"/>
      <c r="S340" s="4"/>
      <c r="T340" s="4"/>
      <c r="U340" s="4"/>
      <c r="V340" s="4"/>
      <c r="W340" s="4"/>
      <c r="X340" s="4"/>
      <c r="Y340" s="4"/>
    </row>
    <row r="341">
      <c r="A341" s="12">
        <v>340.0</v>
      </c>
      <c r="B341" s="11" t="s">
        <v>1100</v>
      </c>
      <c r="C341" s="6" t="s">
        <v>1101</v>
      </c>
      <c r="D341" s="11">
        <v>2017.0</v>
      </c>
      <c r="E341" s="11" t="s">
        <v>1102</v>
      </c>
      <c r="F341" s="11" t="s">
        <v>20</v>
      </c>
      <c r="G341" s="11" t="s">
        <v>1033</v>
      </c>
      <c r="H341" s="11" t="s">
        <v>1229</v>
      </c>
      <c r="I341" s="4"/>
      <c r="J341" s="4"/>
      <c r="K341" s="4"/>
      <c r="L341" s="4"/>
      <c r="M341" s="4"/>
      <c r="N341" s="4"/>
      <c r="O341" s="4"/>
      <c r="P341" s="4"/>
      <c r="Q341" s="4"/>
      <c r="R341" s="4"/>
      <c r="S341" s="4"/>
      <c r="T341" s="4"/>
      <c r="U341" s="4"/>
      <c r="V341" s="4"/>
      <c r="W341" s="4"/>
      <c r="X341" s="4"/>
      <c r="Y341" s="4"/>
    </row>
    <row r="342">
      <c r="A342" s="11">
        <v>341.0</v>
      </c>
      <c r="B342" s="11" t="s">
        <v>1103</v>
      </c>
      <c r="C342" s="6" t="s">
        <v>1104</v>
      </c>
      <c r="D342" s="11">
        <v>2025.0</v>
      </c>
      <c r="E342" s="11" t="s">
        <v>1105</v>
      </c>
      <c r="F342" s="11" t="s">
        <v>20</v>
      </c>
      <c r="G342" s="11" t="s">
        <v>1033</v>
      </c>
      <c r="H342" s="11" t="s">
        <v>1229</v>
      </c>
      <c r="I342" s="4"/>
      <c r="J342" s="4"/>
      <c r="K342" s="4"/>
      <c r="L342" s="4"/>
      <c r="M342" s="4"/>
      <c r="N342" s="4"/>
      <c r="O342" s="4"/>
      <c r="P342" s="4"/>
      <c r="Q342" s="4"/>
      <c r="R342" s="4"/>
      <c r="S342" s="4"/>
      <c r="T342" s="4"/>
      <c r="U342" s="4"/>
      <c r="V342" s="4"/>
      <c r="W342" s="4"/>
      <c r="X342" s="4"/>
      <c r="Y342" s="4"/>
    </row>
    <row r="343">
      <c r="A343" s="11">
        <v>342.0</v>
      </c>
      <c r="B343" s="11" t="s">
        <v>1106</v>
      </c>
      <c r="C343" s="6" t="s">
        <v>1107</v>
      </c>
      <c r="D343" s="11">
        <v>2016.0</v>
      </c>
      <c r="E343" s="11" t="s">
        <v>1090</v>
      </c>
      <c r="F343" s="11" t="s">
        <v>20</v>
      </c>
      <c r="G343" s="11" t="s">
        <v>1033</v>
      </c>
      <c r="H343" s="11" t="s">
        <v>1229</v>
      </c>
      <c r="I343" s="4"/>
      <c r="J343" s="4"/>
      <c r="K343" s="4"/>
      <c r="L343" s="4"/>
      <c r="M343" s="4"/>
      <c r="N343" s="4"/>
      <c r="O343" s="4"/>
      <c r="P343" s="4"/>
      <c r="Q343" s="4"/>
      <c r="R343" s="4"/>
      <c r="S343" s="4"/>
      <c r="T343" s="4"/>
      <c r="U343" s="4"/>
      <c r="V343" s="4"/>
      <c r="W343" s="4"/>
      <c r="X343" s="4"/>
      <c r="Y343" s="4"/>
    </row>
    <row r="344">
      <c r="A344" s="12">
        <v>343.0</v>
      </c>
      <c r="B344" s="11" t="s">
        <v>1108</v>
      </c>
      <c r="C344" s="6" t="s">
        <v>1109</v>
      </c>
      <c r="D344" s="11">
        <v>2021.0</v>
      </c>
      <c r="E344" s="11" t="s">
        <v>1110</v>
      </c>
      <c r="F344" s="11" t="s">
        <v>20</v>
      </c>
      <c r="G344" s="11" t="s">
        <v>1033</v>
      </c>
      <c r="H344" s="11" t="s">
        <v>1229</v>
      </c>
      <c r="I344" s="4"/>
      <c r="J344" s="4"/>
      <c r="K344" s="4"/>
      <c r="L344" s="4"/>
      <c r="M344" s="4"/>
      <c r="N344" s="4"/>
      <c r="O344" s="4"/>
      <c r="P344" s="4"/>
      <c r="Q344" s="4"/>
      <c r="R344" s="4"/>
      <c r="S344" s="4"/>
      <c r="T344" s="4"/>
      <c r="U344" s="4"/>
      <c r="V344" s="4"/>
      <c r="W344" s="4"/>
      <c r="X344" s="4"/>
      <c r="Y344" s="4"/>
    </row>
    <row r="345">
      <c r="A345" s="11">
        <v>344.0</v>
      </c>
      <c r="B345" s="11" t="s">
        <v>1111</v>
      </c>
      <c r="C345" s="6" t="s">
        <v>1112</v>
      </c>
      <c r="D345" s="11">
        <v>2023.0</v>
      </c>
      <c r="E345" s="11" t="s">
        <v>1113</v>
      </c>
      <c r="F345" s="11" t="s">
        <v>20</v>
      </c>
      <c r="G345" s="11" t="s">
        <v>1033</v>
      </c>
      <c r="H345" s="11" t="s">
        <v>1229</v>
      </c>
      <c r="I345" s="4"/>
      <c r="J345" s="4"/>
      <c r="K345" s="4"/>
      <c r="L345" s="4"/>
      <c r="M345" s="4"/>
      <c r="N345" s="4"/>
      <c r="O345" s="4"/>
      <c r="P345" s="4"/>
      <c r="Q345" s="4"/>
      <c r="R345" s="4"/>
      <c r="S345" s="4"/>
      <c r="T345" s="4"/>
      <c r="U345" s="4"/>
      <c r="V345" s="4"/>
      <c r="W345" s="4"/>
      <c r="X345" s="4"/>
      <c r="Y345" s="4"/>
    </row>
    <row r="346">
      <c r="A346" s="11">
        <v>345.0</v>
      </c>
      <c r="B346" s="11" t="s">
        <v>1114</v>
      </c>
      <c r="C346" s="6" t="s">
        <v>1115</v>
      </c>
      <c r="D346" s="11">
        <v>2022.0</v>
      </c>
      <c r="E346" s="11" t="s">
        <v>1116</v>
      </c>
      <c r="F346" s="11" t="s">
        <v>20</v>
      </c>
      <c r="G346" s="11" t="s">
        <v>49</v>
      </c>
      <c r="H346" s="11" t="s">
        <v>1229</v>
      </c>
      <c r="I346" s="4"/>
      <c r="J346" s="4"/>
      <c r="K346" s="4"/>
      <c r="L346" s="4"/>
      <c r="M346" s="4"/>
      <c r="N346" s="4"/>
      <c r="O346" s="4"/>
      <c r="P346" s="4"/>
      <c r="Q346" s="4"/>
      <c r="R346" s="4"/>
      <c r="S346" s="4"/>
      <c r="T346" s="4"/>
      <c r="U346" s="4"/>
      <c r="V346" s="4"/>
      <c r="W346" s="4"/>
      <c r="X346" s="4"/>
      <c r="Y346" s="4"/>
    </row>
    <row r="347">
      <c r="A347" s="12">
        <v>346.0</v>
      </c>
      <c r="B347" s="11" t="s">
        <v>1117</v>
      </c>
      <c r="C347" s="6" t="s">
        <v>1118</v>
      </c>
      <c r="D347" s="11">
        <v>2025.0</v>
      </c>
      <c r="E347" s="4"/>
      <c r="F347" s="11" t="s">
        <v>20</v>
      </c>
      <c r="G347" s="11" t="s">
        <v>49</v>
      </c>
      <c r="H347" s="11" t="s">
        <v>1229</v>
      </c>
      <c r="I347" s="4"/>
      <c r="J347" s="4"/>
      <c r="K347" s="4"/>
      <c r="L347" s="4"/>
      <c r="M347" s="4"/>
      <c r="N347" s="4"/>
      <c r="O347" s="4"/>
      <c r="P347" s="4"/>
      <c r="Q347" s="4"/>
      <c r="R347" s="4"/>
      <c r="S347" s="4"/>
      <c r="T347" s="4"/>
      <c r="U347" s="4"/>
      <c r="V347" s="4"/>
      <c r="W347" s="4"/>
      <c r="X347" s="4"/>
      <c r="Y347" s="4"/>
    </row>
    <row r="348">
      <c r="A348" s="11">
        <v>347.0</v>
      </c>
      <c r="B348" s="11" t="s">
        <v>1119</v>
      </c>
      <c r="C348" s="6" t="s">
        <v>1120</v>
      </c>
      <c r="D348" s="11">
        <v>2021.0</v>
      </c>
      <c r="E348" s="11" t="s">
        <v>1121</v>
      </c>
      <c r="F348" s="11" t="s">
        <v>20</v>
      </c>
      <c r="G348" s="11" t="s">
        <v>1033</v>
      </c>
      <c r="H348" s="11" t="s">
        <v>1229</v>
      </c>
      <c r="I348" s="4"/>
      <c r="J348" s="4"/>
      <c r="K348" s="4"/>
      <c r="L348" s="4"/>
      <c r="M348" s="4"/>
      <c r="N348" s="4"/>
      <c r="O348" s="4"/>
      <c r="P348" s="4"/>
      <c r="Q348" s="4"/>
      <c r="R348" s="4"/>
      <c r="S348" s="4"/>
      <c r="T348" s="4"/>
      <c r="U348" s="4"/>
      <c r="V348" s="4"/>
      <c r="W348" s="4"/>
      <c r="X348" s="4"/>
      <c r="Y348" s="4"/>
    </row>
    <row r="349">
      <c r="A349" s="11">
        <v>348.0</v>
      </c>
      <c r="B349" s="11" t="s">
        <v>1122</v>
      </c>
      <c r="C349" s="6" t="s">
        <v>1123</v>
      </c>
      <c r="D349" s="11">
        <v>2021.0</v>
      </c>
      <c r="E349" s="11" t="s">
        <v>1124</v>
      </c>
      <c r="F349" s="11" t="s">
        <v>20</v>
      </c>
      <c r="G349" s="11" t="s">
        <v>1033</v>
      </c>
      <c r="H349" s="11" t="s">
        <v>1229</v>
      </c>
      <c r="I349" s="4"/>
      <c r="J349" s="4"/>
      <c r="K349" s="4"/>
      <c r="L349" s="4"/>
      <c r="M349" s="4"/>
      <c r="N349" s="4"/>
      <c r="O349" s="4"/>
      <c r="P349" s="4"/>
      <c r="Q349" s="4"/>
      <c r="R349" s="4"/>
      <c r="S349" s="4"/>
      <c r="T349" s="4"/>
      <c r="U349" s="4"/>
      <c r="V349" s="4"/>
      <c r="W349" s="4"/>
      <c r="X349" s="4"/>
      <c r="Y349" s="4"/>
    </row>
    <row r="350">
      <c r="A350" s="12">
        <v>349.0</v>
      </c>
      <c r="B350" s="11" t="s">
        <v>1125</v>
      </c>
      <c r="C350" s="6" t="s">
        <v>1126</v>
      </c>
      <c r="D350" s="11">
        <v>2025.0</v>
      </c>
      <c r="E350" s="11" t="s">
        <v>1127</v>
      </c>
      <c r="F350" s="11" t="s">
        <v>20</v>
      </c>
      <c r="G350" s="11" t="s">
        <v>1033</v>
      </c>
      <c r="H350" s="11" t="s">
        <v>1229</v>
      </c>
      <c r="I350" s="4"/>
      <c r="J350" s="4"/>
      <c r="K350" s="4"/>
      <c r="L350" s="4"/>
      <c r="M350" s="4"/>
      <c r="N350" s="4"/>
      <c r="O350" s="4"/>
      <c r="P350" s="4"/>
      <c r="Q350" s="4"/>
      <c r="R350" s="4"/>
      <c r="S350" s="4"/>
      <c r="T350" s="4"/>
      <c r="U350" s="4"/>
      <c r="V350" s="4"/>
      <c r="W350" s="4"/>
      <c r="X350" s="4"/>
      <c r="Y350" s="4"/>
    </row>
    <row r="351">
      <c r="A351" s="11">
        <v>350.0</v>
      </c>
      <c r="B351" s="11" t="s">
        <v>1128</v>
      </c>
      <c r="C351" s="6" t="s">
        <v>1129</v>
      </c>
      <c r="D351" s="11">
        <v>2025.0</v>
      </c>
      <c r="E351" s="11" t="s">
        <v>1130</v>
      </c>
      <c r="F351" s="11" t="s">
        <v>20</v>
      </c>
      <c r="G351" s="11" t="s">
        <v>1033</v>
      </c>
      <c r="H351" s="11" t="s">
        <v>1229</v>
      </c>
      <c r="I351" s="4"/>
      <c r="J351" s="4"/>
      <c r="K351" s="4"/>
      <c r="L351" s="4"/>
      <c r="M351" s="4"/>
      <c r="N351" s="4"/>
      <c r="O351" s="4"/>
      <c r="P351" s="4"/>
      <c r="Q351" s="4"/>
      <c r="R351" s="4"/>
      <c r="S351" s="4"/>
      <c r="T351" s="4"/>
      <c r="U351" s="4"/>
      <c r="V351" s="4"/>
      <c r="W351" s="4"/>
      <c r="X351" s="4"/>
      <c r="Y351" s="4"/>
    </row>
    <row r="352">
      <c r="A352" s="11">
        <v>351.0</v>
      </c>
      <c r="B352" s="11" t="s">
        <v>1131</v>
      </c>
      <c r="C352" s="6" t="s">
        <v>1132</v>
      </c>
      <c r="D352" s="11">
        <v>2020.0</v>
      </c>
      <c r="E352" s="11" t="s">
        <v>1133</v>
      </c>
      <c r="F352" s="11" t="s">
        <v>20</v>
      </c>
      <c r="G352" s="11" t="s">
        <v>1033</v>
      </c>
      <c r="H352" s="11" t="s">
        <v>1229</v>
      </c>
      <c r="I352" s="4"/>
      <c r="J352" s="4"/>
      <c r="K352" s="4"/>
      <c r="L352" s="4"/>
      <c r="M352" s="4"/>
      <c r="N352" s="4"/>
      <c r="O352" s="4"/>
      <c r="P352" s="4"/>
      <c r="Q352" s="4"/>
      <c r="R352" s="4"/>
      <c r="S352" s="4"/>
      <c r="T352" s="4"/>
      <c r="U352" s="4"/>
      <c r="V352" s="4"/>
      <c r="W352" s="4"/>
      <c r="X352" s="4"/>
      <c r="Y352" s="4"/>
    </row>
    <row r="353">
      <c r="A353" s="12">
        <v>352.0</v>
      </c>
      <c r="B353" s="11" t="s">
        <v>1134</v>
      </c>
      <c r="C353" s="6" t="s">
        <v>1135</v>
      </c>
      <c r="D353" s="11">
        <v>2016.0</v>
      </c>
      <c r="E353" s="11" t="s">
        <v>1136</v>
      </c>
      <c r="F353" s="11" t="s">
        <v>20</v>
      </c>
      <c r="G353" s="11" t="s">
        <v>49</v>
      </c>
      <c r="H353" s="11" t="s">
        <v>1229</v>
      </c>
      <c r="I353" s="4"/>
      <c r="J353" s="4"/>
      <c r="K353" s="4"/>
      <c r="L353" s="4"/>
      <c r="M353" s="4"/>
      <c r="N353" s="4"/>
      <c r="O353" s="4"/>
      <c r="P353" s="4"/>
      <c r="Q353" s="4"/>
      <c r="R353" s="4"/>
      <c r="S353" s="4"/>
      <c r="T353" s="4"/>
      <c r="U353" s="4"/>
      <c r="V353" s="4"/>
      <c r="W353" s="4"/>
      <c r="X353" s="4"/>
      <c r="Y353" s="4"/>
    </row>
    <row r="354">
      <c r="A354" s="11">
        <v>353.0</v>
      </c>
      <c r="B354" s="11" t="s">
        <v>1137</v>
      </c>
      <c r="C354" s="6" t="s">
        <v>1138</v>
      </c>
      <c r="D354" s="11">
        <v>2018.0</v>
      </c>
      <c r="E354" s="11" t="s">
        <v>1139</v>
      </c>
      <c r="F354" s="11" t="s">
        <v>20</v>
      </c>
      <c r="G354" s="11" t="s">
        <v>1033</v>
      </c>
      <c r="H354" s="11" t="s">
        <v>1229</v>
      </c>
      <c r="I354" s="4"/>
      <c r="J354" s="4"/>
      <c r="K354" s="4"/>
      <c r="L354" s="4"/>
      <c r="M354" s="4"/>
      <c r="N354" s="4"/>
      <c r="O354" s="4"/>
      <c r="P354" s="4"/>
      <c r="Q354" s="4"/>
      <c r="R354" s="4"/>
      <c r="S354" s="4"/>
      <c r="T354" s="4"/>
      <c r="U354" s="4"/>
      <c r="V354" s="4"/>
      <c r="W354" s="4"/>
      <c r="X354" s="4"/>
      <c r="Y354" s="4"/>
    </row>
    <row r="355">
      <c r="A355" s="11">
        <v>354.0</v>
      </c>
      <c r="B355" s="11" t="s">
        <v>1140</v>
      </c>
      <c r="C355" s="6" t="s">
        <v>1141</v>
      </c>
      <c r="D355" s="11">
        <v>2024.0</v>
      </c>
      <c r="E355" s="11" t="s">
        <v>1142</v>
      </c>
      <c r="F355" s="11" t="s">
        <v>20</v>
      </c>
      <c r="G355" s="11" t="s">
        <v>1033</v>
      </c>
      <c r="H355" s="11" t="s">
        <v>1229</v>
      </c>
      <c r="I355" s="4"/>
      <c r="J355" s="4"/>
      <c r="K355" s="4"/>
      <c r="L355" s="4"/>
      <c r="M355" s="4"/>
      <c r="N355" s="4"/>
      <c r="O355" s="4"/>
      <c r="P355" s="4"/>
      <c r="Q355" s="4"/>
      <c r="R355" s="4"/>
      <c r="S355" s="4"/>
      <c r="T355" s="4"/>
      <c r="U355" s="4"/>
      <c r="V355" s="4"/>
      <c r="W355" s="4"/>
      <c r="X355" s="4"/>
      <c r="Y355" s="4"/>
    </row>
    <row r="356">
      <c r="A356" s="12">
        <v>355.0</v>
      </c>
      <c r="B356" s="11" t="s">
        <v>1143</v>
      </c>
      <c r="C356" s="6" t="s">
        <v>1144</v>
      </c>
      <c r="D356" s="11">
        <v>2019.0</v>
      </c>
      <c r="E356" s="11" t="s">
        <v>1145</v>
      </c>
      <c r="F356" s="11" t="s">
        <v>20</v>
      </c>
      <c r="G356" s="11" t="s">
        <v>1033</v>
      </c>
      <c r="H356" s="11" t="s">
        <v>1229</v>
      </c>
      <c r="I356" s="4"/>
      <c r="J356" s="4"/>
      <c r="K356" s="4"/>
      <c r="L356" s="4"/>
      <c r="M356" s="4"/>
      <c r="N356" s="4"/>
      <c r="O356" s="4"/>
      <c r="P356" s="4"/>
      <c r="Q356" s="4"/>
      <c r="R356" s="4"/>
      <c r="S356" s="4"/>
      <c r="T356" s="4"/>
      <c r="U356" s="4"/>
      <c r="V356" s="4"/>
      <c r="W356" s="4"/>
      <c r="X356" s="4"/>
      <c r="Y356" s="4"/>
    </row>
    <row r="357">
      <c r="A357" s="11">
        <v>356.0</v>
      </c>
      <c r="B357" s="11" t="s">
        <v>1146</v>
      </c>
      <c r="C357" s="6" t="s">
        <v>1147</v>
      </c>
      <c r="D357" s="11">
        <v>2022.0</v>
      </c>
      <c r="E357" s="4"/>
      <c r="F357" s="11" t="s">
        <v>20</v>
      </c>
      <c r="G357" s="11" t="s">
        <v>49</v>
      </c>
      <c r="H357" s="11" t="s">
        <v>1229</v>
      </c>
      <c r="I357" s="4"/>
      <c r="J357" s="4"/>
      <c r="K357" s="4"/>
      <c r="L357" s="4"/>
      <c r="M357" s="4"/>
      <c r="N357" s="4"/>
      <c r="O357" s="4"/>
      <c r="P357" s="4"/>
      <c r="Q357" s="4"/>
      <c r="R357" s="4"/>
      <c r="S357" s="4"/>
      <c r="T357" s="4"/>
      <c r="U357" s="4"/>
      <c r="V357" s="4"/>
      <c r="W357" s="4"/>
      <c r="X357" s="4"/>
      <c r="Y357" s="4"/>
    </row>
    <row r="358">
      <c r="A358" s="11">
        <v>357.0</v>
      </c>
      <c r="B358" s="11" t="s">
        <v>1148</v>
      </c>
      <c r="C358" s="6" t="s">
        <v>1149</v>
      </c>
      <c r="D358" s="11">
        <v>2021.0</v>
      </c>
      <c r="E358" s="11" t="s">
        <v>1150</v>
      </c>
      <c r="F358" s="11" t="s">
        <v>20</v>
      </c>
      <c r="G358" s="11" t="s">
        <v>1033</v>
      </c>
      <c r="H358" s="11" t="s">
        <v>1229</v>
      </c>
      <c r="I358" s="4"/>
      <c r="J358" s="4"/>
      <c r="K358" s="4"/>
      <c r="L358" s="4"/>
      <c r="M358" s="4"/>
      <c r="N358" s="4"/>
      <c r="O358" s="4"/>
      <c r="P358" s="4"/>
      <c r="Q358" s="4"/>
      <c r="R358" s="4"/>
      <c r="S358" s="4"/>
      <c r="T358" s="4"/>
      <c r="U358" s="4"/>
      <c r="V358" s="4"/>
      <c r="W358" s="4"/>
      <c r="X358" s="4"/>
      <c r="Y358" s="4"/>
    </row>
    <row r="359">
      <c r="A359" s="12">
        <v>358.0</v>
      </c>
      <c r="B359" s="11" t="s">
        <v>1153</v>
      </c>
      <c r="C359" s="6" t="s">
        <v>1154</v>
      </c>
      <c r="D359" s="11">
        <v>2017.0</v>
      </c>
      <c r="E359" s="11" t="s">
        <v>1127</v>
      </c>
      <c r="F359" s="11" t="s">
        <v>20</v>
      </c>
      <c r="G359" s="11" t="s">
        <v>1033</v>
      </c>
      <c r="H359" s="11" t="s">
        <v>1229</v>
      </c>
      <c r="I359" s="4"/>
      <c r="J359" s="4"/>
      <c r="K359" s="4"/>
      <c r="L359" s="4"/>
      <c r="M359" s="4"/>
      <c r="N359" s="4"/>
      <c r="O359" s="4"/>
      <c r="P359" s="4"/>
      <c r="Q359" s="4"/>
      <c r="R359" s="4"/>
      <c r="S359" s="4"/>
      <c r="T359" s="4"/>
      <c r="U359" s="4"/>
      <c r="V359" s="4"/>
      <c r="W359" s="4"/>
      <c r="X359" s="4"/>
      <c r="Y359" s="4"/>
    </row>
    <row r="360">
      <c r="A360" s="11">
        <v>359.0</v>
      </c>
      <c r="B360" s="11" t="s">
        <v>1155</v>
      </c>
      <c r="C360" s="6" t="s">
        <v>1156</v>
      </c>
      <c r="D360" s="11">
        <v>2015.0</v>
      </c>
      <c r="E360" s="11" t="s">
        <v>1157</v>
      </c>
      <c r="F360" s="11" t="s">
        <v>20</v>
      </c>
      <c r="G360" s="11" t="s">
        <v>1033</v>
      </c>
      <c r="H360" s="11" t="s">
        <v>1229</v>
      </c>
      <c r="I360" s="4"/>
      <c r="J360" s="4"/>
      <c r="K360" s="4"/>
      <c r="L360" s="4"/>
      <c r="M360" s="4"/>
      <c r="N360" s="4"/>
      <c r="O360" s="4"/>
      <c r="P360" s="4"/>
      <c r="Q360" s="4"/>
      <c r="R360" s="4"/>
      <c r="S360" s="4"/>
      <c r="T360" s="4"/>
      <c r="U360" s="4"/>
      <c r="V360" s="4"/>
      <c r="W360" s="4"/>
      <c r="X360" s="4"/>
      <c r="Y360" s="4"/>
    </row>
    <row r="361">
      <c r="A361" s="11">
        <v>360.0</v>
      </c>
      <c r="B361" s="11" t="s">
        <v>1158</v>
      </c>
      <c r="C361" s="6" t="s">
        <v>1159</v>
      </c>
      <c r="D361" s="11">
        <v>2022.0</v>
      </c>
      <c r="E361" s="11" t="s">
        <v>1160</v>
      </c>
      <c r="F361" s="11" t="s">
        <v>20</v>
      </c>
      <c r="G361" s="11" t="s">
        <v>1033</v>
      </c>
      <c r="H361" s="11" t="s">
        <v>1229</v>
      </c>
      <c r="I361" s="4"/>
      <c r="J361" s="4"/>
      <c r="K361" s="4"/>
      <c r="L361" s="4"/>
      <c r="M361" s="4"/>
      <c r="N361" s="4"/>
      <c r="O361" s="4"/>
      <c r="P361" s="4"/>
      <c r="Q361" s="4"/>
      <c r="R361" s="4"/>
      <c r="S361" s="4"/>
      <c r="T361" s="4"/>
      <c r="U361" s="4"/>
      <c r="V361" s="4"/>
      <c r="W361" s="4"/>
      <c r="X361" s="4"/>
      <c r="Y361" s="4"/>
    </row>
    <row r="362">
      <c r="A362" s="12">
        <v>361.0</v>
      </c>
      <c r="B362" s="11" t="s">
        <v>1164</v>
      </c>
      <c r="C362" s="6" t="s">
        <v>1165</v>
      </c>
      <c r="D362" s="11">
        <v>2025.0</v>
      </c>
      <c r="E362" s="11" t="s">
        <v>1166</v>
      </c>
      <c r="F362" s="11" t="s">
        <v>20</v>
      </c>
      <c r="G362" s="11" t="s">
        <v>49</v>
      </c>
      <c r="H362" s="11" t="s">
        <v>1229</v>
      </c>
      <c r="I362" s="4"/>
      <c r="J362" s="4"/>
      <c r="K362" s="4"/>
      <c r="L362" s="4"/>
      <c r="M362" s="4"/>
      <c r="N362" s="4"/>
      <c r="O362" s="4"/>
      <c r="P362" s="4"/>
      <c r="Q362" s="4"/>
      <c r="R362" s="4"/>
      <c r="S362" s="4"/>
      <c r="T362" s="4"/>
      <c r="U362" s="4"/>
      <c r="V362" s="4"/>
      <c r="W362" s="4"/>
      <c r="X362" s="4"/>
      <c r="Y362" s="4"/>
    </row>
    <row r="363">
      <c r="A363" s="11">
        <v>362.0</v>
      </c>
      <c r="B363" s="4" t="s">
        <v>1176</v>
      </c>
      <c r="C363" s="3" t="s">
        <v>1177</v>
      </c>
      <c r="D363" s="12">
        <v>2020.0</v>
      </c>
      <c r="E363" s="3"/>
      <c r="F363" s="4" t="s">
        <v>22</v>
      </c>
      <c r="G363" s="3"/>
      <c r="H363" s="11" t="s">
        <v>1229</v>
      </c>
      <c r="I363" s="3"/>
      <c r="J363" s="3"/>
      <c r="K363" s="3"/>
      <c r="L363" s="3"/>
      <c r="M363" s="3"/>
      <c r="N363" s="3"/>
      <c r="O363" s="3"/>
      <c r="P363" s="3"/>
      <c r="Q363" s="3"/>
      <c r="R363" s="3"/>
      <c r="S363" s="3"/>
      <c r="T363" s="3"/>
      <c r="U363" s="3"/>
      <c r="V363" s="3"/>
      <c r="W363" s="3"/>
      <c r="X363" s="3"/>
      <c r="Y363" s="3"/>
      <c r="Z363" s="3"/>
    </row>
    <row r="364">
      <c r="A364" s="11">
        <v>363.0</v>
      </c>
      <c r="B364" s="4" t="s">
        <v>1179</v>
      </c>
      <c r="C364" s="3" t="s">
        <v>1180</v>
      </c>
      <c r="D364" s="12">
        <v>2024.0</v>
      </c>
      <c r="E364" s="4" t="s">
        <v>1181</v>
      </c>
      <c r="F364" s="4" t="s">
        <v>22</v>
      </c>
      <c r="G364" s="4" t="s">
        <v>49</v>
      </c>
      <c r="H364" s="11" t="s">
        <v>1229</v>
      </c>
      <c r="I364" s="3"/>
      <c r="J364" s="3"/>
      <c r="K364" s="3"/>
      <c r="L364" s="3"/>
      <c r="M364" s="3"/>
      <c r="N364" s="3"/>
      <c r="O364" s="3"/>
      <c r="P364" s="3"/>
      <c r="Q364" s="3"/>
      <c r="R364" s="3"/>
      <c r="S364" s="3"/>
      <c r="T364" s="3"/>
      <c r="U364" s="3"/>
      <c r="V364" s="3"/>
      <c r="W364" s="3"/>
      <c r="X364" s="3"/>
      <c r="Y364" s="3"/>
      <c r="Z364" s="3"/>
    </row>
    <row r="365">
      <c r="A365" s="12">
        <v>364.0</v>
      </c>
      <c r="B365" s="4" t="s">
        <v>1195</v>
      </c>
      <c r="C365" s="3" t="s">
        <v>1196</v>
      </c>
      <c r="D365" s="4">
        <v>2021.0</v>
      </c>
      <c r="E365" s="4" t="s">
        <v>1197</v>
      </c>
      <c r="F365" s="4" t="s">
        <v>24</v>
      </c>
      <c r="G365" s="4"/>
      <c r="H365" s="11" t="s">
        <v>1229</v>
      </c>
      <c r="I365" s="4"/>
      <c r="J365" s="4"/>
      <c r="K365" s="4"/>
      <c r="L365" s="4"/>
      <c r="M365" s="4"/>
      <c r="N365" s="4"/>
      <c r="O365" s="4"/>
      <c r="P365" s="4"/>
      <c r="Q365" s="4"/>
      <c r="R365" s="4"/>
      <c r="S365" s="4"/>
      <c r="T365" s="4"/>
      <c r="U365" s="4"/>
      <c r="V365" s="4"/>
      <c r="W365" s="4"/>
      <c r="X365" s="4"/>
      <c r="Y365" s="4"/>
    </row>
    <row r="366">
      <c r="A366" s="11">
        <v>365.0</v>
      </c>
      <c r="B366" s="4" t="s">
        <v>1215</v>
      </c>
      <c r="C366" s="3" t="s">
        <v>1216</v>
      </c>
      <c r="D366" s="4">
        <v>2017.0</v>
      </c>
      <c r="E366" s="4" t="s">
        <v>1217</v>
      </c>
      <c r="F366" s="4" t="s">
        <v>24</v>
      </c>
      <c r="G366" s="4"/>
      <c r="H366" s="11" t="s">
        <v>1229</v>
      </c>
      <c r="I366" s="4"/>
      <c r="J366" s="4"/>
      <c r="K366" s="4"/>
      <c r="L366" s="4"/>
      <c r="M366" s="4"/>
      <c r="N366" s="4"/>
      <c r="O366" s="4"/>
      <c r="P366" s="4"/>
      <c r="Q366" s="4"/>
      <c r="R366" s="4"/>
      <c r="S366" s="4"/>
      <c r="T366" s="4"/>
      <c r="U366" s="4"/>
      <c r="V366" s="4"/>
      <c r="W366" s="4"/>
      <c r="X366" s="4"/>
      <c r="Y366" s="4"/>
    </row>
    <row r="367">
      <c r="A367" s="4"/>
      <c r="B367" s="4"/>
      <c r="C367" s="3"/>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3"/>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3"/>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3"/>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3"/>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3"/>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3"/>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3"/>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3"/>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3"/>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3"/>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3"/>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3"/>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3"/>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3"/>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3"/>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3"/>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3"/>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3"/>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3"/>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3"/>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3"/>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3"/>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3"/>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3"/>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3"/>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3"/>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3"/>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3"/>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3"/>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3"/>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3"/>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3"/>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3"/>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3"/>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3"/>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3"/>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3"/>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3"/>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3"/>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3"/>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3"/>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3"/>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3"/>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3"/>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3"/>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3"/>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3"/>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3"/>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3"/>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3"/>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3"/>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3"/>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3"/>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3"/>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3"/>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3"/>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3"/>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3"/>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3"/>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3"/>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3"/>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3"/>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3"/>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3"/>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3"/>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3"/>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3"/>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3"/>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3"/>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3"/>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3"/>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3"/>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3"/>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3"/>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3"/>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3"/>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3"/>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3"/>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3"/>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3"/>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3"/>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3"/>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3"/>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3"/>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3"/>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3"/>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3"/>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3"/>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3"/>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3"/>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3"/>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3"/>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3"/>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3"/>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3"/>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3"/>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3"/>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3"/>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3"/>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3"/>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3"/>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3"/>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3"/>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3"/>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3"/>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3"/>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3"/>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3"/>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3"/>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3"/>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3"/>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3"/>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3"/>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3"/>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3"/>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3"/>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3"/>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3"/>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3"/>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3"/>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3"/>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3"/>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3"/>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3"/>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3"/>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3"/>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3"/>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3"/>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3"/>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3"/>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3"/>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3"/>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3"/>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3"/>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3"/>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3"/>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3"/>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3"/>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3"/>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3"/>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3"/>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3"/>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3"/>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3"/>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3"/>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3"/>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3"/>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3"/>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3"/>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3"/>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3"/>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3"/>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3"/>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3"/>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3"/>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3"/>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3"/>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3"/>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3"/>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3"/>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3"/>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3"/>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3"/>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3"/>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3"/>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3"/>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3"/>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3"/>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3"/>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3"/>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3"/>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3"/>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3"/>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3"/>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3"/>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3"/>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3"/>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3"/>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3"/>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3"/>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3"/>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3"/>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3"/>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3"/>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3"/>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3"/>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3"/>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3"/>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3"/>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3"/>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3"/>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3"/>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3"/>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3"/>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3"/>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3"/>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3"/>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3"/>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3"/>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3"/>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3"/>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3"/>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3"/>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3"/>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3"/>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3"/>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3"/>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3"/>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3"/>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3"/>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3"/>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3"/>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3"/>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3"/>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3"/>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3"/>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3"/>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3"/>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3"/>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3"/>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3"/>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3"/>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3"/>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3"/>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3"/>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3"/>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3"/>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3"/>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3"/>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3"/>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3"/>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3"/>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3"/>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3"/>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3"/>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3"/>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3"/>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3"/>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3"/>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3"/>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3"/>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3"/>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3"/>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3"/>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3"/>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3"/>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3"/>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3"/>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3"/>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3"/>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3"/>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3"/>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3"/>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3"/>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3"/>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3"/>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3"/>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3"/>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3"/>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3"/>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3"/>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3"/>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3"/>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3"/>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3"/>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3"/>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3"/>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3"/>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3"/>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3"/>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3"/>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3"/>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3"/>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3"/>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3"/>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3"/>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3"/>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3"/>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3"/>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3"/>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3"/>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3"/>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3"/>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3"/>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3"/>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3"/>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3"/>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3"/>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3"/>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3"/>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3"/>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3"/>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3"/>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3"/>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3"/>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3"/>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3"/>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3"/>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3"/>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3"/>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3"/>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3"/>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3"/>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3"/>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3"/>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3"/>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3"/>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3"/>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3"/>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3"/>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3"/>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3"/>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3"/>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3"/>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3"/>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3"/>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3"/>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3"/>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3"/>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3"/>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3"/>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3"/>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3"/>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3"/>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3"/>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3"/>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3"/>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3"/>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3"/>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3"/>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3"/>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3"/>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3"/>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3"/>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3"/>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3"/>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3"/>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3"/>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3"/>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3"/>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3"/>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3"/>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3"/>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3"/>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3"/>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3"/>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3"/>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3"/>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3"/>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3"/>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3"/>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3"/>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3"/>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3"/>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3"/>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3"/>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3"/>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3"/>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3"/>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3"/>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3"/>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3"/>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3"/>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3"/>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3"/>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3"/>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3"/>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3"/>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3"/>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3"/>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3"/>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3"/>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3"/>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3"/>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3"/>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3"/>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3"/>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3"/>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3"/>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3"/>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3"/>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3"/>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3"/>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3"/>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3"/>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3"/>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3"/>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3"/>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3"/>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3"/>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3"/>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3"/>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3"/>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3"/>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3"/>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3"/>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3"/>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3"/>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3"/>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3"/>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3"/>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3"/>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3"/>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3"/>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3"/>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3"/>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3"/>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3"/>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3"/>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3"/>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3"/>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3"/>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3"/>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3"/>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3"/>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3"/>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3"/>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3"/>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3"/>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3"/>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3"/>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3"/>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3"/>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3"/>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3"/>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3"/>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3"/>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3"/>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3"/>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3"/>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3"/>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3"/>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3"/>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3"/>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3"/>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3"/>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3"/>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3"/>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3"/>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3"/>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3"/>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3"/>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3"/>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3"/>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3"/>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3"/>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3"/>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3"/>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3"/>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3"/>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3"/>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3"/>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3"/>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3"/>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3"/>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3"/>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3"/>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3"/>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3"/>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3"/>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3"/>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3"/>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3"/>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3"/>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3"/>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3"/>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3"/>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3"/>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3"/>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3"/>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3"/>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3"/>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3"/>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3"/>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3"/>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3"/>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3"/>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3"/>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3"/>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3"/>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3"/>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3"/>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3"/>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3"/>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3"/>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3"/>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3"/>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3"/>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3"/>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3"/>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3"/>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3"/>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3"/>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3"/>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3"/>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3"/>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3"/>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3"/>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3"/>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3"/>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3"/>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3"/>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3"/>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3"/>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3"/>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3"/>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3"/>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3"/>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3"/>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3"/>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3"/>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3"/>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3"/>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3"/>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3"/>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3"/>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3"/>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3"/>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3"/>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3"/>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3"/>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3"/>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3"/>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3"/>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3"/>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3"/>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3"/>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3"/>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3"/>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3"/>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3"/>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3"/>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3"/>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3"/>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3"/>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3"/>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3"/>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3"/>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3"/>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3"/>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3"/>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3"/>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3"/>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3"/>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3"/>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3"/>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3"/>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3"/>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3"/>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3"/>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3"/>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3"/>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3"/>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3"/>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3"/>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3"/>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3"/>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3"/>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3"/>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3"/>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3"/>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3"/>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3"/>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3"/>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3"/>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3"/>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3"/>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3"/>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3"/>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3"/>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3"/>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3"/>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3"/>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3"/>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3"/>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3"/>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3"/>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3"/>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3"/>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3"/>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3"/>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3"/>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3"/>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3"/>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3"/>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3"/>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3"/>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3"/>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3"/>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3"/>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3"/>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3"/>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3"/>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3"/>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3"/>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3"/>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3"/>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3"/>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3"/>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3"/>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3"/>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3"/>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3"/>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3"/>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3"/>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3"/>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3"/>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3"/>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3"/>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3"/>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3"/>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3"/>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3"/>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3"/>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3"/>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3"/>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3"/>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3"/>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3"/>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3"/>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3"/>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3"/>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3"/>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3"/>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3"/>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3"/>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3"/>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3"/>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3"/>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3"/>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3"/>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3"/>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3"/>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3"/>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3"/>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3"/>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3"/>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3"/>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3"/>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3"/>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3"/>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3"/>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3"/>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3"/>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3"/>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4"/>
      <c r="C1013" s="3"/>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4"/>
      <c r="C1014" s="3"/>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4"/>
      <c r="C1015" s="3"/>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4"/>
      <c r="C1016" s="3"/>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4"/>
      <c r="C1017" s="3"/>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4"/>
      <c r="C1018" s="3"/>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4"/>
      <c r="C1019" s="3"/>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4"/>
      <c r="C1020" s="3"/>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4"/>
      <c r="C1021" s="3"/>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4"/>
      <c r="C1022" s="3"/>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4"/>
      <c r="C1023" s="3"/>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4"/>
      <c r="C1024" s="3"/>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4"/>
      <c r="C1025" s="3"/>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4"/>
      <c r="C1026" s="3"/>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4"/>
      <c r="C1027" s="3"/>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4"/>
      <c r="C1028" s="3"/>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4"/>
      <c r="C1029" s="3"/>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4"/>
      <c r="C1030" s="3"/>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4"/>
      <c r="C1031" s="3"/>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4"/>
      <c r="C1032" s="3"/>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4"/>
      <c r="C1033" s="3"/>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4"/>
      <c r="C1034" s="3"/>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4"/>
      <c r="C1035" s="3"/>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4"/>
      <c r="C1036" s="3"/>
      <c r="D1036" s="4"/>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4"/>
      <c r="C1037" s="3"/>
      <c r="D1037" s="4"/>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4"/>
      <c r="C1038" s="3"/>
      <c r="D1038" s="4"/>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4"/>
      <c r="C1039" s="3"/>
      <c r="D1039" s="4"/>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4"/>
      <c r="C1040" s="3"/>
      <c r="D1040" s="4"/>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4"/>
      <c r="C1041" s="3"/>
      <c r="D1041" s="4"/>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4"/>
      <c r="C1042" s="3"/>
      <c r="D1042" s="4"/>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4"/>
      <c r="C1043" s="3"/>
      <c r="D1043" s="4"/>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4"/>
      <c r="C1044" s="3"/>
      <c r="D1044" s="4"/>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4"/>
      <c r="C1045" s="3"/>
      <c r="D1045" s="4"/>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4"/>
      <c r="C1046" s="3"/>
      <c r="D1046" s="4"/>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4"/>
      <c r="C1047" s="3"/>
      <c r="D1047" s="4"/>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4"/>
      <c r="C1048" s="3"/>
      <c r="D1048" s="4"/>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4"/>
      <c r="C1049" s="3"/>
      <c r="D1049" s="4"/>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4"/>
      <c r="C1050" s="3"/>
      <c r="D1050" s="4"/>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4"/>
      <c r="C1051" s="3"/>
      <c r="D1051" s="4"/>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4"/>
      <c r="C1052" s="3"/>
      <c r="D1052" s="4"/>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4"/>
      <c r="C1053" s="3"/>
      <c r="D1053" s="4"/>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4"/>
      <c r="C1054" s="3"/>
      <c r="D1054" s="4"/>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4"/>
      <c r="C1055" s="3"/>
      <c r="D1055" s="4"/>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4"/>
      <c r="C1056" s="3"/>
      <c r="D1056" s="4"/>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4"/>
      <c r="C1057" s="3"/>
      <c r="D1057" s="4"/>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4"/>
      <c r="C1058" s="3"/>
      <c r="D1058" s="4"/>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4"/>
      <c r="C1059" s="3"/>
      <c r="D1059" s="4"/>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4"/>
      <c r="C1060" s="3"/>
      <c r="D1060" s="4"/>
      <c r="E1060" s="4"/>
      <c r="F1060" s="4"/>
      <c r="G1060" s="4"/>
      <c r="H1060" s="4"/>
      <c r="I1060" s="4"/>
      <c r="J1060" s="4"/>
      <c r="K1060" s="4"/>
      <c r="L1060" s="4"/>
      <c r="M1060" s="4"/>
      <c r="N1060" s="4"/>
      <c r="O1060" s="4"/>
      <c r="P1060" s="4"/>
      <c r="Q1060" s="4"/>
      <c r="R1060" s="4"/>
      <c r="S1060" s="4"/>
      <c r="T1060" s="4"/>
      <c r="U1060" s="4"/>
      <c r="V1060" s="4"/>
      <c r="W1060" s="4"/>
      <c r="X1060" s="4"/>
      <c r="Y1060" s="4"/>
    </row>
    <row r="1061">
      <c r="A1061" s="4"/>
      <c r="B1061" s="4"/>
      <c r="C1061" s="3"/>
      <c r="D1061" s="4"/>
      <c r="E1061" s="4"/>
      <c r="F1061" s="4"/>
      <c r="G1061" s="4"/>
      <c r="H1061" s="4"/>
      <c r="I1061" s="4"/>
      <c r="J1061" s="4"/>
      <c r="K1061" s="4"/>
      <c r="L1061" s="4"/>
      <c r="M1061" s="4"/>
      <c r="N1061" s="4"/>
      <c r="O1061" s="4"/>
      <c r="P1061" s="4"/>
      <c r="Q1061" s="4"/>
      <c r="R1061" s="4"/>
      <c r="S1061" s="4"/>
      <c r="T1061" s="4"/>
      <c r="U1061" s="4"/>
      <c r="V1061" s="4"/>
      <c r="W1061" s="4"/>
      <c r="X1061" s="4"/>
      <c r="Y1061" s="4"/>
    </row>
    <row r="1062">
      <c r="A1062" s="4"/>
      <c r="B1062" s="4"/>
      <c r="C1062" s="3"/>
      <c r="D1062" s="4"/>
      <c r="E1062" s="4"/>
      <c r="F1062" s="4"/>
      <c r="G1062" s="4"/>
      <c r="H1062" s="4"/>
      <c r="I1062" s="4"/>
      <c r="J1062" s="4"/>
      <c r="K1062" s="4"/>
      <c r="L1062" s="4"/>
      <c r="M1062" s="4"/>
      <c r="N1062" s="4"/>
      <c r="O1062" s="4"/>
      <c r="P1062" s="4"/>
      <c r="Q1062" s="4"/>
      <c r="R1062" s="4"/>
      <c r="S1062" s="4"/>
      <c r="T1062" s="4"/>
      <c r="U1062" s="4"/>
      <c r="V1062" s="4"/>
      <c r="W1062" s="4"/>
      <c r="X1062" s="4"/>
      <c r="Y1062" s="4"/>
    </row>
    <row r="1063">
      <c r="A1063" s="4"/>
      <c r="B1063" s="4"/>
      <c r="C1063" s="3"/>
      <c r="D1063" s="4"/>
      <c r="E1063" s="4"/>
      <c r="F1063" s="4"/>
      <c r="G1063" s="4"/>
      <c r="H1063" s="4"/>
      <c r="I1063" s="4"/>
      <c r="J1063" s="4"/>
      <c r="K1063" s="4"/>
      <c r="L1063" s="4"/>
      <c r="M1063" s="4"/>
      <c r="N1063" s="4"/>
      <c r="O1063" s="4"/>
      <c r="P1063" s="4"/>
      <c r="Q1063" s="4"/>
      <c r="R1063" s="4"/>
      <c r="S1063" s="4"/>
      <c r="T1063" s="4"/>
      <c r="U1063" s="4"/>
      <c r="V1063" s="4"/>
      <c r="W1063" s="4"/>
      <c r="X1063" s="4"/>
      <c r="Y1063" s="4"/>
    </row>
    <row r="1064">
      <c r="A1064" s="4"/>
      <c r="B1064" s="4"/>
      <c r="C1064" s="3"/>
      <c r="D1064" s="4"/>
      <c r="E1064" s="4"/>
      <c r="F1064" s="4"/>
      <c r="G1064" s="4"/>
      <c r="H1064" s="4"/>
      <c r="I1064" s="4"/>
      <c r="J1064" s="4"/>
      <c r="K1064" s="4"/>
      <c r="L1064" s="4"/>
      <c r="M1064" s="4"/>
      <c r="N1064" s="4"/>
      <c r="O1064" s="4"/>
      <c r="P1064" s="4"/>
      <c r="Q1064" s="4"/>
      <c r="R1064" s="4"/>
      <c r="S1064" s="4"/>
      <c r="T1064" s="4"/>
      <c r="U1064" s="4"/>
      <c r="V1064" s="4"/>
      <c r="W1064" s="4"/>
      <c r="X1064" s="4"/>
      <c r="Y1064" s="4"/>
    </row>
    <row r="1065">
      <c r="A1065" s="4"/>
      <c r="B1065" s="4"/>
      <c r="C1065" s="3"/>
      <c r="D1065" s="4"/>
      <c r="E1065" s="4"/>
      <c r="F1065" s="4"/>
      <c r="G1065" s="4"/>
      <c r="H1065" s="4"/>
      <c r="I1065" s="4"/>
      <c r="J1065" s="4"/>
      <c r="K1065" s="4"/>
      <c r="L1065" s="4"/>
      <c r="M1065" s="4"/>
      <c r="N1065" s="4"/>
      <c r="O1065" s="4"/>
      <c r="P1065" s="4"/>
      <c r="Q1065" s="4"/>
      <c r="R1065" s="4"/>
      <c r="S1065" s="4"/>
      <c r="T1065" s="4"/>
      <c r="U1065" s="4"/>
      <c r="V1065" s="4"/>
      <c r="W1065" s="4"/>
      <c r="X1065" s="4"/>
      <c r="Y1065" s="4"/>
    </row>
    <row r="1066">
      <c r="A1066" s="4"/>
      <c r="B1066" s="4"/>
      <c r="C1066" s="3"/>
      <c r="D1066" s="4"/>
      <c r="E1066" s="4"/>
      <c r="F1066" s="4"/>
      <c r="G1066" s="4"/>
      <c r="H1066" s="4"/>
      <c r="I1066" s="4"/>
      <c r="J1066" s="4"/>
      <c r="K1066" s="4"/>
      <c r="L1066" s="4"/>
      <c r="M1066" s="4"/>
      <c r="N1066" s="4"/>
      <c r="O1066" s="4"/>
      <c r="P1066" s="4"/>
      <c r="Q1066" s="4"/>
      <c r="R1066" s="4"/>
      <c r="S1066" s="4"/>
      <c r="T1066" s="4"/>
      <c r="U1066" s="4"/>
      <c r="V1066" s="4"/>
      <c r="W1066" s="4"/>
      <c r="X1066" s="4"/>
      <c r="Y1066" s="4"/>
    </row>
    <row r="1067">
      <c r="A1067" s="4"/>
      <c r="B1067" s="4"/>
      <c r="C1067" s="3"/>
      <c r="D1067" s="4"/>
      <c r="E1067" s="4"/>
      <c r="F1067" s="4"/>
      <c r="G1067" s="4"/>
      <c r="H1067" s="4"/>
      <c r="I1067" s="4"/>
      <c r="J1067" s="4"/>
      <c r="K1067" s="4"/>
      <c r="L1067" s="4"/>
      <c r="M1067" s="4"/>
      <c r="N1067" s="4"/>
      <c r="O1067" s="4"/>
      <c r="P1067" s="4"/>
      <c r="Q1067" s="4"/>
      <c r="R1067" s="4"/>
      <c r="S1067" s="4"/>
      <c r="T1067" s="4"/>
      <c r="U1067" s="4"/>
      <c r="V1067" s="4"/>
      <c r="W1067" s="4"/>
      <c r="X1067" s="4"/>
      <c r="Y1067" s="4"/>
    </row>
    <row r="1068">
      <c r="A1068" s="4"/>
      <c r="B1068" s="4"/>
      <c r="C1068" s="3"/>
      <c r="D1068" s="4"/>
      <c r="E1068" s="4"/>
      <c r="F1068" s="4"/>
      <c r="G1068" s="4"/>
      <c r="H1068" s="4"/>
      <c r="I1068" s="4"/>
      <c r="J1068" s="4"/>
      <c r="K1068" s="4"/>
      <c r="L1068" s="4"/>
      <c r="M1068" s="4"/>
      <c r="N1068" s="4"/>
      <c r="O1068" s="4"/>
      <c r="P1068" s="4"/>
      <c r="Q1068" s="4"/>
      <c r="R1068" s="4"/>
      <c r="S1068" s="4"/>
      <c r="T1068" s="4"/>
      <c r="U1068" s="4"/>
      <c r="V1068" s="4"/>
      <c r="W1068" s="4"/>
      <c r="X1068" s="4"/>
      <c r="Y1068" s="4"/>
    </row>
    <row r="1069">
      <c r="A1069" s="4"/>
      <c r="B1069" s="4"/>
      <c r="C1069" s="3"/>
      <c r="D1069" s="4"/>
      <c r="E1069" s="4"/>
      <c r="F1069" s="4"/>
      <c r="G1069" s="4"/>
      <c r="H1069" s="4"/>
      <c r="I1069" s="4"/>
      <c r="J1069" s="4"/>
      <c r="K1069" s="4"/>
      <c r="L1069" s="4"/>
      <c r="M1069" s="4"/>
      <c r="N1069" s="4"/>
      <c r="O1069" s="4"/>
      <c r="P1069" s="4"/>
      <c r="Q1069" s="4"/>
      <c r="R1069" s="4"/>
      <c r="S1069" s="4"/>
      <c r="T1069" s="4"/>
      <c r="U1069" s="4"/>
      <c r="V1069" s="4"/>
      <c r="W1069" s="4"/>
      <c r="X1069" s="4"/>
      <c r="Y1069" s="4"/>
    </row>
    <row r="1070">
      <c r="A1070" s="4"/>
      <c r="B1070" s="4"/>
      <c r="C1070" s="3"/>
      <c r="D1070" s="4"/>
      <c r="E1070" s="4"/>
      <c r="F1070" s="4"/>
      <c r="G1070" s="4"/>
      <c r="H1070" s="4"/>
      <c r="I1070" s="4"/>
      <c r="J1070" s="4"/>
      <c r="K1070" s="4"/>
      <c r="L1070" s="4"/>
      <c r="M1070" s="4"/>
      <c r="N1070" s="4"/>
      <c r="O1070" s="4"/>
      <c r="P1070" s="4"/>
      <c r="Q1070" s="4"/>
      <c r="R1070" s="4"/>
      <c r="S1070" s="4"/>
      <c r="T1070" s="4"/>
      <c r="U1070" s="4"/>
      <c r="V1070" s="4"/>
      <c r="W1070" s="4"/>
      <c r="X1070" s="4"/>
      <c r="Y1070" s="4"/>
    </row>
    <row r="1071">
      <c r="A1071" s="4"/>
      <c r="B1071" s="4"/>
      <c r="C1071" s="3"/>
      <c r="D1071" s="4"/>
      <c r="E1071" s="4"/>
      <c r="F1071" s="4"/>
      <c r="G1071" s="4"/>
      <c r="H1071" s="4"/>
      <c r="I1071" s="4"/>
      <c r="J1071" s="4"/>
      <c r="K1071" s="4"/>
      <c r="L1071" s="4"/>
      <c r="M1071" s="4"/>
      <c r="N1071" s="4"/>
      <c r="O1071" s="4"/>
      <c r="P1071" s="4"/>
      <c r="Q1071" s="4"/>
      <c r="R1071" s="4"/>
      <c r="S1071" s="4"/>
      <c r="T1071" s="4"/>
      <c r="U1071" s="4"/>
      <c r="V1071" s="4"/>
      <c r="W1071" s="4"/>
      <c r="X1071" s="4"/>
      <c r="Y1071" s="4"/>
    </row>
    <row r="1072">
      <c r="A1072" s="4"/>
      <c r="B1072" s="4"/>
      <c r="C1072" s="3"/>
      <c r="D1072" s="4"/>
      <c r="E1072" s="4"/>
      <c r="F1072" s="4"/>
      <c r="G1072" s="4"/>
      <c r="H1072" s="4"/>
      <c r="I1072" s="4"/>
      <c r="J1072" s="4"/>
      <c r="K1072" s="4"/>
      <c r="L1072" s="4"/>
      <c r="M1072" s="4"/>
      <c r="N1072" s="4"/>
      <c r="O1072" s="4"/>
      <c r="P1072" s="4"/>
      <c r="Q1072" s="4"/>
      <c r="R1072" s="4"/>
      <c r="S1072" s="4"/>
      <c r="T1072" s="4"/>
      <c r="U1072" s="4"/>
      <c r="V1072" s="4"/>
      <c r="W1072" s="4"/>
      <c r="X1072" s="4"/>
      <c r="Y1072" s="4"/>
    </row>
    <row r="1073">
      <c r="A1073" s="4"/>
      <c r="B1073" s="4"/>
      <c r="C1073" s="3"/>
      <c r="D1073" s="4"/>
      <c r="E1073" s="4"/>
      <c r="F1073" s="4"/>
      <c r="G1073" s="4"/>
      <c r="H1073" s="4"/>
      <c r="I1073" s="4"/>
      <c r="J1073" s="4"/>
      <c r="K1073" s="4"/>
      <c r="L1073" s="4"/>
      <c r="M1073" s="4"/>
      <c r="N1073" s="4"/>
      <c r="O1073" s="4"/>
      <c r="P1073" s="4"/>
      <c r="Q1073" s="4"/>
      <c r="R1073" s="4"/>
      <c r="S1073" s="4"/>
      <c r="T1073" s="4"/>
      <c r="U1073" s="4"/>
      <c r="V1073" s="4"/>
      <c r="W1073" s="4"/>
      <c r="X1073" s="4"/>
      <c r="Y1073" s="4"/>
    </row>
    <row r="1074">
      <c r="A1074" s="4"/>
      <c r="B1074" s="4"/>
      <c r="C1074" s="3"/>
      <c r="D1074" s="4"/>
      <c r="E1074" s="4"/>
      <c r="F1074" s="4"/>
      <c r="G1074" s="4"/>
      <c r="H1074" s="4"/>
      <c r="I1074" s="4"/>
      <c r="J1074" s="4"/>
      <c r="K1074" s="4"/>
      <c r="L1074" s="4"/>
      <c r="M1074" s="4"/>
      <c r="N1074" s="4"/>
      <c r="O1074" s="4"/>
      <c r="P1074" s="4"/>
      <c r="Q1074" s="4"/>
      <c r="R1074" s="4"/>
      <c r="S1074" s="4"/>
      <c r="T1074" s="4"/>
      <c r="U1074" s="4"/>
      <c r="V1074" s="4"/>
      <c r="W1074" s="4"/>
      <c r="X1074" s="4"/>
      <c r="Y1074" s="4"/>
    </row>
    <row r="1075">
      <c r="A1075" s="4"/>
      <c r="B1075" s="4"/>
      <c r="C1075" s="3"/>
      <c r="D1075" s="4"/>
      <c r="E1075" s="4"/>
      <c r="F1075" s="4"/>
      <c r="G1075" s="4"/>
      <c r="H1075" s="4"/>
      <c r="I1075" s="4"/>
      <c r="J1075" s="4"/>
      <c r="K1075" s="4"/>
      <c r="L1075" s="4"/>
      <c r="M1075" s="4"/>
      <c r="N1075" s="4"/>
      <c r="O1075" s="4"/>
      <c r="P1075" s="4"/>
      <c r="Q1075" s="4"/>
      <c r="R1075" s="4"/>
      <c r="S1075" s="4"/>
      <c r="T1075" s="4"/>
      <c r="U1075" s="4"/>
      <c r="V1075" s="4"/>
      <c r="W1075" s="4"/>
      <c r="X1075" s="4"/>
      <c r="Y1075" s="4"/>
    </row>
    <row r="1076">
      <c r="A1076" s="4"/>
      <c r="B1076" s="4"/>
      <c r="C1076" s="3"/>
      <c r="D1076" s="4"/>
      <c r="E1076" s="4"/>
      <c r="F1076" s="4"/>
      <c r="G1076" s="4"/>
      <c r="H1076" s="4"/>
      <c r="I1076" s="4"/>
      <c r="J1076" s="4"/>
      <c r="K1076" s="4"/>
      <c r="L1076" s="4"/>
      <c r="M1076" s="4"/>
      <c r="N1076" s="4"/>
      <c r="O1076" s="4"/>
      <c r="P1076" s="4"/>
      <c r="Q1076" s="4"/>
      <c r="R1076" s="4"/>
      <c r="S1076" s="4"/>
      <c r="T1076" s="4"/>
      <c r="U1076" s="4"/>
      <c r="V1076" s="4"/>
      <c r="W1076" s="4"/>
      <c r="X1076" s="4"/>
      <c r="Y1076" s="4"/>
    </row>
    <row r="1077">
      <c r="A1077" s="4"/>
      <c r="B1077" s="4"/>
      <c r="C1077" s="3"/>
      <c r="D1077" s="4"/>
      <c r="E1077" s="4"/>
      <c r="F1077" s="4"/>
      <c r="G1077" s="4"/>
      <c r="H1077" s="4"/>
      <c r="I1077" s="4"/>
      <c r="J1077" s="4"/>
      <c r="K1077" s="4"/>
      <c r="L1077" s="4"/>
      <c r="M1077" s="4"/>
      <c r="N1077" s="4"/>
      <c r="O1077" s="4"/>
      <c r="P1077" s="4"/>
      <c r="Q1077" s="4"/>
      <c r="R1077" s="4"/>
      <c r="S1077" s="4"/>
      <c r="T1077" s="4"/>
      <c r="U1077" s="4"/>
      <c r="V1077" s="4"/>
      <c r="W1077" s="4"/>
      <c r="X1077" s="4"/>
      <c r="Y1077" s="4"/>
    </row>
    <row r="1078">
      <c r="A1078" s="4"/>
      <c r="B1078" s="4"/>
      <c r="C1078" s="3"/>
      <c r="D1078" s="4"/>
      <c r="E1078" s="4"/>
      <c r="F1078" s="4"/>
      <c r="G1078" s="4"/>
      <c r="H1078" s="4"/>
      <c r="I1078" s="4"/>
      <c r="J1078" s="4"/>
      <c r="K1078" s="4"/>
      <c r="L1078" s="4"/>
      <c r="M1078" s="4"/>
      <c r="N1078" s="4"/>
      <c r="O1078" s="4"/>
      <c r="P1078" s="4"/>
      <c r="Q1078" s="4"/>
      <c r="R1078" s="4"/>
      <c r="S1078" s="4"/>
      <c r="T1078" s="4"/>
      <c r="U1078" s="4"/>
      <c r="V1078" s="4"/>
      <c r="W1078" s="4"/>
      <c r="X1078" s="4"/>
      <c r="Y1078" s="4"/>
    </row>
    <row r="1079">
      <c r="A1079" s="4"/>
      <c r="B1079" s="4"/>
      <c r="C1079" s="3"/>
      <c r="D1079" s="4"/>
      <c r="E1079" s="4"/>
      <c r="F1079" s="4"/>
      <c r="G1079" s="4"/>
      <c r="H1079" s="4"/>
      <c r="I1079" s="4"/>
      <c r="J1079" s="4"/>
      <c r="K1079" s="4"/>
      <c r="L1079" s="4"/>
      <c r="M1079" s="4"/>
      <c r="N1079" s="4"/>
      <c r="O1079" s="4"/>
      <c r="P1079" s="4"/>
      <c r="Q1079" s="4"/>
      <c r="R1079" s="4"/>
      <c r="S1079" s="4"/>
      <c r="T1079" s="4"/>
      <c r="U1079" s="4"/>
      <c r="V1079" s="4"/>
      <c r="W1079" s="4"/>
      <c r="X1079" s="4"/>
      <c r="Y1079" s="4"/>
    </row>
    <row r="1080">
      <c r="A1080" s="4"/>
      <c r="B1080" s="4"/>
      <c r="C1080" s="3"/>
      <c r="D1080" s="4"/>
      <c r="E1080" s="4"/>
      <c r="F1080" s="4"/>
      <c r="G1080" s="4"/>
      <c r="H1080" s="4"/>
      <c r="I1080" s="4"/>
      <c r="J1080" s="4"/>
      <c r="K1080" s="4"/>
      <c r="L1080" s="4"/>
      <c r="M1080" s="4"/>
      <c r="N1080" s="4"/>
      <c r="O1080" s="4"/>
      <c r="P1080" s="4"/>
      <c r="Q1080" s="4"/>
      <c r="R1080" s="4"/>
      <c r="S1080" s="4"/>
      <c r="T1080" s="4"/>
      <c r="U1080" s="4"/>
      <c r="V1080" s="4"/>
      <c r="W1080" s="4"/>
      <c r="X1080" s="4"/>
      <c r="Y1080" s="4"/>
    </row>
    <row r="1081">
      <c r="A1081" s="4"/>
      <c r="B1081" s="4"/>
      <c r="C1081" s="3"/>
      <c r="D1081" s="4"/>
      <c r="E1081" s="4"/>
      <c r="F1081" s="4"/>
      <c r="G1081" s="4"/>
      <c r="H1081" s="4"/>
      <c r="I1081" s="4"/>
      <c r="J1081" s="4"/>
      <c r="K1081" s="4"/>
      <c r="L1081" s="4"/>
      <c r="M1081" s="4"/>
      <c r="N1081" s="4"/>
      <c r="O1081" s="4"/>
      <c r="P1081" s="4"/>
      <c r="Q1081" s="4"/>
      <c r="R1081" s="4"/>
      <c r="S1081" s="4"/>
      <c r="T1081" s="4"/>
      <c r="U1081" s="4"/>
      <c r="V1081" s="4"/>
      <c r="W1081" s="4"/>
      <c r="X1081" s="4"/>
      <c r="Y1081" s="4"/>
    </row>
    <row r="1082">
      <c r="A1082" s="4"/>
      <c r="B1082" s="4"/>
      <c r="C1082" s="3"/>
      <c r="D1082" s="4"/>
      <c r="E1082" s="4"/>
      <c r="F1082" s="4"/>
      <c r="G1082" s="4"/>
      <c r="H1082" s="4"/>
      <c r="I1082" s="4"/>
      <c r="J1082" s="4"/>
      <c r="K1082" s="4"/>
      <c r="L1082" s="4"/>
      <c r="M1082" s="4"/>
      <c r="N1082" s="4"/>
      <c r="O1082" s="4"/>
      <c r="P1082" s="4"/>
      <c r="Q1082" s="4"/>
      <c r="R1082" s="4"/>
      <c r="S1082" s="4"/>
      <c r="T1082" s="4"/>
      <c r="U1082" s="4"/>
      <c r="V1082" s="4"/>
      <c r="W1082" s="4"/>
      <c r="X1082" s="4"/>
      <c r="Y1082" s="4"/>
    </row>
    <row r="1083">
      <c r="A1083" s="4"/>
      <c r="B1083" s="4"/>
      <c r="C1083" s="3"/>
      <c r="D1083" s="4"/>
      <c r="E1083" s="4"/>
      <c r="F1083" s="4"/>
      <c r="G1083" s="4"/>
      <c r="H1083" s="4"/>
      <c r="I1083" s="4"/>
      <c r="J1083" s="4"/>
      <c r="K1083" s="4"/>
      <c r="L1083" s="4"/>
      <c r="M1083" s="4"/>
      <c r="N1083" s="4"/>
      <c r="O1083" s="4"/>
      <c r="P1083" s="4"/>
      <c r="Q1083" s="4"/>
      <c r="R1083" s="4"/>
      <c r="S1083" s="4"/>
      <c r="T1083" s="4"/>
      <c r="U1083" s="4"/>
      <c r="V1083" s="4"/>
      <c r="W1083" s="4"/>
      <c r="X1083" s="4"/>
      <c r="Y1083" s="4"/>
    </row>
    <row r="1084">
      <c r="A1084" s="4"/>
      <c r="B1084" s="4"/>
      <c r="C1084" s="3"/>
      <c r="D1084" s="4"/>
      <c r="E1084" s="4"/>
      <c r="F1084" s="4"/>
      <c r="G1084" s="4"/>
      <c r="H1084" s="4"/>
      <c r="I1084" s="4"/>
      <c r="J1084" s="4"/>
      <c r="K1084" s="4"/>
      <c r="L1084" s="4"/>
      <c r="M1084" s="4"/>
      <c r="N1084" s="4"/>
      <c r="O1084" s="4"/>
      <c r="P1084" s="4"/>
      <c r="Q1084" s="4"/>
      <c r="R1084" s="4"/>
      <c r="S1084" s="4"/>
      <c r="T1084" s="4"/>
      <c r="U1084" s="4"/>
      <c r="V1084" s="4"/>
      <c r="W1084" s="4"/>
      <c r="X1084" s="4"/>
      <c r="Y1084" s="4"/>
    </row>
    <row r="1085">
      <c r="A1085" s="4"/>
      <c r="B1085" s="4"/>
      <c r="C1085" s="3"/>
      <c r="D1085" s="4"/>
      <c r="E1085" s="4"/>
      <c r="F1085" s="4"/>
      <c r="G1085" s="4"/>
      <c r="H1085" s="4"/>
      <c r="I1085" s="4"/>
      <c r="J1085" s="4"/>
      <c r="K1085" s="4"/>
      <c r="L1085" s="4"/>
      <c r="M1085" s="4"/>
      <c r="N1085" s="4"/>
      <c r="O1085" s="4"/>
      <c r="P1085" s="4"/>
      <c r="Q1085" s="4"/>
      <c r="R1085" s="4"/>
      <c r="S1085" s="4"/>
      <c r="T1085" s="4"/>
      <c r="U1085" s="4"/>
      <c r="V1085" s="4"/>
      <c r="W1085" s="4"/>
      <c r="X1085" s="4"/>
      <c r="Y1085" s="4"/>
    </row>
    <row r="1086">
      <c r="A1086" s="4"/>
      <c r="B1086" s="4"/>
      <c r="C1086" s="3"/>
      <c r="D1086" s="4"/>
      <c r="E1086" s="4"/>
      <c r="F1086" s="4"/>
      <c r="G1086" s="4"/>
      <c r="H1086" s="4"/>
      <c r="I1086" s="4"/>
      <c r="J1086" s="4"/>
      <c r="K1086" s="4"/>
      <c r="L1086" s="4"/>
      <c r="M1086" s="4"/>
      <c r="N1086" s="4"/>
      <c r="O1086" s="4"/>
      <c r="P1086" s="4"/>
      <c r="Q1086" s="4"/>
      <c r="R1086" s="4"/>
      <c r="S1086" s="4"/>
      <c r="T1086" s="4"/>
      <c r="U1086" s="4"/>
      <c r="V1086" s="4"/>
      <c r="W1086" s="4"/>
      <c r="X1086" s="4"/>
      <c r="Y1086" s="4"/>
    </row>
    <row r="1087">
      <c r="A1087" s="4"/>
      <c r="B1087" s="4"/>
      <c r="C1087" s="3"/>
      <c r="D1087" s="4"/>
      <c r="E1087" s="4"/>
      <c r="F1087" s="4"/>
      <c r="G1087" s="4"/>
      <c r="H1087" s="4"/>
      <c r="I1087" s="4"/>
      <c r="J1087" s="4"/>
      <c r="K1087" s="4"/>
      <c r="L1087" s="4"/>
      <c r="M1087" s="4"/>
      <c r="N1087" s="4"/>
      <c r="O1087" s="4"/>
      <c r="P1087" s="4"/>
      <c r="Q1087" s="4"/>
      <c r="R1087" s="4"/>
      <c r="S1087" s="4"/>
      <c r="T1087" s="4"/>
      <c r="U1087" s="4"/>
      <c r="V1087" s="4"/>
      <c r="W1087" s="4"/>
      <c r="X1087" s="4"/>
      <c r="Y1087" s="4"/>
    </row>
    <row r="1088">
      <c r="A1088" s="4"/>
      <c r="B1088" s="4"/>
      <c r="C1088" s="3"/>
      <c r="D1088" s="4"/>
      <c r="E1088" s="4"/>
      <c r="F1088" s="4"/>
      <c r="G1088" s="4"/>
      <c r="H1088" s="4"/>
      <c r="I1088" s="4"/>
      <c r="J1088" s="4"/>
      <c r="K1088" s="4"/>
      <c r="L1088" s="4"/>
      <c r="M1088" s="4"/>
      <c r="N1088" s="4"/>
      <c r="O1088" s="4"/>
      <c r="P1088" s="4"/>
      <c r="Q1088" s="4"/>
      <c r="R1088" s="4"/>
      <c r="S1088" s="4"/>
      <c r="T1088" s="4"/>
      <c r="U1088" s="4"/>
      <c r="V1088" s="4"/>
      <c r="W1088" s="4"/>
      <c r="X1088" s="4"/>
      <c r="Y1088" s="4"/>
    </row>
  </sheetData>
  <conditionalFormatting sqref="B1:B1088">
    <cfRule type="expression" dxfId="0" priority="1">
      <formula>COUNTIF(B:B, B1) &gt; 1</formula>
    </cfRule>
  </conditionalFormatting>
  <dataValidations>
    <dataValidation type="list" allowBlank="1" showErrorMessage="1" sqref="H2:H1088">
      <formula1>"Include,Exclude"</formula1>
    </dataValidation>
    <dataValidation type="list" allowBlank="1" showErrorMessage="1" sqref="G2:G1088">
      <formula1>"Conference,Journal"</formula1>
    </dataValidation>
    <dataValidation type="list" allowBlank="1" showErrorMessage="1" sqref="F363:F365">
      <formula1>"IEEE,Springer,Science Direct,ACM,Taylor and Francis ,Wiley ,Google Scholar ,Source ,Scopus,Semantic Scholar,Source"</formula1>
    </dataValidation>
    <dataValidation type="list" allowBlank="1" showErrorMessage="1" sqref="F2:F362 F366:F1088">
      <formula1>"IEEE,Springer,Science Direct,ACM,Taylor and Francis ,Wiley ,Google Scholar ,Source ,Semantic Scholar,Scopus"</formula1>
    </dataValidation>
    <dataValidation type="list" allowBlank="1" showErrorMessage="1" sqref="D2:D1088">
      <formula1>"2025,2024,2023,2022,2021,2020,2019,2018,2017,2016,2015"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5.13"/>
    <col customWidth="1" min="3" max="3" width="30.25"/>
    <col customWidth="1" min="4" max="4" width="35.25"/>
    <col customWidth="1" min="6" max="6" width="19.5"/>
    <col customWidth="1" min="7" max="7" width="16.75"/>
    <col customWidth="1" min="8" max="8" width="15.75"/>
    <col customWidth="1" min="10" max="10" width="16.25"/>
  </cols>
  <sheetData>
    <row r="1">
      <c r="A1" s="13" t="s">
        <v>28</v>
      </c>
      <c r="B1" s="13" t="s">
        <v>29</v>
      </c>
      <c r="C1" s="14" t="s">
        <v>30</v>
      </c>
      <c r="D1" s="20" t="s">
        <v>1234</v>
      </c>
      <c r="E1" s="13" t="s">
        <v>31</v>
      </c>
      <c r="F1" s="14" t="s">
        <v>32</v>
      </c>
      <c r="G1" s="14" t="s">
        <v>33</v>
      </c>
      <c r="H1" s="14" t="s">
        <v>34</v>
      </c>
      <c r="I1" s="14" t="s">
        <v>1235</v>
      </c>
      <c r="J1" s="14" t="s">
        <v>1236</v>
      </c>
      <c r="K1" s="4"/>
      <c r="L1" s="4"/>
      <c r="M1" s="4"/>
      <c r="N1" s="4"/>
      <c r="O1" s="4"/>
      <c r="P1" s="4"/>
      <c r="Q1" s="4"/>
      <c r="R1" s="4"/>
      <c r="S1" s="4"/>
      <c r="T1" s="4"/>
      <c r="U1" s="4"/>
      <c r="V1" s="4"/>
      <c r="W1" s="4"/>
      <c r="X1" s="4"/>
      <c r="Y1" s="4"/>
      <c r="Z1" s="4"/>
      <c r="AA1" s="21"/>
    </row>
    <row r="2">
      <c r="A2" s="11">
        <v>1.0</v>
      </c>
      <c r="B2" s="11" t="s">
        <v>43</v>
      </c>
      <c r="C2" s="11" t="s">
        <v>44</v>
      </c>
      <c r="D2" s="22" t="s">
        <v>1237</v>
      </c>
      <c r="E2" s="11">
        <v>2020.0</v>
      </c>
      <c r="F2" s="11" t="s">
        <v>45</v>
      </c>
      <c r="G2" s="11" t="s">
        <v>38</v>
      </c>
      <c r="H2" s="11" t="s">
        <v>39</v>
      </c>
      <c r="I2" s="11" t="s">
        <v>1238</v>
      </c>
      <c r="J2" s="11" t="s">
        <v>1238</v>
      </c>
      <c r="K2" s="4"/>
      <c r="L2" s="4"/>
      <c r="M2" s="4"/>
      <c r="N2" s="4"/>
      <c r="O2" s="4"/>
      <c r="P2" s="4"/>
      <c r="Q2" s="4"/>
      <c r="R2" s="4"/>
      <c r="S2" s="4"/>
      <c r="T2" s="4"/>
      <c r="U2" s="4"/>
      <c r="V2" s="4"/>
      <c r="W2" s="4"/>
      <c r="X2" s="4"/>
      <c r="Y2" s="4"/>
      <c r="Z2" s="4"/>
      <c r="AA2" s="21"/>
    </row>
    <row r="3">
      <c r="A3" s="11">
        <v>2.0</v>
      </c>
      <c r="B3" s="11" t="s">
        <v>53</v>
      </c>
      <c r="C3" s="11" t="s">
        <v>54</v>
      </c>
      <c r="D3" s="22" t="s">
        <v>1239</v>
      </c>
      <c r="E3" s="11">
        <v>2021.0</v>
      </c>
      <c r="F3" s="11" t="s">
        <v>55</v>
      </c>
      <c r="G3" s="11" t="s">
        <v>38</v>
      </c>
      <c r="H3" s="11" t="s">
        <v>39</v>
      </c>
      <c r="I3" s="11" t="s">
        <v>1238</v>
      </c>
      <c r="J3" s="11" t="s">
        <v>1238</v>
      </c>
      <c r="K3" s="4"/>
      <c r="L3" s="4"/>
      <c r="M3" s="4"/>
      <c r="N3" s="4"/>
      <c r="O3" s="4"/>
      <c r="P3" s="4"/>
      <c r="Q3" s="4"/>
      <c r="R3" s="4"/>
      <c r="S3" s="4"/>
      <c r="T3" s="4"/>
      <c r="U3" s="4"/>
      <c r="V3" s="4"/>
      <c r="W3" s="4"/>
      <c r="X3" s="4"/>
      <c r="Y3" s="4"/>
      <c r="Z3" s="4"/>
      <c r="AA3" s="21"/>
    </row>
    <row r="4">
      <c r="A4" s="11">
        <v>3.0</v>
      </c>
      <c r="B4" s="11" t="s">
        <v>56</v>
      </c>
      <c r="C4" s="11" t="s">
        <v>57</v>
      </c>
      <c r="D4" s="22" t="s">
        <v>1240</v>
      </c>
      <c r="E4" s="11">
        <v>2015.0</v>
      </c>
      <c r="F4" s="11" t="s">
        <v>58</v>
      </c>
      <c r="G4" s="11" t="s">
        <v>38</v>
      </c>
      <c r="H4" s="11" t="s">
        <v>39</v>
      </c>
      <c r="I4" s="11" t="s">
        <v>1238</v>
      </c>
      <c r="J4" s="11" t="s">
        <v>1238</v>
      </c>
      <c r="K4" s="4"/>
      <c r="L4" s="4"/>
      <c r="M4" s="4"/>
      <c r="N4" s="4"/>
      <c r="O4" s="4"/>
      <c r="P4" s="4"/>
      <c r="Q4" s="4"/>
      <c r="R4" s="4"/>
      <c r="S4" s="4"/>
      <c r="T4" s="4"/>
      <c r="U4" s="4"/>
      <c r="V4" s="4"/>
      <c r="W4" s="4"/>
      <c r="X4" s="4"/>
      <c r="Y4" s="4"/>
      <c r="Z4" s="4"/>
      <c r="AA4" s="21"/>
    </row>
    <row r="5">
      <c r="A5" s="11">
        <v>4.0</v>
      </c>
      <c r="B5" s="11" t="s">
        <v>69</v>
      </c>
      <c r="C5" s="11" t="s">
        <v>70</v>
      </c>
      <c r="D5" s="23" t="s">
        <v>1241</v>
      </c>
      <c r="E5" s="11">
        <v>2024.0</v>
      </c>
      <c r="F5" s="11" t="s">
        <v>71</v>
      </c>
      <c r="G5" s="11" t="s">
        <v>65</v>
      </c>
      <c r="H5" s="11" t="s">
        <v>49</v>
      </c>
      <c r="I5" s="11" t="s">
        <v>1238</v>
      </c>
      <c r="J5" s="11" t="s">
        <v>1238</v>
      </c>
      <c r="K5" s="4"/>
      <c r="L5" s="4"/>
      <c r="M5" s="4"/>
      <c r="N5" s="4"/>
      <c r="O5" s="4"/>
      <c r="P5" s="4"/>
      <c r="Q5" s="4"/>
      <c r="R5" s="4"/>
      <c r="S5" s="4"/>
      <c r="T5" s="4"/>
      <c r="U5" s="4"/>
      <c r="V5" s="4"/>
      <c r="W5" s="4"/>
      <c r="X5" s="4"/>
      <c r="Y5" s="4"/>
      <c r="Z5" s="4"/>
      <c r="AA5" s="21"/>
    </row>
    <row r="6">
      <c r="A6" s="11">
        <v>5.0</v>
      </c>
      <c r="B6" s="11" t="s">
        <v>72</v>
      </c>
      <c r="C6" s="11" t="s">
        <v>73</v>
      </c>
      <c r="D6" s="23" t="s">
        <v>1242</v>
      </c>
      <c r="E6" s="11">
        <v>2024.0</v>
      </c>
      <c r="F6" s="11" t="s">
        <v>74</v>
      </c>
      <c r="G6" s="11" t="s">
        <v>65</v>
      </c>
      <c r="H6" s="11" t="s">
        <v>39</v>
      </c>
      <c r="I6" s="11" t="s">
        <v>1238</v>
      </c>
      <c r="J6" s="11" t="s">
        <v>1238</v>
      </c>
      <c r="K6" s="4"/>
      <c r="L6" s="4"/>
      <c r="M6" s="4"/>
      <c r="N6" s="4"/>
      <c r="O6" s="4"/>
      <c r="P6" s="4"/>
      <c r="Q6" s="4"/>
      <c r="R6" s="4"/>
      <c r="S6" s="4"/>
      <c r="T6" s="4"/>
      <c r="U6" s="4"/>
      <c r="V6" s="4"/>
      <c r="W6" s="4"/>
      <c r="X6" s="4"/>
      <c r="Y6" s="4"/>
      <c r="Z6" s="4"/>
      <c r="AA6" s="21"/>
    </row>
    <row r="7">
      <c r="A7" s="11">
        <v>6.0</v>
      </c>
      <c r="B7" s="11" t="s">
        <v>75</v>
      </c>
      <c r="C7" s="11" t="s">
        <v>76</v>
      </c>
      <c r="D7" s="23" t="s">
        <v>1243</v>
      </c>
      <c r="E7" s="11">
        <v>2023.0</v>
      </c>
      <c r="F7" s="11" t="s">
        <v>77</v>
      </c>
      <c r="G7" s="11" t="s">
        <v>65</v>
      </c>
      <c r="H7" s="11" t="s">
        <v>49</v>
      </c>
      <c r="I7" s="11" t="s">
        <v>1238</v>
      </c>
      <c r="J7" s="11" t="s">
        <v>1238</v>
      </c>
      <c r="K7" s="4"/>
      <c r="L7" s="4"/>
      <c r="M7" s="4"/>
      <c r="N7" s="4"/>
      <c r="O7" s="4"/>
      <c r="P7" s="4"/>
      <c r="Q7" s="4"/>
      <c r="R7" s="4"/>
      <c r="S7" s="4"/>
      <c r="T7" s="4"/>
      <c r="U7" s="4"/>
      <c r="V7" s="4"/>
      <c r="W7" s="4"/>
      <c r="X7" s="4"/>
      <c r="Y7" s="4"/>
      <c r="Z7" s="4"/>
      <c r="AA7" s="21"/>
    </row>
    <row r="8">
      <c r="A8" s="11">
        <v>7.0</v>
      </c>
      <c r="B8" s="11" t="s">
        <v>78</v>
      </c>
      <c r="C8" s="11" t="s">
        <v>79</v>
      </c>
      <c r="D8" s="23" t="s">
        <v>1244</v>
      </c>
      <c r="E8" s="11">
        <v>2025.0</v>
      </c>
      <c r="F8" s="11" t="s">
        <v>80</v>
      </c>
      <c r="G8" s="11" t="s">
        <v>65</v>
      </c>
      <c r="H8" s="11" t="s">
        <v>39</v>
      </c>
      <c r="I8" s="11" t="s">
        <v>1245</v>
      </c>
      <c r="J8" s="11" t="s">
        <v>1238</v>
      </c>
      <c r="K8" s="4"/>
      <c r="L8" s="4"/>
      <c r="M8" s="4"/>
      <c r="N8" s="4"/>
      <c r="O8" s="4"/>
      <c r="P8" s="4"/>
      <c r="Q8" s="4"/>
      <c r="R8" s="4"/>
      <c r="S8" s="4"/>
      <c r="T8" s="4"/>
      <c r="U8" s="4"/>
      <c r="V8" s="4"/>
      <c r="W8" s="4"/>
      <c r="X8" s="4"/>
      <c r="Y8" s="4"/>
      <c r="Z8" s="4"/>
      <c r="AA8" s="21"/>
    </row>
    <row r="9">
      <c r="A9" s="11">
        <v>8.0</v>
      </c>
      <c r="B9" s="11" t="s">
        <v>101</v>
      </c>
      <c r="C9" s="11" t="s">
        <v>102</v>
      </c>
      <c r="D9" s="23" t="s">
        <v>1246</v>
      </c>
      <c r="E9" s="11">
        <v>2025.0</v>
      </c>
      <c r="F9" s="11" t="s">
        <v>103</v>
      </c>
      <c r="G9" s="11" t="s">
        <v>65</v>
      </c>
      <c r="H9" s="11" t="s">
        <v>49</v>
      </c>
      <c r="I9" s="11" t="s">
        <v>1238</v>
      </c>
      <c r="J9" s="11" t="s">
        <v>1238</v>
      </c>
      <c r="K9" s="4"/>
      <c r="L9" s="4"/>
      <c r="M9" s="4"/>
      <c r="N9" s="4"/>
      <c r="O9" s="4"/>
      <c r="P9" s="4"/>
      <c r="Q9" s="4"/>
      <c r="R9" s="4"/>
      <c r="S9" s="4"/>
      <c r="T9" s="4"/>
      <c r="U9" s="4"/>
      <c r="V9" s="4"/>
      <c r="W9" s="4"/>
      <c r="X9" s="4"/>
      <c r="Y9" s="4"/>
      <c r="Z9" s="4"/>
      <c r="AA9" s="21"/>
    </row>
    <row r="10">
      <c r="A10" s="11">
        <v>9.0</v>
      </c>
      <c r="B10" s="11" t="s">
        <v>104</v>
      </c>
      <c r="C10" s="11" t="s">
        <v>105</v>
      </c>
      <c r="D10" s="23" t="s">
        <v>1247</v>
      </c>
      <c r="E10" s="11">
        <v>2024.0</v>
      </c>
      <c r="F10" s="11" t="s">
        <v>106</v>
      </c>
      <c r="G10" s="11" t="s">
        <v>65</v>
      </c>
      <c r="H10" s="11" t="s">
        <v>49</v>
      </c>
      <c r="I10" s="11" t="s">
        <v>1238</v>
      </c>
      <c r="J10" s="11" t="s">
        <v>1238</v>
      </c>
      <c r="K10" s="4"/>
      <c r="L10" s="4"/>
      <c r="M10" s="4"/>
      <c r="N10" s="4"/>
      <c r="O10" s="4"/>
      <c r="P10" s="4"/>
      <c r="Q10" s="4"/>
      <c r="R10" s="4"/>
      <c r="S10" s="4"/>
      <c r="T10" s="4"/>
      <c r="U10" s="4"/>
      <c r="V10" s="4"/>
      <c r="W10" s="4"/>
      <c r="X10" s="4"/>
      <c r="Y10" s="4"/>
      <c r="Z10" s="4"/>
      <c r="AA10" s="21"/>
    </row>
    <row r="11">
      <c r="A11" s="11">
        <v>10.0</v>
      </c>
      <c r="B11" s="11" t="s">
        <v>119</v>
      </c>
      <c r="C11" s="11" t="s">
        <v>120</v>
      </c>
      <c r="D11" s="23" t="s">
        <v>1248</v>
      </c>
      <c r="E11" s="11">
        <v>2024.0</v>
      </c>
      <c r="F11" s="11" t="s">
        <v>121</v>
      </c>
      <c r="G11" s="11" t="s">
        <v>65</v>
      </c>
      <c r="H11" s="11" t="s">
        <v>39</v>
      </c>
      <c r="I11" s="11" t="s">
        <v>1245</v>
      </c>
      <c r="J11" s="11" t="s">
        <v>1238</v>
      </c>
      <c r="K11" s="4"/>
      <c r="L11" s="4"/>
      <c r="M11" s="4"/>
      <c r="N11" s="4"/>
      <c r="O11" s="4"/>
      <c r="P11" s="4"/>
      <c r="Q11" s="4"/>
      <c r="R11" s="4"/>
      <c r="S11" s="4"/>
      <c r="T11" s="4"/>
      <c r="U11" s="4"/>
      <c r="V11" s="4"/>
      <c r="W11" s="4"/>
      <c r="X11" s="4"/>
      <c r="Y11" s="4"/>
      <c r="Z11" s="4"/>
      <c r="AA11" s="21"/>
    </row>
    <row r="12">
      <c r="A12" s="11">
        <v>11.0</v>
      </c>
      <c r="B12" s="11" t="s">
        <v>125</v>
      </c>
      <c r="C12" s="11" t="s">
        <v>126</v>
      </c>
      <c r="D12" s="23" t="s">
        <v>1249</v>
      </c>
      <c r="E12" s="11">
        <v>2025.0</v>
      </c>
      <c r="F12" s="11" t="s">
        <v>71</v>
      </c>
      <c r="G12" s="11" t="s">
        <v>65</v>
      </c>
      <c r="H12" s="11" t="s">
        <v>49</v>
      </c>
      <c r="I12" s="11" t="s">
        <v>1238</v>
      </c>
      <c r="J12" s="11" t="s">
        <v>1238</v>
      </c>
      <c r="K12" s="4"/>
      <c r="L12" s="4"/>
      <c r="M12" s="4"/>
      <c r="N12" s="4"/>
      <c r="O12" s="4"/>
      <c r="P12" s="4"/>
      <c r="Q12" s="4"/>
      <c r="R12" s="4"/>
      <c r="S12" s="4"/>
      <c r="T12" s="4"/>
      <c r="U12" s="4"/>
      <c r="V12" s="4"/>
      <c r="W12" s="4"/>
      <c r="X12" s="4"/>
      <c r="Y12" s="4"/>
      <c r="Z12" s="4"/>
      <c r="AA12" s="21"/>
    </row>
    <row r="13">
      <c r="A13" s="11">
        <v>12.0</v>
      </c>
      <c r="B13" s="11" t="s">
        <v>129</v>
      </c>
      <c r="C13" s="11" t="s">
        <v>130</v>
      </c>
      <c r="D13" s="23" t="s">
        <v>1250</v>
      </c>
      <c r="E13" s="11">
        <v>2022.0</v>
      </c>
      <c r="F13" s="11" t="s">
        <v>131</v>
      </c>
      <c r="G13" s="11" t="s">
        <v>65</v>
      </c>
      <c r="H13" s="11" t="s">
        <v>39</v>
      </c>
      <c r="I13" s="11" t="s">
        <v>1245</v>
      </c>
      <c r="J13" s="11" t="s">
        <v>1238</v>
      </c>
      <c r="K13" s="4"/>
      <c r="L13" s="4"/>
      <c r="M13" s="11" t="s">
        <v>1251</v>
      </c>
      <c r="N13" s="4"/>
      <c r="O13" s="4"/>
      <c r="P13" s="4"/>
      <c r="Q13" s="4"/>
      <c r="R13" s="4"/>
      <c r="S13" s="4"/>
      <c r="T13" s="4"/>
      <c r="U13" s="4"/>
      <c r="V13" s="4"/>
      <c r="W13" s="4"/>
      <c r="X13" s="4"/>
      <c r="Y13" s="4"/>
      <c r="Z13" s="4"/>
      <c r="AA13" s="21"/>
    </row>
    <row r="14">
      <c r="A14" s="11">
        <v>13.0</v>
      </c>
      <c r="B14" s="11" t="s">
        <v>153</v>
      </c>
      <c r="C14" s="11" t="s">
        <v>154</v>
      </c>
      <c r="D14" s="23" t="s">
        <v>1252</v>
      </c>
      <c r="E14" s="11">
        <v>2020.0</v>
      </c>
      <c r="F14" s="11" t="s">
        <v>155</v>
      </c>
      <c r="G14" s="11" t="s">
        <v>65</v>
      </c>
      <c r="H14" s="11" t="s">
        <v>39</v>
      </c>
      <c r="I14" s="11" t="s">
        <v>1245</v>
      </c>
      <c r="J14" s="11" t="s">
        <v>1238</v>
      </c>
      <c r="K14" s="4"/>
      <c r="L14" s="4"/>
      <c r="M14" s="4"/>
      <c r="N14" s="4"/>
      <c r="O14" s="4"/>
      <c r="P14" s="4"/>
      <c r="Q14" s="4"/>
      <c r="R14" s="4"/>
      <c r="S14" s="4"/>
      <c r="T14" s="4"/>
      <c r="U14" s="4"/>
      <c r="V14" s="4"/>
      <c r="W14" s="4"/>
      <c r="X14" s="4"/>
      <c r="Y14" s="4"/>
      <c r="Z14" s="4"/>
      <c r="AA14" s="21"/>
    </row>
    <row r="15">
      <c r="A15" s="11">
        <v>14.0</v>
      </c>
      <c r="B15" s="11" t="s">
        <v>156</v>
      </c>
      <c r="C15" s="11" t="s">
        <v>157</v>
      </c>
      <c r="D15" s="22" t="s">
        <v>1253</v>
      </c>
      <c r="E15" s="11">
        <v>2020.0</v>
      </c>
      <c r="F15" s="11" t="s">
        <v>158</v>
      </c>
      <c r="G15" s="11" t="s">
        <v>65</v>
      </c>
      <c r="H15" s="11" t="s">
        <v>39</v>
      </c>
      <c r="I15" s="11" t="s">
        <v>1238</v>
      </c>
      <c r="J15" s="11" t="s">
        <v>1238</v>
      </c>
      <c r="K15" s="4"/>
      <c r="L15" s="4"/>
      <c r="M15" s="4"/>
      <c r="N15" s="4"/>
      <c r="O15" s="4"/>
      <c r="P15" s="4"/>
      <c r="Q15" s="4"/>
      <c r="R15" s="4"/>
      <c r="S15" s="4"/>
      <c r="T15" s="4"/>
      <c r="U15" s="4"/>
      <c r="V15" s="4"/>
      <c r="W15" s="4"/>
      <c r="X15" s="4"/>
      <c r="Y15" s="4"/>
      <c r="Z15" s="4"/>
      <c r="AA15" s="21"/>
    </row>
    <row r="16">
      <c r="A16" s="11">
        <v>15.0</v>
      </c>
      <c r="B16" s="11" t="s">
        <v>165</v>
      </c>
      <c r="C16" s="11" t="s">
        <v>166</v>
      </c>
      <c r="D16" s="22" t="s">
        <v>1254</v>
      </c>
      <c r="E16" s="11">
        <v>2024.0</v>
      </c>
      <c r="F16" s="11" t="s">
        <v>167</v>
      </c>
      <c r="G16" s="11" t="s">
        <v>65</v>
      </c>
      <c r="H16" s="11" t="s">
        <v>39</v>
      </c>
      <c r="I16" s="11" t="s">
        <v>1245</v>
      </c>
      <c r="J16" s="11" t="s">
        <v>1238</v>
      </c>
      <c r="K16" s="4"/>
      <c r="L16" s="4"/>
      <c r="M16" s="4"/>
      <c r="N16" s="4"/>
      <c r="O16" s="4"/>
      <c r="P16" s="4"/>
      <c r="Q16" s="4"/>
      <c r="R16" s="4"/>
      <c r="S16" s="4"/>
      <c r="T16" s="4"/>
      <c r="U16" s="4"/>
      <c r="V16" s="4"/>
      <c r="W16" s="4"/>
      <c r="X16" s="4"/>
      <c r="Y16" s="4"/>
      <c r="Z16" s="4"/>
      <c r="AA16" s="21"/>
    </row>
    <row r="17">
      <c r="A17" s="11">
        <v>16.0</v>
      </c>
      <c r="B17" s="11" t="s">
        <v>170</v>
      </c>
      <c r="C17" s="11" t="s">
        <v>171</v>
      </c>
      <c r="D17" s="22" t="s">
        <v>1255</v>
      </c>
      <c r="E17" s="11">
        <v>2024.0</v>
      </c>
      <c r="F17" s="11" t="s">
        <v>172</v>
      </c>
      <c r="G17" s="11" t="s">
        <v>65</v>
      </c>
      <c r="H17" s="11" t="s">
        <v>49</v>
      </c>
      <c r="I17" s="11" t="s">
        <v>1238</v>
      </c>
      <c r="J17" s="11" t="s">
        <v>1238</v>
      </c>
      <c r="K17" s="4"/>
      <c r="L17" s="4"/>
      <c r="M17" s="4"/>
      <c r="N17" s="4"/>
      <c r="O17" s="4"/>
      <c r="P17" s="4"/>
      <c r="Q17" s="4"/>
      <c r="R17" s="4"/>
      <c r="S17" s="4"/>
      <c r="T17" s="4"/>
      <c r="U17" s="4"/>
      <c r="V17" s="4"/>
      <c r="W17" s="4"/>
      <c r="X17" s="4"/>
      <c r="Y17" s="4"/>
      <c r="Z17" s="4"/>
      <c r="AA17" s="21"/>
    </row>
    <row r="18">
      <c r="A18" s="11">
        <v>17.0</v>
      </c>
      <c r="B18" s="11" t="s">
        <v>175</v>
      </c>
      <c r="C18" s="11" t="s">
        <v>176</v>
      </c>
      <c r="D18" s="22" t="s">
        <v>1256</v>
      </c>
      <c r="E18" s="11">
        <v>2025.0</v>
      </c>
      <c r="F18" s="11" t="s">
        <v>172</v>
      </c>
      <c r="G18" s="11" t="s">
        <v>65</v>
      </c>
      <c r="H18" s="11" t="s">
        <v>49</v>
      </c>
      <c r="I18" s="24" t="s">
        <v>1245</v>
      </c>
      <c r="J18" s="11" t="s">
        <v>1238</v>
      </c>
      <c r="K18" s="4"/>
      <c r="L18" s="4"/>
      <c r="M18" s="4"/>
      <c r="N18" s="4"/>
      <c r="O18" s="4"/>
      <c r="P18" s="4"/>
      <c r="Q18" s="4"/>
      <c r="R18" s="4"/>
      <c r="S18" s="4"/>
      <c r="T18" s="4"/>
      <c r="U18" s="4"/>
      <c r="V18" s="4"/>
      <c r="W18" s="4"/>
      <c r="X18" s="4"/>
      <c r="Y18" s="4"/>
      <c r="Z18" s="4"/>
      <c r="AA18" s="21"/>
    </row>
    <row r="19">
      <c r="A19" s="11">
        <v>18.0</v>
      </c>
      <c r="B19" s="11" t="s">
        <v>177</v>
      </c>
      <c r="C19" s="11" t="s">
        <v>178</v>
      </c>
      <c r="D19" s="22" t="s">
        <v>1257</v>
      </c>
      <c r="E19" s="11">
        <v>2021.0</v>
      </c>
      <c r="F19" s="11" t="s">
        <v>172</v>
      </c>
      <c r="G19" s="11" t="s">
        <v>65</v>
      </c>
      <c r="H19" s="11" t="s">
        <v>49</v>
      </c>
      <c r="I19" s="24" t="s">
        <v>1245</v>
      </c>
      <c r="J19" s="11" t="s">
        <v>1238</v>
      </c>
      <c r="K19" s="4"/>
      <c r="L19" s="4"/>
      <c r="M19" s="4"/>
      <c r="N19" s="4"/>
      <c r="O19" s="4"/>
      <c r="P19" s="4"/>
      <c r="Q19" s="4"/>
      <c r="R19" s="4"/>
      <c r="S19" s="4"/>
      <c r="T19" s="4"/>
      <c r="U19" s="4"/>
      <c r="V19" s="4"/>
      <c r="W19" s="4"/>
      <c r="X19" s="4"/>
      <c r="Y19" s="4"/>
      <c r="Z19" s="4"/>
      <c r="AA19" s="21"/>
    </row>
    <row r="20">
      <c r="A20" s="11">
        <v>19.0</v>
      </c>
      <c r="B20" s="11" t="s">
        <v>193</v>
      </c>
      <c r="C20" s="11" t="s">
        <v>194</v>
      </c>
      <c r="D20" s="22" t="s">
        <v>1258</v>
      </c>
      <c r="E20" s="11">
        <v>2022.0</v>
      </c>
      <c r="F20" s="11" t="s">
        <v>195</v>
      </c>
      <c r="G20" s="11" t="s">
        <v>65</v>
      </c>
      <c r="H20" s="11" t="s">
        <v>39</v>
      </c>
      <c r="I20" s="24" t="s">
        <v>1245</v>
      </c>
      <c r="J20" s="11" t="s">
        <v>1238</v>
      </c>
      <c r="K20" s="4"/>
      <c r="L20" s="4"/>
      <c r="M20" s="4"/>
      <c r="N20" s="4"/>
      <c r="O20" s="4"/>
      <c r="P20" s="4"/>
      <c r="Q20" s="4"/>
      <c r="R20" s="4"/>
      <c r="S20" s="4"/>
      <c r="T20" s="4"/>
      <c r="U20" s="4"/>
      <c r="V20" s="4"/>
      <c r="W20" s="4"/>
      <c r="X20" s="4"/>
      <c r="Y20" s="4"/>
      <c r="Z20" s="4"/>
      <c r="AA20" s="21"/>
    </row>
    <row r="21">
      <c r="A21" s="11">
        <v>20.0</v>
      </c>
      <c r="B21" s="11" t="s">
        <v>196</v>
      </c>
      <c r="C21" s="11" t="s">
        <v>197</v>
      </c>
      <c r="D21" s="22" t="s">
        <v>1259</v>
      </c>
      <c r="E21" s="11">
        <v>2025.0</v>
      </c>
      <c r="F21" s="11" t="s">
        <v>198</v>
      </c>
      <c r="G21" s="11" t="s">
        <v>65</v>
      </c>
      <c r="H21" s="11" t="s">
        <v>49</v>
      </c>
      <c r="I21" s="11" t="s">
        <v>1245</v>
      </c>
      <c r="J21" s="11" t="s">
        <v>1238</v>
      </c>
      <c r="K21" s="4"/>
      <c r="L21" s="4"/>
      <c r="M21" s="4"/>
      <c r="N21" s="4"/>
      <c r="O21" s="4"/>
      <c r="P21" s="4"/>
      <c r="Q21" s="4"/>
      <c r="R21" s="4"/>
      <c r="S21" s="4"/>
      <c r="T21" s="4"/>
      <c r="U21" s="4"/>
      <c r="V21" s="4"/>
      <c r="W21" s="4"/>
      <c r="X21" s="4"/>
      <c r="Y21" s="4"/>
      <c r="Z21" s="4"/>
      <c r="AA21" s="21"/>
    </row>
    <row r="22">
      <c r="A22" s="11">
        <v>21.0</v>
      </c>
      <c r="B22" s="11" t="s">
        <v>202</v>
      </c>
      <c r="C22" s="11" t="s">
        <v>203</v>
      </c>
      <c r="D22" s="22" t="s">
        <v>1260</v>
      </c>
      <c r="E22" s="11">
        <v>2020.0</v>
      </c>
      <c r="F22" s="11" t="s">
        <v>204</v>
      </c>
      <c r="G22" s="11" t="s">
        <v>65</v>
      </c>
      <c r="H22" s="11" t="s">
        <v>49</v>
      </c>
      <c r="I22" s="11" t="s">
        <v>1245</v>
      </c>
      <c r="J22" s="11" t="s">
        <v>1238</v>
      </c>
      <c r="K22" s="4"/>
      <c r="L22" s="4"/>
      <c r="M22" s="4"/>
      <c r="N22" s="4"/>
      <c r="O22" s="4"/>
      <c r="P22" s="4"/>
      <c r="Q22" s="4"/>
      <c r="R22" s="4"/>
      <c r="S22" s="4"/>
      <c r="T22" s="4"/>
      <c r="U22" s="4"/>
      <c r="V22" s="4"/>
      <c r="W22" s="4"/>
      <c r="X22" s="4"/>
      <c r="Y22" s="4"/>
      <c r="Z22" s="4"/>
      <c r="AA22" s="21"/>
    </row>
    <row r="23">
      <c r="A23" s="11">
        <v>22.0</v>
      </c>
      <c r="B23" s="11" t="s">
        <v>213</v>
      </c>
      <c r="C23" s="11" t="s">
        <v>214</v>
      </c>
      <c r="D23" s="22" t="s">
        <v>1261</v>
      </c>
      <c r="E23" s="11">
        <v>2022.0</v>
      </c>
      <c r="F23" s="11" t="s">
        <v>215</v>
      </c>
      <c r="G23" s="11" t="s">
        <v>65</v>
      </c>
      <c r="H23" s="11" t="s">
        <v>39</v>
      </c>
      <c r="I23" s="24" t="s">
        <v>1245</v>
      </c>
      <c r="J23" s="11" t="s">
        <v>1238</v>
      </c>
      <c r="K23" s="4"/>
      <c r="L23" s="4"/>
      <c r="M23" s="4"/>
      <c r="N23" s="4"/>
      <c r="O23" s="4"/>
      <c r="P23" s="4"/>
      <c r="Q23" s="4"/>
      <c r="R23" s="4"/>
      <c r="S23" s="4"/>
      <c r="T23" s="4"/>
      <c r="U23" s="4"/>
      <c r="V23" s="4"/>
      <c r="W23" s="4"/>
      <c r="X23" s="4"/>
      <c r="Y23" s="4"/>
      <c r="Z23" s="4"/>
      <c r="AA23" s="21"/>
    </row>
    <row r="24">
      <c r="A24" s="11">
        <v>23.0</v>
      </c>
      <c r="B24" s="11" t="s">
        <v>240</v>
      </c>
      <c r="C24" s="11" t="s">
        <v>241</v>
      </c>
      <c r="D24" s="22" t="s">
        <v>1262</v>
      </c>
      <c r="E24" s="11">
        <v>2020.0</v>
      </c>
      <c r="F24" s="11" t="s">
        <v>242</v>
      </c>
      <c r="G24" s="11" t="s">
        <v>65</v>
      </c>
      <c r="H24" s="11" t="s">
        <v>39</v>
      </c>
      <c r="I24" s="11" t="s">
        <v>1238</v>
      </c>
      <c r="J24" s="11" t="s">
        <v>1238</v>
      </c>
      <c r="K24" s="4"/>
      <c r="L24" s="4"/>
      <c r="M24" s="4"/>
      <c r="N24" s="4"/>
      <c r="O24" s="4"/>
      <c r="P24" s="4"/>
      <c r="Q24" s="4"/>
      <c r="R24" s="4"/>
      <c r="S24" s="4"/>
      <c r="T24" s="4"/>
      <c r="U24" s="4"/>
      <c r="V24" s="4"/>
      <c r="W24" s="4"/>
      <c r="X24" s="4"/>
      <c r="Y24" s="4"/>
      <c r="Z24" s="4"/>
      <c r="AA24" s="21"/>
    </row>
    <row r="25">
      <c r="A25" s="11">
        <v>24.0</v>
      </c>
      <c r="B25" s="11" t="s">
        <v>243</v>
      </c>
      <c r="C25" s="11" t="s">
        <v>244</v>
      </c>
      <c r="D25" s="22" t="s">
        <v>1263</v>
      </c>
      <c r="E25" s="11">
        <v>2019.0</v>
      </c>
      <c r="F25" s="11" t="s">
        <v>245</v>
      </c>
      <c r="G25" s="11" t="s">
        <v>65</v>
      </c>
      <c r="H25" s="11" t="s">
        <v>39</v>
      </c>
      <c r="I25" s="11" t="s">
        <v>1238</v>
      </c>
      <c r="J25" s="11" t="s">
        <v>1238</v>
      </c>
      <c r="K25" s="4"/>
      <c r="L25" s="4"/>
      <c r="M25" s="4"/>
      <c r="N25" s="4"/>
      <c r="O25" s="4"/>
      <c r="P25" s="4"/>
      <c r="Q25" s="4"/>
      <c r="R25" s="4"/>
      <c r="S25" s="4"/>
      <c r="T25" s="4"/>
      <c r="U25" s="4"/>
      <c r="V25" s="4"/>
      <c r="W25" s="4"/>
      <c r="X25" s="4"/>
      <c r="Y25" s="4"/>
      <c r="Z25" s="4"/>
      <c r="AA25" s="21"/>
    </row>
    <row r="26">
      <c r="A26" s="11">
        <v>25.0</v>
      </c>
      <c r="B26" s="11" t="s">
        <v>263</v>
      </c>
      <c r="C26" s="11" t="s">
        <v>264</v>
      </c>
      <c r="D26" s="22" t="s">
        <v>1264</v>
      </c>
      <c r="E26" s="11">
        <v>2025.0</v>
      </c>
      <c r="F26" s="11" t="s">
        <v>181</v>
      </c>
      <c r="G26" s="11" t="s">
        <v>65</v>
      </c>
      <c r="H26" s="11" t="s">
        <v>49</v>
      </c>
      <c r="I26" s="11" t="s">
        <v>1238</v>
      </c>
      <c r="J26" s="11" t="s">
        <v>1238</v>
      </c>
      <c r="K26" s="4"/>
      <c r="L26" s="4"/>
      <c r="M26" s="4"/>
      <c r="N26" s="4"/>
      <c r="O26" s="4"/>
      <c r="P26" s="4"/>
      <c r="Q26" s="4"/>
      <c r="R26" s="4"/>
      <c r="S26" s="4"/>
      <c r="T26" s="4"/>
      <c r="U26" s="4"/>
      <c r="V26" s="4"/>
      <c r="W26" s="4"/>
      <c r="X26" s="4"/>
      <c r="Y26" s="4"/>
      <c r="Z26" s="4"/>
      <c r="AA26" s="21"/>
    </row>
    <row r="27">
      <c r="A27" s="11">
        <v>26.0</v>
      </c>
      <c r="B27" s="11" t="s">
        <v>298</v>
      </c>
      <c r="C27" s="11" t="s">
        <v>299</v>
      </c>
      <c r="D27" s="22" t="s">
        <v>1265</v>
      </c>
      <c r="E27" s="11">
        <v>2021.0</v>
      </c>
      <c r="F27" s="11" t="s">
        <v>300</v>
      </c>
      <c r="G27" s="11" t="s">
        <v>65</v>
      </c>
      <c r="H27" s="11" t="s">
        <v>49</v>
      </c>
      <c r="I27" s="11" t="s">
        <v>1238</v>
      </c>
      <c r="J27" s="11" t="s">
        <v>1238</v>
      </c>
      <c r="K27" s="4"/>
      <c r="L27" s="4"/>
      <c r="M27" s="4"/>
      <c r="N27" s="4"/>
      <c r="O27" s="4"/>
      <c r="P27" s="4"/>
      <c r="Q27" s="4"/>
      <c r="R27" s="4"/>
      <c r="S27" s="4"/>
      <c r="T27" s="4"/>
      <c r="U27" s="4"/>
      <c r="V27" s="4"/>
      <c r="W27" s="4"/>
      <c r="X27" s="4"/>
      <c r="Y27" s="4"/>
      <c r="Z27" s="4"/>
      <c r="AA27" s="21"/>
    </row>
    <row r="28">
      <c r="A28" s="11">
        <v>27.0</v>
      </c>
      <c r="B28" s="11" t="s">
        <v>314</v>
      </c>
      <c r="C28" s="11" t="s">
        <v>315</v>
      </c>
      <c r="D28" s="22" t="s">
        <v>1266</v>
      </c>
      <c r="E28" s="11">
        <v>2019.0</v>
      </c>
      <c r="F28" s="11" t="s">
        <v>316</v>
      </c>
      <c r="G28" s="11" t="s">
        <v>65</v>
      </c>
      <c r="H28" s="11" t="s">
        <v>49</v>
      </c>
      <c r="I28" s="11" t="s">
        <v>1238</v>
      </c>
      <c r="J28" s="11" t="s">
        <v>1238</v>
      </c>
      <c r="K28" s="4"/>
      <c r="L28" s="4"/>
      <c r="M28" s="4"/>
      <c r="N28" s="4"/>
      <c r="O28" s="4"/>
      <c r="P28" s="4"/>
      <c r="Q28" s="4"/>
      <c r="R28" s="4"/>
      <c r="S28" s="4"/>
      <c r="T28" s="4"/>
      <c r="U28" s="4"/>
      <c r="V28" s="4"/>
      <c r="W28" s="4"/>
      <c r="X28" s="4"/>
      <c r="Y28" s="4"/>
      <c r="Z28" s="4"/>
      <c r="AA28" s="21"/>
    </row>
    <row r="29">
      <c r="A29" s="11">
        <v>28.0</v>
      </c>
      <c r="B29" s="11" t="s">
        <v>328</v>
      </c>
      <c r="C29" s="11" t="s">
        <v>329</v>
      </c>
      <c r="D29" s="22" t="s">
        <v>1267</v>
      </c>
      <c r="E29" s="11">
        <v>2019.0</v>
      </c>
      <c r="F29" s="11" t="s">
        <v>330</v>
      </c>
      <c r="G29" s="11" t="s">
        <v>65</v>
      </c>
      <c r="H29" s="11" t="s">
        <v>39</v>
      </c>
      <c r="I29" s="24" t="s">
        <v>1245</v>
      </c>
      <c r="J29" s="11" t="s">
        <v>1238</v>
      </c>
      <c r="K29" s="4"/>
      <c r="L29" s="4"/>
      <c r="M29" s="4"/>
      <c r="N29" s="4"/>
      <c r="O29" s="4"/>
      <c r="P29" s="4"/>
      <c r="Q29" s="4"/>
      <c r="R29" s="4"/>
      <c r="S29" s="4"/>
      <c r="T29" s="4"/>
      <c r="U29" s="4"/>
      <c r="V29" s="4"/>
      <c r="W29" s="4"/>
      <c r="X29" s="4"/>
      <c r="Y29" s="4"/>
      <c r="Z29" s="4"/>
      <c r="AA29" s="21"/>
    </row>
    <row r="30">
      <c r="A30" s="11">
        <v>29.0</v>
      </c>
      <c r="B30" s="11" t="s">
        <v>347</v>
      </c>
      <c r="C30" s="11" t="s">
        <v>348</v>
      </c>
      <c r="D30" s="22" t="s">
        <v>1268</v>
      </c>
      <c r="E30" s="11">
        <v>2019.0</v>
      </c>
      <c r="F30" s="11" t="s">
        <v>245</v>
      </c>
      <c r="G30" s="11" t="s">
        <v>65</v>
      </c>
      <c r="H30" s="11" t="s">
        <v>39</v>
      </c>
      <c r="I30" s="11" t="s">
        <v>1238</v>
      </c>
      <c r="J30" s="11" t="s">
        <v>1238</v>
      </c>
      <c r="K30" s="4"/>
      <c r="L30" s="4"/>
      <c r="M30" s="4"/>
      <c r="N30" s="4"/>
      <c r="O30" s="4"/>
      <c r="P30" s="4"/>
      <c r="Q30" s="4"/>
      <c r="R30" s="4"/>
      <c r="S30" s="4"/>
      <c r="T30" s="4"/>
      <c r="U30" s="4"/>
      <c r="V30" s="4"/>
      <c r="W30" s="4"/>
      <c r="X30" s="4"/>
      <c r="Y30" s="4"/>
      <c r="Z30" s="4"/>
      <c r="AA30" s="21"/>
    </row>
    <row r="31">
      <c r="A31" s="11">
        <v>30.0</v>
      </c>
      <c r="B31" s="11" t="s">
        <v>355</v>
      </c>
      <c r="C31" s="11" t="s">
        <v>356</v>
      </c>
      <c r="D31" s="22" t="s">
        <v>1269</v>
      </c>
      <c r="E31" s="11">
        <v>2018.0</v>
      </c>
      <c r="F31" s="11" t="s">
        <v>357</v>
      </c>
      <c r="G31" s="11" t="s">
        <v>65</v>
      </c>
      <c r="H31" s="11" t="s">
        <v>39</v>
      </c>
      <c r="I31" s="24" t="s">
        <v>1238</v>
      </c>
      <c r="J31" s="11" t="s">
        <v>1238</v>
      </c>
      <c r="K31" s="4"/>
      <c r="L31" s="4"/>
      <c r="M31" s="4"/>
      <c r="N31" s="4"/>
      <c r="O31" s="4"/>
      <c r="P31" s="4"/>
      <c r="Q31" s="4"/>
      <c r="R31" s="4"/>
      <c r="S31" s="4"/>
      <c r="T31" s="4"/>
      <c r="U31" s="4"/>
      <c r="V31" s="4"/>
      <c r="W31" s="4"/>
      <c r="X31" s="4"/>
      <c r="Y31" s="4"/>
      <c r="Z31" s="4"/>
      <c r="AA31" s="21"/>
    </row>
    <row r="32">
      <c r="A32" s="11">
        <v>31.0</v>
      </c>
      <c r="B32" s="11" t="s">
        <v>378</v>
      </c>
      <c r="C32" s="11" t="s">
        <v>379</v>
      </c>
      <c r="D32" s="22" t="s">
        <v>1270</v>
      </c>
      <c r="E32" s="11">
        <v>2017.0</v>
      </c>
      <c r="F32" s="11" t="s">
        <v>158</v>
      </c>
      <c r="G32" s="11" t="s">
        <v>65</v>
      </c>
      <c r="H32" s="11" t="s">
        <v>39</v>
      </c>
      <c r="I32" s="24" t="s">
        <v>1238</v>
      </c>
      <c r="J32" s="11" t="s">
        <v>1238</v>
      </c>
      <c r="K32" s="4"/>
      <c r="L32" s="4"/>
      <c r="M32" s="4"/>
      <c r="N32" s="4"/>
      <c r="O32" s="4"/>
      <c r="P32" s="4"/>
      <c r="Q32" s="4"/>
      <c r="R32" s="4"/>
      <c r="S32" s="4"/>
      <c r="T32" s="4"/>
      <c r="U32" s="4"/>
      <c r="V32" s="4"/>
      <c r="W32" s="4"/>
      <c r="X32" s="4"/>
      <c r="Y32" s="4"/>
      <c r="Z32" s="4"/>
      <c r="AA32" s="21"/>
    </row>
    <row r="33">
      <c r="A33" s="11">
        <v>32.0</v>
      </c>
      <c r="B33" s="11" t="s">
        <v>504</v>
      </c>
      <c r="C33" s="16" t="s">
        <v>505</v>
      </c>
      <c r="D33" s="25" t="s">
        <v>1271</v>
      </c>
      <c r="E33" s="11">
        <v>2024.0</v>
      </c>
      <c r="F33" s="11" t="s">
        <v>449</v>
      </c>
      <c r="G33" s="11" t="s">
        <v>437</v>
      </c>
      <c r="H33" s="11" t="s">
        <v>49</v>
      </c>
      <c r="I33" s="24" t="s">
        <v>1238</v>
      </c>
      <c r="J33" s="11" t="s">
        <v>1238</v>
      </c>
      <c r="K33" s="4"/>
      <c r="L33" s="4"/>
      <c r="M33" s="4"/>
      <c r="N33" s="4"/>
      <c r="O33" s="4"/>
      <c r="P33" s="4"/>
      <c r="Q33" s="4"/>
      <c r="R33" s="4"/>
      <c r="S33" s="4"/>
      <c r="T33" s="4"/>
      <c r="U33" s="4"/>
      <c r="V33" s="4"/>
      <c r="W33" s="4"/>
      <c r="X33" s="4"/>
      <c r="Y33" s="4"/>
      <c r="Z33" s="4"/>
      <c r="AA33" s="21"/>
    </row>
    <row r="34">
      <c r="A34" s="11">
        <v>33.0</v>
      </c>
      <c r="B34" s="11" t="s">
        <v>519</v>
      </c>
      <c r="C34" s="16" t="s">
        <v>520</v>
      </c>
      <c r="D34" s="25" t="s">
        <v>1272</v>
      </c>
      <c r="E34" s="11">
        <v>2021.0</v>
      </c>
      <c r="F34" s="11" t="s">
        <v>521</v>
      </c>
      <c r="G34" s="11" t="s">
        <v>437</v>
      </c>
      <c r="H34" s="11" t="s">
        <v>49</v>
      </c>
      <c r="I34" s="24" t="s">
        <v>1238</v>
      </c>
      <c r="J34" s="11" t="s">
        <v>1238</v>
      </c>
      <c r="K34" s="4"/>
      <c r="L34" s="4"/>
      <c r="M34" s="4"/>
      <c r="N34" s="4"/>
      <c r="O34" s="4"/>
      <c r="P34" s="4"/>
      <c r="Q34" s="4"/>
      <c r="R34" s="4"/>
      <c r="S34" s="4"/>
      <c r="T34" s="4"/>
      <c r="U34" s="4"/>
      <c r="V34" s="4"/>
      <c r="W34" s="4"/>
      <c r="X34" s="4"/>
      <c r="Y34" s="4"/>
      <c r="Z34" s="4"/>
      <c r="AA34" s="21"/>
    </row>
    <row r="35">
      <c r="A35" s="11">
        <v>34.0</v>
      </c>
      <c r="B35" s="11" t="s">
        <v>592</v>
      </c>
      <c r="C35" s="11" t="s">
        <v>593</v>
      </c>
      <c r="D35" s="22" t="s">
        <v>1273</v>
      </c>
      <c r="E35" s="11">
        <v>2025.0</v>
      </c>
      <c r="F35" s="11" t="s">
        <v>580</v>
      </c>
      <c r="G35" s="11" t="s">
        <v>14</v>
      </c>
      <c r="H35" s="11" t="s">
        <v>49</v>
      </c>
      <c r="I35" s="24" t="s">
        <v>1238</v>
      </c>
      <c r="J35" s="11" t="s">
        <v>1238</v>
      </c>
      <c r="K35" s="4"/>
      <c r="L35" s="4"/>
      <c r="M35" s="4"/>
      <c r="N35" s="4"/>
      <c r="O35" s="4"/>
      <c r="P35" s="4"/>
      <c r="Q35" s="4"/>
      <c r="R35" s="4"/>
      <c r="S35" s="4"/>
      <c r="T35" s="4"/>
      <c r="U35" s="4"/>
      <c r="V35" s="4"/>
      <c r="W35" s="4"/>
      <c r="X35" s="4"/>
      <c r="Y35" s="4"/>
      <c r="Z35" s="4"/>
      <c r="AA35" s="21"/>
    </row>
    <row r="36">
      <c r="A36" s="11">
        <v>35.0</v>
      </c>
      <c r="B36" s="11" t="s">
        <v>633</v>
      </c>
      <c r="C36" s="11" t="s">
        <v>634</v>
      </c>
      <c r="D36" s="22" t="s">
        <v>1274</v>
      </c>
      <c r="E36" s="11">
        <v>2024.0</v>
      </c>
      <c r="F36" s="11" t="s">
        <v>580</v>
      </c>
      <c r="G36" s="11" t="s">
        <v>14</v>
      </c>
      <c r="H36" s="11" t="s">
        <v>49</v>
      </c>
      <c r="I36" s="24" t="s">
        <v>1238</v>
      </c>
      <c r="J36" s="11" t="s">
        <v>1238</v>
      </c>
      <c r="K36" s="4"/>
      <c r="L36" s="4"/>
      <c r="M36" s="4"/>
      <c r="N36" s="4"/>
      <c r="O36" s="4"/>
      <c r="P36" s="4"/>
      <c r="Q36" s="4"/>
      <c r="R36" s="4"/>
      <c r="S36" s="4"/>
      <c r="T36" s="4"/>
      <c r="U36" s="4"/>
      <c r="V36" s="4"/>
      <c r="W36" s="4"/>
      <c r="X36" s="4"/>
      <c r="Y36" s="4"/>
      <c r="Z36" s="4"/>
      <c r="AA36" s="21"/>
    </row>
    <row r="37">
      <c r="A37" s="11">
        <v>36.0</v>
      </c>
      <c r="B37" s="11" t="s">
        <v>641</v>
      </c>
      <c r="C37" s="11" t="s">
        <v>642</v>
      </c>
      <c r="D37" s="22" t="s">
        <v>1275</v>
      </c>
      <c r="E37" s="11">
        <v>2020.0</v>
      </c>
      <c r="F37" s="11" t="s">
        <v>643</v>
      </c>
      <c r="G37" s="11" t="s">
        <v>14</v>
      </c>
      <c r="H37" s="11" t="s">
        <v>39</v>
      </c>
      <c r="I37" s="24" t="s">
        <v>1238</v>
      </c>
      <c r="J37" s="11" t="s">
        <v>1238</v>
      </c>
      <c r="K37" s="4"/>
      <c r="L37" s="4"/>
      <c r="M37" s="4"/>
      <c r="N37" s="4"/>
      <c r="O37" s="4"/>
      <c r="P37" s="4"/>
      <c r="Q37" s="4"/>
      <c r="R37" s="4"/>
      <c r="S37" s="4"/>
      <c r="T37" s="4"/>
      <c r="U37" s="4"/>
      <c r="V37" s="4"/>
      <c r="W37" s="4"/>
      <c r="X37" s="4"/>
      <c r="Y37" s="4"/>
      <c r="Z37" s="4"/>
      <c r="AA37" s="21"/>
    </row>
    <row r="38">
      <c r="A38" s="11">
        <v>37.0</v>
      </c>
      <c r="B38" s="11" t="s">
        <v>665</v>
      </c>
      <c r="C38" s="11" t="s">
        <v>666</v>
      </c>
      <c r="D38" s="22" t="s">
        <v>1276</v>
      </c>
      <c r="E38" s="11">
        <v>2018.0</v>
      </c>
      <c r="F38" s="11" t="s">
        <v>596</v>
      </c>
      <c r="G38" s="11" t="s">
        <v>14</v>
      </c>
      <c r="H38" s="11" t="s">
        <v>49</v>
      </c>
      <c r="I38" s="24" t="s">
        <v>1238</v>
      </c>
      <c r="J38" s="11" t="s">
        <v>1238</v>
      </c>
      <c r="K38" s="4"/>
      <c r="L38" s="4"/>
      <c r="M38" s="4"/>
      <c r="N38" s="4"/>
      <c r="O38" s="4"/>
      <c r="P38" s="4"/>
      <c r="Q38" s="4"/>
      <c r="R38" s="4"/>
      <c r="S38" s="4"/>
      <c r="T38" s="4"/>
      <c r="U38" s="4"/>
      <c r="V38" s="4"/>
      <c r="W38" s="4"/>
      <c r="X38" s="4"/>
      <c r="Y38" s="4"/>
      <c r="Z38" s="4"/>
      <c r="AA38" s="21"/>
    </row>
    <row r="39">
      <c r="A39" s="11">
        <v>38.0</v>
      </c>
      <c r="B39" s="11" t="s">
        <v>679</v>
      </c>
      <c r="C39" s="11" t="s">
        <v>680</v>
      </c>
      <c r="D39" s="22" t="s">
        <v>1277</v>
      </c>
      <c r="E39" s="11">
        <v>2018.0</v>
      </c>
      <c r="F39" s="11" t="s">
        <v>580</v>
      </c>
      <c r="G39" s="11" t="s">
        <v>14</v>
      </c>
      <c r="H39" s="11" t="s">
        <v>49</v>
      </c>
      <c r="I39" s="24" t="s">
        <v>1238</v>
      </c>
      <c r="J39" s="11" t="s">
        <v>1238</v>
      </c>
      <c r="K39" s="4"/>
      <c r="L39" s="4"/>
      <c r="M39" s="4"/>
      <c r="N39" s="4"/>
      <c r="O39" s="4"/>
      <c r="P39" s="4"/>
      <c r="Q39" s="4"/>
      <c r="R39" s="4"/>
      <c r="S39" s="4"/>
      <c r="T39" s="4"/>
      <c r="U39" s="4"/>
      <c r="V39" s="4"/>
      <c r="W39" s="4"/>
      <c r="X39" s="4"/>
      <c r="Y39" s="4"/>
      <c r="Z39" s="4"/>
      <c r="AA39" s="21"/>
    </row>
    <row r="40">
      <c r="A40" s="11">
        <v>39.0</v>
      </c>
      <c r="B40" s="11" t="s">
        <v>714</v>
      </c>
      <c r="C40" s="11" t="s">
        <v>715</v>
      </c>
      <c r="D40" s="22" t="s">
        <v>1278</v>
      </c>
      <c r="E40" s="11">
        <v>2022.0</v>
      </c>
      <c r="F40" s="11" t="s">
        <v>716</v>
      </c>
      <c r="G40" s="11" t="s">
        <v>14</v>
      </c>
      <c r="H40" s="11" t="s">
        <v>39</v>
      </c>
      <c r="I40" s="24" t="s">
        <v>1238</v>
      </c>
      <c r="J40" s="11" t="s">
        <v>1238</v>
      </c>
      <c r="K40" s="4"/>
      <c r="L40" s="4"/>
      <c r="M40" s="4"/>
      <c r="N40" s="4"/>
      <c r="O40" s="4"/>
      <c r="P40" s="4"/>
      <c r="Q40" s="4"/>
      <c r="R40" s="4"/>
      <c r="S40" s="4"/>
      <c r="T40" s="4"/>
      <c r="U40" s="4"/>
      <c r="V40" s="4"/>
      <c r="W40" s="4"/>
      <c r="X40" s="4"/>
      <c r="Y40" s="4"/>
      <c r="Z40" s="4"/>
      <c r="AA40" s="21"/>
    </row>
    <row r="41">
      <c r="A41" s="11">
        <v>40.0</v>
      </c>
      <c r="B41" s="11" t="s">
        <v>722</v>
      </c>
      <c r="C41" s="11" t="s">
        <v>723</v>
      </c>
      <c r="D41" s="22" t="s">
        <v>1279</v>
      </c>
      <c r="E41" s="11">
        <v>2025.0</v>
      </c>
      <c r="F41" s="11" t="s">
        <v>574</v>
      </c>
      <c r="G41" s="11" t="s">
        <v>14</v>
      </c>
      <c r="H41" s="11" t="s">
        <v>49</v>
      </c>
      <c r="I41" s="24" t="s">
        <v>1238</v>
      </c>
      <c r="J41" s="11" t="s">
        <v>1238</v>
      </c>
      <c r="K41" s="4"/>
      <c r="L41" s="4"/>
      <c r="M41" s="4"/>
      <c r="N41" s="4"/>
      <c r="O41" s="4"/>
      <c r="P41" s="4"/>
      <c r="Q41" s="4"/>
      <c r="R41" s="4"/>
      <c r="S41" s="4"/>
      <c r="T41" s="4"/>
      <c r="U41" s="4"/>
      <c r="V41" s="4"/>
      <c r="W41" s="4"/>
      <c r="X41" s="4"/>
      <c r="Y41" s="4"/>
      <c r="Z41" s="4"/>
      <c r="AA41" s="21"/>
    </row>
    <row r="42">
      <c r="A42" s="11">
        <v>41.0</v>
      </c>
      <c r="B42" s="11" t="s">
        <v>816</v>
      </c>
      <c r="C42" s="11" t="s">
        <v>817</v>
      </c>
      <c r="D42" s="22" t="s">
        <v>1280</v>
      </c>
      <c r="E42" s="11">
        <v>2025.0</v>
      </c>
      <c r="F42" s="11" t="s">
        <v>818</v>
      </c>
      <c r="G42" s="11" t="s">
        <v>14</v>
      </c>
      <c r="H42" s="11" t="s">
        <v>49</v>
      </c>
      <c r="I42" s="24" t="s">
        <v>1238</v>
      </c>
      <c r="J42" s="11" t="s">
        <v>1238</v>
      </c>
      <c r="K42" s="4"/>
      <c r="L42" s="4"/>
      <c r="M42" s="4"/>
      <c r="N42" s="4"/>
      <c r="O42" s="4"/>
      <c r="P42" s="4"/>
      <c r="Q42" s="4"/>
      <c r="R42" s="4"/>
      <c r="S42" s="4"/>
      <c r="T42" s="4"/>
      <c r="U42" s="4"/>
      <c r="V42" s="4"/>
      <c r="W42" s="4"/>
      <c r="X42" s="4"/>
      <c r="Y42" s="4"/>
      <c r="Z42" s="4"/>
      <c r="AA42" s="21"/>
    </row>
    <row r="43">
      <c r="A43" s="11">
        <v>42.0</v>
      </c>
      <c r="B43" s="11" t="s">
        <v>884</v>
      </c>
      <c r="C43" s="11" t="s">
        <v>885</v>
      </c>
      <c r="D43" s="22" t="s">
        <v>1281</v>
      </c>
      <c r="E43" s="11">
        <v>2023.0</v>
      </c>
      <c r="F43" s="11" t="s">
        <v>886</v>
      </c>
      <c r="G43" s="11" t="s">
        <v>16</v>
      </c>
      <c r="H43" s="11" t="s">
        <v>49</v>
      </c>
      <c r="I43" s="24" t="s">
        <v>1238</v>
      </c>
      <c r="J43" s="11" t="s">
        <v>1238</v>
      </c>
      <c r="K43" s="4"/>
      <c r="L43" s="4"/>
      <c r="M43" s="4"/>
      <c r="N43" s="4"/>
      <c r="O43" s="4"/>
      <c r="P43" s="4"/>
      <c r="Q43" s="4"/>
      <c r="R43" s="4"/>
      <c r="S43" s="4"/>
      <c r="T43" s="4"/>
      <c r="U43" s="4"/>
      <c r="V43" s="4"/>
      <c r="W43" s="4"/>
      <c r="X43" s="4"/>
      <c r="Y43" s="4"/>
      <c r="Z43" s="4"/>
      <c r="AA43" s="21"/>
    </row>
    <row r="44">
      <c r="A44" s="11">
        <v>43.0</v>
      </c>
      <c r="B44" s="11" t="s">
        <v>928</v>
      </c>
      <c r="C44" s="11" t="s">
        <v>929</v>
      </c>
      <c r="D44" s="22" t="s">
        <v>1282</v>
      </c>
      <c r="E44" s="11">
        <v>2017.0</v>
      </c>
      <c r="F44" s="11" t="s">
        <v>930</v>
      </c>
      <c r="G44" s="11" t="s">
        <v>18</v>
      </c>
      <c r="H44" s="11" t="s">
        <v>49</v>
      </c>
      <c r="I44" s="24" t="s">
        <v>1238</v>
      </c>
      <c r="J44" s="11" t="s">
        <v>1238</v>
      </c>
      <c r="K44" s="4"/>
      <c r="L44" s="4"/>
      <c r="M44" s="4"/>
      <c r="N44" s="4"/>
      <c r="O44" s="4"/>
      <c r="P44" s="4"/>
      <c r="Q44" s="4"/>
      <c r="R44" s="4"/>
      <c r="S44" s="4"/>
      <c r="T44" s="4"/>
      <c r="U44" s="4"/>
      <c r="V44" s="4"/>
      <c r="W44" s="4"/>
      <c r="X44" s="4"/>
      <c r="Y44" s="4"/>
      <c r="Z44" s="4"/>
      <c r="AA44" s="21"/>
    </row>
    <row r="45">
      <c r="A45" s="11">
        <v>44.0</v>
      </c>
      <c r="B45" s="11" t="s">
        <v>934</v>
      </c>
      <c r="C45" s="11" t="s">
        <v>935</v>
      </c>
      <c r="D45" s="22" t="s">
        <v>1283</v>
      </c>
      <c r="E45" s="11">
        <v>2025.0</v>
      </c>
      <c r="F45" s="11" t="s">
        <v>936</v>
      </c>
      <c r="G45" s="11" t="s">
        <v>18</v>
      </c>
      <c r="H45" s="11" t="s">
        <v>49</v>
      </c>
      <c r="I45" s="24" t="s">
        <v>1238</v>
      </c>
      <c r="J45" s="11" t="s">
        <v>1238</v>
      </c>
      <c r="K45" s="4"/>
      <c r="L45" s="4"/>
      <c r="M45" s="4"/>
      <c r="N45" s="4"/>
      <c r="O45" s="4"/>
      <c r="P45" s="4"/>
      <c r="Q45" s="4"/>
      <c r="R45" s="4"/>
      <c r="S45" s="4"/>
      <c r="T45" s="4"/>
      <c r="U45" s="4"/>
      <c r="V45" s="4"/>
      <c r="W45" s="4"/>
      <c r="X45" s="4"/>
      <c r="Y45" s="4"/>
      <c r="Z45" s="4"/>
      <c r="AA45" s="21"/>
    </row>
    <row r="46">
      <c r="A46" s="11">
        <v>45.0</v>
      </c>
      <c r="B46" s="11" t="s">
        <v>962</v>
      </c>
      <c r="C46" s="11" t="s">
        <v>963</v>
      </c>
      <c r="D46" s="22" t="s">
        <v>1284</v>
      </c>
      <c r="E46" s="11">
        <v>2025.0</v>
      </c>
      <c r="F46" s="11" t="s">
        <v>964</v>
      </c>
      <c r="G46" s="11" t="s">
        <v>18</v>
      </c>
      <c r="H46" s="11" t="s">
        <v>49</v>
      </c>
      <c r="I46" s="24" t="s">
        <v>1238</v>
      </c>
      <c r="J46" s="11" t="s">
        <v>1238</v>
      </c>
      <c r="K46" s="4"/>
      <c r="L46" s="4"/>
      <c r="M46" s="4"/>
      <c r="N46" s="4"/>
      <c r="O46" s="4"/>
      <c r="P46" s="4"/>
      <c r="Q46" s="4"/>
      <c r="R46" s="4"/>
      <c r="S46" s="4"/>
      <c r="T46" s="4"/>
      <c r="U46" s="4"/>
      <c r="V46" s="4"/>
      <c r="W46" s="4"/>
      <c r="X46" s="4"/>
      <c r="Y46" s="4"/>
      <c r="Z46" s="4"/>
      <c r="AA46" s="21"/>
    </row>
    <row r="47">
      <c r="A47" s="11">
        <v>46.0</v>
      </c>
      <c r="B47" s="11" t="s">
        <v>965</v>
      </c>
      <c r="C47" s="11" t="s">
        <v>966</v>
      </c>
      <c r="D47" s="22" t="s">
        <v>1285</v>
      </c>
      <c r="E47" s="11">
        <v>2025.0</v>
      </c>
      <c r="F47" s="11" t="s">
        <v>967</v>
      </c>
      <c r="G47" s="11" t="s">
        <v>18</v>
      </c>
      <c r="H47" s="11" t="s">
        <v>49</v>
      </c>
      <c r="I47" s="24" t="s">
        <v>1245</v>
      </c>
      <c r="J47" s="11" t="s">
        <v>1238</v>
      </c>
      <c r="K47" s="4"/>
      <c r="L47" s="4"/>
      <c r="M47" s="4"/>
      <c r="N47" s="4"/>
      <c r="O47" s="4"/>
      <c r="P47" s="4"/>
      <c r="Q47" s="4"/>
      <c r="R47" s="4"/>
      <c r="S47" s="4"/>
      <c r="T47" s="4"/>
      <c r="U47" s="4"/>
      <c r="V47" s="4"/>
      <c r="W47" s="4"/>
      <c r="X47" s="4"/>
      <c r="Y47" s="4"/>
      <c r="Z47" s="4"/>
      <c r="AA47" s="21"/>
    </row>
    <row r="48">
      <c r="A48" s="11">
        <v>47.0</v>
      </c>
      <c r="B48" s="11" t="s">
        <v>1002</v>
      </c>
      <c r="C48" s="11" t="s">
        <v>1003</v>
      </c>
      <c r="D48" s="22" t="s">
        <v>1286</v>
      </c>
      <c r="E48" s="11">
        <v>2023.0</v>
      </c>
      <c r="F48" s="11" t="s">
        <v>958</v>
      </c>
      <c r="G48" s="11" t="s">
        <v>18</v>
      </c>
      <c r="H48" s="11" t="s">
        <v>49</v>
      </c>
      <c r="I48" s="4"/>
      <c r="J48" s="11" t="s">
        <v>1245</v>
      </c>
      <c r="K48" s="4"/>
      <c r="L48" s="4"/>
      <c r="M48" s="4"/>
      <c r="N48" s="4"/>
      <c r="O48" s="4"/>
      <c r="P48" s="4"/>
      <c r="Q48" s="4"/>
      <c r="R48" s="4"/>
      <c r="S48" s="4"/>
      <c r="T48" s="4"/>
      <c r="U48" s="4"/>
      <c r="V48" s="4"/>
      <c r="W48" s="4"/>
      <c r="X48" s="4"/>
      <c r="Y48" s="4"/>
      <c r="Z48" s="4"/>
      <c r="AA48" s="21"/>
    </row>
    <row r="49">
      <c r="A49" s="11">
        <v>48.0</v>
      </c>
      <c r="B49" s="11" t="s">
        <v>522</v>
      </c>
      <c r="C49" s="16" t="s">
        <v>523</v>
      </c>
      <c r="D49" s="25" t="s">
        <v>1287</v>
      </c>
      <c r="E49" s="11">
        <v>2025.0</v>
      </c>
      <c r="F49" s="11" t="s">
        <v>524</v>
      </c>
      <c r="G49" s="11" t="s">
        <v>437</v>
      </c>
      <c r="H49" s="11" t="s">
        <v>49</v>
      </c>
      <c r="I49" s="11"/>
      <c r="J49" s="11" t="s">
        <v>1245</v>
      </c>
      <c r="K49" s="4"/>
      <c r="L49" s="4"/>
      <c r="M49" s="4"/>
      <c r="N49" s="4"/>
      <c r="O49" s="4"/>
      <c r="P49" s="4"/>
      <c r="Q49" s="4"/>
      <c r="R49" s="4"/>
      <c r="S49" s="4"/>
      <c r="T49" s="4"/>
      <c r="U49" s="4"/>
      <c r="V49" s="4"/>
      <c r="W49" s="4"/>
      <c r="X49" s="4"/>
      <c r="Y49" s="4"/>
      <c r="Z49" s="4"/>
      <c r="AA49" s="21"/>
    </row>
    <row r="50">
      <c r="A50" s="11">
        <v>49.0</v>
      </c>
      <c r="B50" s="11" t="s">
        <v>552</v>
      </c>
      <c r="C50" s="16" t="s">
        <v>553</v>
      </c>
      <c r="D50" s="25" t="s">
        <v>1288</v>
      </c>
      <c r="E50" s="11">
        <v>2025.0</v>
      </c>
      <c r="F50" s="11" t="s">
        <v>554</v>
      </c>
      <c r="G50" s="11" t="s">
        <v>437</v>
      </c>
      <c r="H50" s="11" t="s">
        <v>49</v>
      </c>
      <c r="I50" s="11"/>
      <c r="J50" s="11" t="s">
        <v>1245</v>
      </c>
      <c r="K50" s="4"/>
      <c r="L50" s="4"/>
      <c r="M50" s="4"/>
      <c r="N50" s="4"/>
      <c r="O50" s="4"/>
      <c r="P50" s="4"/>
      <c r="Q50" s="4"/>
      <c r="R50" s="4"/>
      <c r="S50" s="4"/>
      <c r="T50" s="4"/>
      <c r="U50" s="4"/>
      <c r="V50" s="4"/>
      <c r="W50" s="4"/>
      <c r="X50" s="4"/>
      <c r="Y50" s="4"/>
      <c r="Z50" s="4"/>
      <c r="AA50" s="21"/>
    </row>
    <row r="51">
      <c r="A51" s="12"/>
      <c r="B51" s="4"/>
      <c r="C51" s="4"/>
      <c r="D51" s="26"/>
      <c r="E51" s="4"/>
      <c r="F51" s="4"/>
      <c r="G51" s="4"/>
      <c r="H51" s="4"/>
      <c r="I51" s="4"/>
      <c r="J51" s="4"/>
      <c r="K51" s="4"/>
      <c r="L51" s="4"/>
      <c r="M51" s="4"/>
      <c r="N51" s="4"/>
      <c r="O51" s="4"/>
      <c r="P51" s="4"/>
      <c r="Q51" s="4"/>
      <c r="R51" s="4"/>
      <c r="S51" s="4"/>
      <c r="T51" s="4"/>
      <c r="U51" s="4"/>
      <c r="V51" s="4"/>
      <c r="W51" s="4"/>
      <c r="X51" s="4"/>
      <c r="Y51" s="4"/>
      <c r="Z51" s="4"/>
      <c r="AA51" s="21"/>
    </row>
    <row r="52">
      <c r="A52" s="4"/>
      <c r="B52" s="4"/>
      <c r="C52" s="4"/>
      <c r="D52" s="26"/>
      <c r="E52" s="4"/>
      <c r="F52" s="4"/>
      <c r="G52" s="4"/>
      <c r="H52" s="4"/>
      <c r="I52" s="4"/>
      <c r="J52" s="4"/>
      <c r="K52" s="4"/>
      <c r="L52" s="4"/>
      <c r="M52" s="4"/>
      <c r="N52" s="4"/>
      <c r="O52" s="4"/>
      <c r="P52" s="4"/>
      <c r="Q52" s="4"/>
      <c r="R52" s="4"/>
      <c r="S52" s="4"/>
      <c r="T52" s="4"/>
      <c r="U52" s="4"/>
      <c r="V52" s="4"/>
      <c r="W52" s="4"/>
      <c r="X52" s="4"/>
      <c r="Y52" s="4"/>
      <c r="Z52" s="4"/>
      <c r="AA52" s="21"/>
    </row>
    <row r="53">
      <c r="A53" s="4"/>
      <c r="B53" s="4"/>
      <c r="C53" s="4"/>
      <c r="D53" s="26"/>
      <c r="E53" s="4"/>
      <c r="F53" s="4"/>
      <c r="G53" s="4"/>
      <c r="H53" s="4"/>
      <c r="I53" s="4"/>
      <c r="J53" s="4"/>
      <c r="K53" s="4"/>
      <c r="L53" s="4"/>
      <c r="M53" s="4"/>
      <c r="N53" s="4"/>
      <c r="O53" s="4"/>
      <c r="P53" s="4"/>
      <c r="Q53" s="4"/>
      <c r="R53" s="4"/>
      <c r="S53" s="4"/>
      <c r="T53" s="4"/>
      <c r="U53" s="4"/>
      <c r="V53" s="4"/>
      <c r="W53" s="4"/>
      <c r="X53" s="4"/>
      <c r="Y53" s="4"/>
      <c r="Z53" s="4"/>
      <c r="AA53" s="21"/>
    </row>
    <row r="54">
      <c r="A54" s="4"/>
      <c r="B54" s="4"/>
      <c r="C54" s="4"/>
      <c r="D54" s="26"/>
      <c r="E54" s="4"/>
      <c r="F54" s="4"/>
      <c r="G54" s="4"/>
      <c r="H54" s="4"/>
      <c r="I54" s="4"/>
      <c r="J54" s="4"/>
      <c r="K54" s="4"/>
      <c r="L54" s="4"/>
      <c r="M54" s="4"/>
      <c r="N54" s="4"/>
      <c r="O54" s="4"/>
      <c r="P54" s="4"/>
      <c r="Q54" s="4"/>
      <c r="R54" s="4"/>
      <c r="S54" s="4"/>
      <c r="T54" s="4"/>
      <c r="U54" s="4"/>
      <c r="V54" s="4"/>
      <c r="W54" s="4"/>
      <c r="X54" s="4"/>
      <c r="Y54" s="4"/>
      <c r="Z54" s="4"/>
      <c r="AA54" s="21"/>
    </row>
    <row r="55">
      <c r="A55" s="4"/>
      <c r="B55" s="4"/>
      <c r="C55" s="4"/>
      <c r="D55" s="26"/>
      <c r="E55" s="4"/>
      <c r="F55" s="4"/>
      <c r="G55" s="4"/>
      <c r="H55" s="4"/>
      <c r="I55" s="4"/>
      <c r="J55" s="4"/>
      <c r="K55" s="4"/>
      <c r="L55" s="4"/>
      <c r="M55" s="4"/>
      <c r="N55" s="4"/>
      <c r="O55" s="4"/>
      <c r="P55" s="4"/>
      <c r="Q55" s="4"/>
      <c r="R55" s="4"/>
      <c r="S55" s="4"/>
      <c r="T55" s="4"/>
      <c r="U55" s="4"/>
      <c r="V55" s="4"/>
      <c r="W55" s="4"/>
      <c r="X55" s="4"/>
      <c r="Y55" s="4"/>
      <c r="Z55" s="4"/>
      <c r="AA55" s="21"/>
    </row>
    <row r="56">
      <c r="A56" s="4"/>
      <c r="B56" s="4"/>
      <c r="C56" s="4"/>
      <c r="D56" s="26"/>
      <c r="E56" s="4"/>
      <c r="F56" s="4"/>
      <c r="G56" s="4"/>
      <c r="H56" s="4"/>
      <c r="I56" s="4"/>
      <c r="J56" s="4"/>
      <c r="K56" s="4"/>
      <c r="L56" s="4"/>
      <c r="M56" s="4"/>
      <c r="N56" s="4"/>
      <c r="O56" s="4"/>
      <c r="P56" s="4"/>
      <c r="Q56" s="4"/>
      <c r="R56" s="4"/>
      <c r="S56" s="4"/>
      <c r="T56" s="4"/>
      <c r="U56" s="4"/>
      <c r="V56" s="4"/>
      <c r="W56" s="4"/>
      <c r="X56" s="4"/>
      <c r="Y56" s="4"/>
      <c r="Z56" s="4"/>
      <c r="AA56" s="21"/>
    </row>
    <row r="57">
      <c r="A57" s="4"/>
      <c r="B57" s="4"/>
      <c r="C57" s="4"/>
      <c r="D57" s="26"/>
      <c r="E57" s="4"/>
      <c r="F57" s="4"/>
      <c r="G57" s="4"/>
      <c r="H57" s="4"/>
      <c r="I57" s="4"/>
      <c r="J57" s="4"/>
      <c r="K57" s="4"/>
      <c r="L57" s="4"/>
      <c r="M57" s="4"/>
      <c r="N57" s="4"/>
      <c r="O57" s="4"/>
      <c r="P57" s="4"/>
      <c r="Q57" s="4"/>
      <c r="R57" s="4"/>
      <c r="S57" s="4"/>
      <c r="T57" s="4"/>
      <c r="U57" s="4"/>
      <c r="V57" s="4"/>
      <c r="W57" s="4"/>
      <c r="X57" s="4"/>
      <c r="Y57" s="4"/>
      <c r="Z57" s="4"/>
      <c r="AA57" s="21"/>
    </row>
    <row r="58">
      <c r="A58" s="4"/>
      <c r="B58" s="4"/>
      <c r="C58" s="4"/>
      <c r="D58" s="26"/>
      <c r="E58" s="4"/>
      <c r="F58" s="4"/>
      <c r="G58" s="4"/>
      <c r="H58" s="4"/>
      <c r="I58" s="4"/>
      <c r="J58" s="4"/>
      <c r="K58" s="4"/>
      <c r="L58" s="4"/>
      <c r="M58" s="4"/>
      <c r="N58" s="4"/>
      <c r="O58" s="4"/>
      <c r="P58" s="4"/>
      <c r="Q58" s="4"/>
      <c r="R58" s="4"/>
      <c r="S58" s="4"/>
      <c r="T58" s="4"/>
      <c r="U58" s="4"/>
      <c r="V58" s="4"/>
      <c r="W58" s="4"/>
      <c r="X58" s="4"/>
      <c r="Y58" s="4"/>
      <c r="Z58" s="4"/>
      <c r="AA58" s="21"/>
    </row>
    <row r="59">
      <c r="A59" s="4"/>
      <c r="B59" s="4"/>
      <c r="C59" s="4"/>
      <c r="D59" s="26"/>
      <c r="E59" s="4"/>
      <c r="F59" s="4"/>
      <c r="G59" s="4"/>
      <c r="H59" s="4"/>
      <c r="I59" s="4"/>
      <c r="J59" s="4"/>
      <c r="K59" s="4"/>
      <c r="L59" s="4"/>
      <c r="M59" s="4"/>
      <c r="N59" s="4"/>
      <c r="O59" s="4"/>
      <c r="P59" s="4"/>
      <c r="Q59" s="4"/>
      <c r="R59" s="4"/>
      <c r="S59" s="4"/>
      <c r="T59" s="4"/>
      <c r="U59" s="4"/>
      <c r="V59" s="4"/>
      <c r="W59" s="4"/>
      <c r="X59" s="4"/>
      <c r="Y59" s="4"/>
      <c r="Z59" s="4"/>
      <c r="AA59" s="21"/>
    </row>
    <row r="60">
      <c r="A60" s="4"/>
      <c r="B60" s="4"/>
      <c r="C60" s="4"/>
      <c r="D60" s="26"/>
      <c r="E60" s="4"/>
      <c r="F60" s="4"/>
      <c r="G60" s="4"/>
      <c r="H60" s="4"/>
      <c r="I60" s="4"/>
      <c r="J60" s="4"/>
      <c r="K60" s="4"/>
      <c r="L60" s="4"/>
      <c r="M60" s="4"/>
      <c r="N60" s="4"/>
      <c r="O60" s="4"/>
      <c r="P60" s="4"/>
      <c r="Q60" s="4"/>
      <c r="R60" s="4"/>
      <c r="S60" s="4"/>
      <c r="T60" s="4"/>
      <c r="U60" s="4"/>
      <c r="V60" s="4"/>
      <c r="W60" s="4"/>
      <c r="X60" s="4"/>
      <c r="Y60" s="4"/>
      <c r="Z60" s="4"/>
      <c r="AA60" s="21"/>
    </row>
    <row r="61">
      <c r="A61" s="4"/>
      <c r="B61" s="4"/>
      <c r="C61" s="4"/>
      <c r="D61" s="26"/>
      <c r="E61" s="4"/>
      <c r="F61" s="4"/>
      <c r="G61" s="4"/>
      <c r="H61" s="4"/>
      <c r="I61" s="4"/>
      <c r="J61" s="4"/>
      <c r="K61" s="4"/>
      <c r="L61" s="4"/>
      <c r="M61" s="4"/>
      <c r="N61" s="4"/>
      <c r="O61" s="4"/>
      <c r="P61" s="4"/>
      <c r="Q61" s="4"/>
      <c r="R61" s="4"/>
      <c r="S61" s="4"/>
      <c r="T61" s="4"/>
      <c r="U61" s="4"/>
      <c r="V61" s="4"/>
      <c r="W61" s="4"/>
      <c r="X61" s="4"/>
      <c r="Y61" s="4"/>
      <c r="Z61" s="4"/>
      <c r="AA61" s="21"/>
    </row>
    <row r="62">
      <c r="A62" s="4"/>
      <c r="B62" s="4"/>
      <c r="C62" s="4"/>
      <c r="D62" s="26"/>
      <c r="E62" s="4"/>
      <c r="F62" s="4"/>
      <c r="G62" s="4"/>
      <c r="H62" s="4"/>
      <c r="I62" s="4"/>
      <c r="J62" s="4"/>
      <c r="K62" s="4"/>
      <c r="L62" s="4"/>
      <c r="M62" s="4"/>
      <c r="N62" s="4"/>
      <c r="O62" s="4"/>
      <c r="P62" s="4"/>
      <c r="Q62" s="4"/>
      <c r="R62" s="4"/>
      <c r="S62" s="4"/>
      <c r="T62" s="4"/>
      <c r="U62" s="4"/>
      <c r="V62" s="4"/>
      <c r="W62" s="4"/>
      <c r="X62" s="4"/>
      <c r="Y62" s="4"/>
      <c r="Z62" s="4"/>
      <c r="AA62" s="21"/>
    </row>
    <row r="63">
      <c r="A63" s="4"/>
      <c r="B63" s="4"/>
      <c r="C63" s="4"/>
      <c r="D63" s="26"/>
      <c r="E63" s="4"/>
      <c r="F63" s="4"/>
      <c r="G63" s="4"/>
      <c r="H63" s="4"/>
      <c r="I63" s="4"/>
      <c r="J63" s="4"/>
      <c r="K63" s="4"/>
      <c r="L63" s="4"/>
      <c r="M63" s="4"/>
      <c r="N63" s="4"/>
      <c r="O63" s="4"/>
      <c r="P63" s="4"/>
      <c r="Q63" s="4"/>
      <c r="R63" s="4"/>
      <c r="S63" s="4"/>
      <c r="T63" s="4"/>
      <c r="U63" s="4"/>
      <c r="V63" s="4"/>
      <c r="W63" s="4"/>
      <c r="X63" s="4"/>
      <c r="Y63" s="4"/>
      <c r="Z63" s="4"/>
      <c r="AA63" s="21"/>
    </row>
    <row r="64">
      <c r="A64" s="4"/>
      <c r="B64" s="4"/>
      <c r="C64" s="4"/>
      <c r="D64" s="26"/>
      <c r="E64" s="4"/>
      <c r="F64" s="4"/>
      <c r="G64" s="4"/>
      <c r="H64" s="4"/>
      <c r="I64" s="4"/>
      <c r="J64" s="4"/>
      <c r="K64" s="4"/>
      <c r="L64" s="4"/>
      <c r="M64" s="4"/>
      <c r="N64" s="4"/>
      <c r="O64" s="4"/>
      <c r="P64" s="4"/>
      <c r="Q64" s="4"/>
      <c r="R64" s="4"/>
      <c r="S64" s="4"/>
      <c r="T64" s="4"/>
      <c r="U64" s="4"/>
      <c r="V64" s="4"/>
      <c r="W64" s="4"/>
      <c r="X64" s="4"/>
      <c r="Y64" s="4"/>
      <c r="Z64" s="4"/>
      <c r="AA64" s="21"/>
    </row>
    <row r="65">
      <c r="A65" s="4"/>
      <c r="B65" s="4"/>
      <c r="C65" s="4"/>
      <c r="D65" s="26"/>
      <c r="E65" s="4"/>
      <c r="F65" s="4"/>
      <c r="G65" s="4"/>
      <c r="H65" s="4"/>
      <c r="I65" s="4"/>
      <c r="J65" s="4"/>
      <c r="K65" s="4"/>
      <c r="L65" s="4"/>
      <c r="M65" s="4"/>
      <c r="N65" s="4"/>
      <c r="O65" s="4"/>
      <c r="P65" s="4"/>
      <c r="Q65" s="4"/>
      <c r="R65" s="4"/>
      <c r="S65" s="4"/>
      <c r="T65" s="4"/>
      <c r="U65" s="4"/>
      <c r="V65" s="4"/>
      <c r="W65" s="4"/>
      <c r="X65" s="4"/>
      <c r="Y65" s="4"/>
      <c r="Z65" s="4"/>
      <c r="AA65" s="21"/>
    </row>
    <row r="66">
      <c r="A66" s="4"/>
      <c r="B66" s="4"/>
      <c r="C66" s="4"/>
      <c r="D66" s="26"/>
      <c r="E66" s="4"/>
      <c r="F66" s="4"/>
      <c r="G66" s="4"/>
      <c r="H66" s="4"/>
      <c r="I66" s="4"/>
      <c r="J66" s="4"/>
      <c r="K66" s="4"/>
      <c r="L66" s="4"/>
      <c r="M66" s="4"/>
      <c r="N66" s="4"/>
      <c r="O66" s="4"/>
      <c r="P66" s="4"/>
      <c r="Q66" s="4"/>
      <c r="R66" s="4"/>
      <c r="S66" s="4"/>
      <c r="T66" s="4"/>
      <c r="U66" s="4"/>
      <c r="V66" s="4"/>
      <c r="W66" s="4"/>
      <c r="X66" s="4"/>
      <c r="Y66" s="4"/>
      <c r="Z66" s="4"/>
      <c r="AA66" s="21"/>
    </row>
    <row r="67">
      <c r="A67" s="4"/>
      <c r="B67" s="4"/>
      <c r="C67" s="4"/>
      <c r="D67" s="26"/>
      <c r="E67" s="4"/>
      <c r="F67" s="4"/>
      <c r="G67" s="4"/>
      <c r="H67" s="4"/>
      <c r="I67" s="4"/>
      <c r="J67" s="4"/>
      <c r="K67" s="4"/>
      <c r="L67" s="4"/>
      <c r="M67" s="4"/>
      <c r="N67" s="4"/>
      <c r="O67" s="4"/>
      <c r="P67" s="4"/>
      <c r="Q67" s="4"/>
      <c r="R67" s="4"/>
      <c r="S67" s="4"/>
      <c r="T67" s="4"/>
      <c r="U67" s="4"/>
      <c r="V67" s="4"/>
      <c r="W67" s="4"/>
      <c r="X67" s="4"/>
      <c r="Y67" s="4"/>
      <c r="Z67" s="4"/>
      <c r="AA67" s="21"/>
    </row>
    <row r="68">
      <c r="A68" s="4"/>
      <c r="B68" s="4"/>
      <c r="C68" s="4"/>
      <c r="D68" s="26"/>
      <c r="E68" s="4"/>
      <c r="F68" s="4"/>
      <c r="G68" s="4"/>
      <c r="H68" s="4"/>
      <c r="I68" s="4"/>
      <c r="J68" s="4"/>
      <c r="K68" s="4"/>
      <c r="L68" s="4"/>
      <c r="M68" s="4"/>
      <c r="N68" s="4"/>
      <c r="O68" s="4"/>
      <c r="P68" s="4"/>
      <c r="Q68" s="4"/>
      <c r="R68" s="4"/>
      <c r="S68" s="4"/>
      <c r="T68" s="4"/>
      <c r="U68" s="4"/>
      <c r="V68" s="4"/>
      <c r="W68" s="4"/>
      <c r="X68" s="4"/>
      <c r="Y68" s="4"/>
      <c r="Z68" s="4"/>
      <c r="AA68" s="21"/>
    </row>
    <row r="69">
      <c r="A69" s="4"/>
      <c r="B69" s="4"/>
      <c r="C69" s="4"/>
      <c r="D69" s="26"/>
      <c r="E69" s="4"/>
      <c r="F69" s="4"/>
      <c r="G69" s="4"/>
      <c r="H69" s="4"/>
      <c r="I69" s="4"/>
      <c r="J69" s="4"/>
      <c r="K69" s="4"/>
      <c r="L69" s="4"/>
      <c r="M69" s="4"/>
      <c r="N69" s="4"/>
      <c r="O69" s="4"/>
      <c r="P69" s="4"/>
      <c r="Q69" s="4"/>
      <c r="R69" s="4"/>
      <c r="S69" s="4"/>
      <c r="T69" s="4"/>
      <c r="U69" s="4"/>
      <c r="V69" s="4"/>
      <c r="W69" s="4"/>
      <c r="X69" s="4"/>
      <c r="Y69" s="4"/>
      <c r="Z69" s="4"/>
      <c r="AA69" s="21"/>
    </row>
    <row r="70">
      <c r="A70" s="4"/>
      <c r="B70" s="4"/>
      <c r="C70" s="4"/>
      <c r="D70" s="26"/>
      <c r="E70" s="4"/>
      <c r="F70" s="4"/>
      <c r="G70" s="4"/>
      <c r="H70" s="4"/>
      <c r="I70" s="4"/>
      <c r="J70" s="4"/>
      <c r="K70" s="4"/>
      <c r="L70" s="4"/>
      <c r="M70" s="4"/>
      <c r="N70" s="4"/>
      <c r="O70" s="4"/>
      <c r="P70" s="4"/>
      <c r="Q70" s="4"/>
      <c r="R70" s="4"/>
      <c r="S70" s="4"/>
      <c r="T70" s="4"/>
      <c r="U70" s="4"/>
      <c r="V70" s="4"/>
      <c r="W70" s="4"/>
      <c r="X70" s="4"/>
      <c r="Y70" s="4"/>
      <c r="Z70" s="4"/>
      <c r="AA70" s="21"/>
    </row>
    <row r="71">
      <c r="A71" s="4"/>
      <c r="B71" s="4"/>
      <c r="C71" s="4"/>
      <c r="D71" s="26"/>
      <c r="E71" s="4"/>
      <c r="F71" s="4"/>
      <c r="G71" s="4"/>
      <c r="H71" s="4"/>
      <c r="I71" s="4"/>
      <c r="J71" s="4"/>
      <c r="K71" s="4"/>
      <c r="L71" s="4"/>
      <c r="M71" s="4"/>
      <c r="N71" s="4"/>
      <c r="O71" s="4"/>
      <c r="P71" s="4"/>
      <c r="Q71" s="4"/>
      <c r="R71" s="4"/>
      <c r="S71" s="4"/>
      <c r="T71" s="4"/>
      <c r="U71" s="4"/>
      <c r="V71" s="4"/>
      <c r="W71" s="4"/>
      <c r="X71" s="4"/>
      <c r="Y71" s="4"/>
      <c r="Z71" s="4"/>
      <c r="AA71" s="21"/>
    </row>
    <row r="72">
      <c r="A72" s="4"/>
      <c r="B72" s="4"/>
      <c r="C72" s="4"/>
      <c r="D72" s="26"/>
      <c r="E72" s="4"/>
      <c r="F72" s="4"/>
      <c r="G72" s="4"/>
      <c r="H72" s="4"/>
      <c r="I72" s="4"/>
      <c r="J72" s="4"/>
      <c r="K72" s="4"/>
      <c r="L72" s="4"/>
      <c r="M72" s="4"/>
      <c r="N72" s="4"/>
      <c r="O72" s="4"/>
      <c r="P72" s="4"/>
      <c r="Q72" s="4"/>
      <c r="R72" s="4"/>
      <c r="S72" s="4"/>
      <c r="T72" s="4"/>
      <c r="U72" s="4"/>
      <c r="V72" s="4"/>
      <c r="W72" s="4"/>
      <c r="X72" s="4"/>
      <c r="Y72" s="4"/>
      <c r="Z72" s="4"/>
      <c r="AA72" s="21"/>
    </row>
    <row r="73">
      <c r="A73" s="4"/>
      <c r="B73" s="4"/>
      <c r="C73" s="4"/>
      <c r="D73" s="26"/>
      <c r="E73" s="4"/>
      <c r="F73" s="4"/>
      <c r="G73" s="4"/>
      <c r="H73" s="4"/>
      <c r="I73" s="4"/>
      <c r="J73" s="4"/>
      <c r="K73" s="4"/>
      <c r="L73" s="4"/>
      <c r="M73" s="4"/>
      <c r="N73" s="4"/>
      <c r="O73" s="4"/>
      <c r="P73" s="4"/>
      <c r="Q73" s="4"/>
      <c r="R73" s="4"/>
      <c r="S73" s="4"/>
      <c r="T73" s="4"/>
      <c r="U73" s="4"/>
      <c r="V73" s="4"/>
      <c r="W73" s="4"/>
      <c r="X73" s="4"/>
      <c r="Y73" s="4"/>
      <c r="Z73" s="4"/>
      <c r="AA73" s="21"/>
    </row>
    <row r="74">
      <c r="A74" s="4"/>
      <c r="B74" s="4"/>
      <c r="C74" s="4"/>
      <c r="D74" s="26"/>
      <c r="E74" s="4"/>
      <c r="F74" s="4"/>
      <c r="G74" s="4"/>
      <c r="H74" s="4"/>
      <c r="I74" s="4"/>
      <c r="J74" s="4"/>
      <c r="K74" s="4"/>
      <c r="L74" s="4"/>
      <c r="M74" s="4"/>
      <c r="N74" s="4"/>
      <c r="O74" s="4"/>
      <c r="P74" s="4"/>
      <c r="Q74" s="4"/>
      <c r="R74" s="4"/>
      <c r="S74" s="4"/>
      <c r="T74" s="4"/>
      <c r="U74" s="4"/>
      <c r="V74" s="4"/>
      <c r="W74" s="4"/>
      <c r="X74" s="4"/>
      <c r="Y74" s="4"/>
      <c r="Z74" s="4"/>
      <c r="AA74" s="21"/>
    </row>
    <row r="75">
      <c r="A75" s="4"/>
      <c r="B75" s="4"/>
      <c r="C75" s="4"/>
      <c r="D75" s="26"/>
      <c r="E75" s="4"/>
      <c r="F75" s="4"/>
      <c r="G75" s="4"/>
      <c r="H75" s="4"/>
      <c r="I75" s="4"/>
      <c r="J75" s="4"/>
      <c r="K75" s="4"/>
      <c r="L75" s="4"/>
      <c r="M75" s="4"/>
      <c r="N75" s="4"/>
      <c r="O75" s="4"/>
      <c r="P75" s="4"/>
      <c r="Q75" s="4"/>
      <c r="R75" s="4"/>
      <c r="S75" s="4"/>
      <c r="T75" s="4"/>
      <c r="U75" s="4"/>
      <c r="V75" s="4"/>
      <c r="W75" s="4"/>
      <c r="X75" s="4"/>
      <c r="Y75" s="4"/>
      <c r="Z75" s="4"/>
      <c r="AA75" s="21"/>
    </row>
    <row r="76">
      <c r="A76" s="4"/>
      <c r="B76" s="4"/>
      <c r="C76" s="4"/>
      <c r="D76" s="26"/>
      <c r="E76" s="4"/>
      <c r="F76" s="4"/>
      <c r="G76" s="4"/>
      <c r="H76" s="4"/>
      <c r="I76" s="4"/>
      <c r="J76" s="4"/>
      <c r="K76" s="4"/>
      <c r="L76" s="4"/>
      <c r="M76" s="4"/>
      <c r="N76" s="4"/>
      <c r="O76" s="4"/>
      <c r="P76" s="4"/>
      <c r="Q76" s="4"/>
      <c r="R76" s="4"/>
      <c r="S76" s="4"/>
      <c r="T76" s="4"/>
      <c r="U76" s="4"/>
      <c r="V76" s="4"/>
      <c r="W76" s="4"/>
      <c r="X76" s="4"/>
      <c r="Y76" s="4"/>
      <c r="Z76" s="4"/>
      <c r="AA76" s="21"/>
    </row>
    <row r="77">
      <c r="A77" s="4"/>
      <c r="B77" s="4"/>
      <c r="C77" s="4"/>
      <c r="D77" s="26"/>
      <c r="E77" s="4"/>
      <c r="F77" s="4"/>
      <c r="G77" s="4"/>
      <c r="H77" s="4"/>
      <c r="I77" s="4"/>
      <c r="J77" s="4"/>
      <c r="K77" s="4"/>
      <c r="L77" s="4"/>
      <c r="M77" s="4"/>
      <c r="N77" s="4"/>
      <c r="O77" s="4"/>
      <c r="P77" s="4"/>
      <c r="Q77" s="4"/>
      <c r="R77" s="4"/>
      <c r="S77" s="4"/>
      <c r="T77" s="4"/>
      <c r="U77" s="4"/>
      <c r="V77" s="4"/>
      <c r="W77" s="4"/>
      <c r="X77" s="4"/>
      <c r="Y77" s="4"/>
      <c r="Z77" s="4"/>
      <c r="AA77" s="21"/>
    </row>
    <row r="78">
      <c r="A78" s="4"/>
      <c r="B78" s="4"/>
      <c r="C78" s="4"/>
      <c r="D78" s="26"/>
      <c r="E78" s="4"/>
      <c r="F78" s="4"/>
      <c r="G78" s="4"/>
      <c r="H78" s="4"/>
      <c r="I78" s="4"/>
      <c r="J78" s="4"/>
      <c r="K78" s="4"/>
      <c r="L78" s="4"/>
      <c r="M78" s="4"/>
      <c r="N78" s="4"/>
      <c r="O78" s="4"/>
      <c r="P78" s="4"/>
      <c r="Q78" s="4"/>
      <c r="R78" s="4"/>
      <c r="S78" s="4"/>
      <c r="T78" s="4"/>
      <c r="U78" s="4"/>
      <c r="V78" s="4"/>
      <c r="W78" s="4"/>
      <c r="X78" s="4"/>
      <c r="Y78" s="4"/>
      <c r="Z78" s="4"/>
      <c r="AA78" s="21"/>
    </row>
    <row r="79">
      <c r="A79" s="4"/>
      <c r="B79" s="4"/>
      <c r="C79" s="4"/>
      <c r="D79" s="26"/>
      <c r="E79" s="4"/>
      <c r="F79" s="4"/>
      <c r="G79" s="4"/>
      <c r="H79" s="4"/>
      <c r="I79" s="4"/>
      <c r="J79" s="4"/>
      <c r="K79" s="4"/>
      <c r="L79" s="4"/>
      <c r="M79" s="4"/>
      <c r="N79" s="4"/>
      <c r="O79" s="4"/>
      <c r="P79" s="4"/>
      <c r="Q79" s="4"/>
      <c r="R79" s="4"/>
      <c r="S79" s="4"/>
      <c r="T79" s="4"/>
      <c r="U79" s="4"/>
      <c r="V79" s="4"/>
      <c r="W79" s="4"/>
      <c r="X79" s="4"/>
      <c r="Y79" s="4"/>
      <c r="Z79" s="4"/>
      <c r="AA79" s="21"/>
    </row>
    <row r="80">
      <c r="A80" s="4"/>
      <c r="B80" s="4"/>
      <c r="C80" s="4"/>
      <c r="D80" s="26"/>
      <c r="E80" s="4"/>
      <c r="F80" s="4"/>
      <c r="G80" s="4"/>
      <c r="H80" s="4"/>
      <c r="I80" s="4"/>
      <c r="J80" s="4"/>
      <c r="K80" s="4"/>
      <c r="L80" s="4"/>
      <c r="M80" s="4"/>
      <c r="N80" s="4"/>
      <c r="O80" s="4"/>
      <c r="P80" s="4"/>
      <c r="Q80" s="4"/>
      <c r="R80" s="4"/>
      <c r="S80" s="4"/>
      <c r="T80" s="4"/>
      <c r="U80" s="4"/>
      <c r="V80" s="4"/>
      <c r="W80" s="4"/>
      <c r="X80" s="4"/>
      <c r="Y80" s="4"/>
      <c r="Z80" s="4"/>
      <c r="AA80" s="21"/>
    </row>
    <row r="81">
      <c r="A81" s="4"/>
      <c r="B81" s="4"/>
      <c r="C81" s="4"/>
      <c r="D81" s="26"/>
      <c r="E81" s="4"/>
      <c r="F81" s="4"/>
      <c r="G81" s="4"/>
      <c r="H81" s="4"/>
      <c r="I81" s="4"/>
      <c r="J81" s="4"/>
      <c r="K81" s="4"/>
      <c r="L81" s="4"/>
      <c r="M81" s="4"/>
      <c r="N81" s="4"/>
      <c r="O81" s="4"/>
      <c r="P81" s="4"/>
      <c r="Q81" s="4"/>
      <c r="R81" s="4"/>
      <c r="S81" s="4"/>
      <c r="T81" s="4"/>
      <c r="U81" s="4"/>
      <c r="V81" s="4"/>
      <c r="W81" s="4"/>
      <c r="X81" s="4"/>
      <c r="Y81" s="4"/>
      <c r="Z81" s="4"/>
      <c r="AA81" s="21"/>
    </row>
    <row r="82">
      <c r="A82" s="4"/>
      <c r="B82" s="4"/>
      <c r="C82" s="4"/>
      <c r="D82" s="26"/>
      <c r="E82" s="4"/>
      <c r="F82" s="4"/>
      <c r="G82" s="4"/>
      <c r="H82" s="4"/>
      <c r="I82" s="4"/>
      <c r="J82" s="4"/>
      <c r="K82" s="4"/>
      <c r="L82" s="4"/>
      <c r="M82" s="4"/>
      <c r="N82" s="4"/>
      <c r="O82" s="4"/>
      <c r="P82" s="4"/>
      <c r="Q82" s="4"/>
      <c r="R82" s="4"/>
      <c r="S82" s="4"/>
      <c r="T82" s="4"/>
      <c r="U82" s="4"/>
      <c r="V82" s="4"/>
      <c r="W82" s="4"/>
      <c r="X82" s="4"/>
      <c r="Y82" s="4"/>
      <c r="Z82" s="4"/>
      <c r="AA82" s="21"/>
    </row>
    <row r="83">
      <c r="A83" s="4"/>
      <c r="B83" s="4"/>
      <c r="C83" s="4"/>
      <c r="D83" s="26"/>
      <c r="E83" s="4"/>
      <c r="F83" s="4"/>
      <c r="G83" s="4"/>
      <c r="H83" s="4"/>
      <c r="I83" s="4"/>
      <c r="J83" s="4"/>
      <c r="K83" s="4"/>
      <c r="L83" s="4"/>
      <c r="M83" s="4"/>
      <c r="N83" s="4"/>
      <c r="O83" s="4"/>
      <c r="P83" s="4"/>
      <c r="Q83" s="4"/>
      <c r="R83" s="4"/>
      <c r="S83" s="4"/>
      <c r="T83" s="4"/>
      <c r="U83" s="4"/>
      <c r="V83" s="4"/>
      <c r="W83" s="4"/>
      <c r="X83" s="4"/>
      <c r="Y83" s="4"/>
      <c r="Z83" s="4"/>
      <c r="AA83" s="21"/>
    </row>
    <row r="84">
      <c r="A84" s="4"/>
      <c r="B84" s="4"/>
      <c r="C84" s="4"/>
      <c r="D84" s="26"/>
      <c r="E84" s="4"/>
      <c r="F84" s="4"/>
      <c r="G84" s="4"/>
      <c r="H84" s="4"/>
      <c r="I84" s="4"/>
      <c r="J84" s="4"/>
      <c r="K84" s="4"/>
      <c r="L84" s="4"/>
      <c r="M84" s="4"/>
      <c r="N84" s="4"/>
      <c r="O84" s="4"/>
      <c r="P84" s="4"/>
      <c r="Q84" s="4"/>
      <c r="R84" s="4"/>
      <c r="S84" s="4"/>
      <c r="T84" s="4"/>
      <c r="U84" s="4"/>
      <c r="V84" s="4"/>
      <c r="W84" s="4"/>
      <c r="X84" s="4"/>
      <c r="Y84" s="4"/>
      <c r="Z84" s="4"/>
      <c r="AA84" s="21"/>
    </row>
    <row r="85">
      <c r="A85" s="4"/>
      <c r="B85" s="4"/>
      <c r="C85" s="4"/>
      <c r="D85" s="26"/>
      <c r="E85" s="4"/>
      <c r="F85" s="4"/>
      <c r="G85" s="4"/>
      <c r="H85" s="4"/>
      <c r="I85" s="4"/>
      <c r="J85" s="4"/>
      <c r="K85" s="4"/>
      <c r="L85" s="4"/>
      <c r="M85" s="4"/>
      <c r="N85" s="4"/>
      <c r="O85" s="4"/>
      <c r="P85" s="4"/>
      <c r="Q85" s="4"/>
      <c r="R85" s="4"/>
      <c r="S85" s="4"/>
      <c r="T85" s="4"/>
      <c r="U85" s="4"/>
      <c r="V85" s="4"/>
      <c r="W85" s="4"/>
      <c r="X85" s="4"/>
      <c r="Y85" s="4"/>
      <c r="Z85" s="4"/>
      <c r="AA85" s="21"/>
    </row>
    <row r="86">
      <c r="A86" s="4"/>
      <c r="B86" s="4"/>
      <c r="C86" s="4"/>
      <c r="D86" s="26"/>
      <c r="E86" s="4"/>
      <c r="F86" s="4"/>
      <c r="G86" s="4"/>
      <c r="H86" s="4"/>
      <c r="I86" s="4"/>
      <c r="J86" s="4"/>
      <c r="K86" s="4"/>
      <c r="L86" s="4"/>
      <c r="M86" s="4"/>
      <c r="N86" s="4"/>
      <c r="O86" s="4"/>
      <c r="P86" s="4"/>
      <c r="Q86" s="4"/>
      <c r="R86" s="4"/>
      <c r="S86" s="4"/>
      <c r="T86" s="4"/>
      <c r="U86" s="4"/>
      <c r="V86" s="4"/>
      <c r="W86" s="4"/>
      <c r="X86" s="4"/>
      <c r="Y86" s="4"/>
      <c r="Z86" s="4"/>
      <c r="AA86" s="21"/>
    </row>
    <row r="87">
      <c r="A87" s="4"/>
      <c r="B87" s="4"/>
      <c r="C87" s="4"/>
      <c r="D87" s="26"/>
      <c r="E87" s="4"/>
      <c r="F87" s="4"/>
      <c r="G87" s="4"/>
      <c r="H87" s="4"/>
      <c r="I87" s="4"/>
      <c r="J87" s="4"/>
      <c r="K87" s="4"/>
      <c r="L87" s="4"/>
      <c r="M87" s="4"/>
      <c r="N87" s="4"/>
      <c r="O87" s="4"/>
      <c r="P87" s="4"/>
      <c r="Q87" s="4"/>
      <c r="R87" s="4"/>
      <c r="S87" s="4"/>
      <c r="T87" s="4"/>
      <c r="U87" s="4"/>
      <c r="V87" s="4"/>
      <c r="W87" s="4"/>
      <c r="X87" s="4"/>
      <c r="Y87" s="4"/>
      <c r="Z87" s="4"/>
      <c r="AA87" s="21"/>
    </row>
    <row r="88">
      <c r="A88" s="4"/>
      <c r="B88" s="4"/>
      <c r="C88" s="4"/>
      <c r="D88" s="26"/>
      <c r="E88" s="4"/>
      <c r="F88" s="4"/>
      <c r="G88" s="4"/>
      <c r="H88" s="4"/>
      <c r="I88" s="4"/>
      <c r="J88" s="4"/>
      <c r="K88" s="4"/>
      <c r="L88" s="4"/>
      <c r="M88" s="4"/>
      <c r="N88" s="4"/>
      <c r="O88" s="4"/>
      <c r="P88" s="4"/>
      <c r="Q88" s="4"/>
      <c r="R88" s="4"/>
      <c r="S88" s="4"/>
      <c r="T88" s="4"/>
      <c r="U88" s="4"/>
      <c r="V88" s="4"/>
      <c r="W88" s="4"/>
      <c r="X88" s="4"/>
      <c r="Y88" s="4"/>
      <c r="Z88" s="4"/>
      <c r="AA88" s="21"/>
    </row>
    <row r="89">
      <c r="A89" s="4"/>
      <c r="B89" s="4"/>
      <c r="C89" s="4"/>
      <c r="D89" s="26"/>
      <c r="E89" s="4"/>
      <c r="F89" s="4"/>
      <c r="G89" s="4"/>
      <c r="H89" s="4"/>
      <c r="I89" s="4"/>
      <c r="J89" s="4"/>
      <c r="K89" s="4"/>
      <c r="L89" s="4"/>
      <c r="M89" s="4"/>
      <c r="N89" s="4"/>
      <c r="O89" s="4"/>
      <c r="P89" s="4"/>
      <c r="Q89" s="4"/>
      <c r="R89" s="4"/>
      <c r="S89" s="4"/>
      <c r="T89" s="4"/>
      <c r="U89" s="4"/>
      <c r="V89" s="4"/>
      <c r="W89" s="4"/>
      <c r="X89" s="4"/>
      <c r="Y89" s="4"/>
      <c r="Z89" s="4"/>
      <c r="AA89" s="21"/>
    </row>
    <row r="90">
      <c r="A90" s="4"/>
      <c r="B90" s="4"/>
      <c r="C90" s="4"/>
      <c r="D90" s="26"/>
      <c r="E90" s="4"/>
      <c r="F90" s="4"/>
      <c r="G90" s="4"/>
      <c r="H90" s="4"/>
      <c r="I90" s="4"/>
      <c r="J90" s="4"/>
      <c r="K90" s="4"/>
      <c r="L90" s="4"/>
      <c r="M90" s="4"/>
      <c r="N90" s="4"/>
      <c r="O90" s="4"/>
      <c r="P90" s="4"/>
      <c r="Q90" s="4"/>
      <c r="R90" s="4"/>
      <c r="S90" s="4"/>
      <c r="T90" s="4"/>
      <c r="U90" s="4"/>
      <c r="V90" s="4"/>
      <c r="W90" s="4"/>
      <c r="X90" s="4"/>
      <c r="Y90" s="4"/>
      <c r="Z90" s="4"/>
      <c r="AA90" s="21"/>
    </row>
    <row r="91">
      <c r="A91" s="4"/>
      <c r="B91" s="4"/>
      <c r="C91" s="4"/>
      <c r="D91" s="26"/>
      <c r="E91" s="4"/>
      <c r="F91" s="4"/>
      <c r="G91" s="4"/>
      <c r="H91" s="4"/>
      <c r="I91" s="4"/>
      <c r="J91" s="4"/>
      <c r="K91" s="4"/>
      <c r="L91" s="4"/>
      <c r="M91" s="4"/>
      <c r="N91" s="4"/>
      <c r="O91" s="4"/>
      <c r="P91" s="4"/>
      <c r="Q91" s="4"/>
      <c r="R91" s="4"/>
      <c r="S91" s="4"/>
      <c r="T91" s="4"/>
      <c r="U91" s="4"/>
      <c r="V91" s="4"/>
      <c r="W91" s="4"/>
      <c r="X91" s="4"/>
      <c r="Y91" s="4"/>
      <c r="Z91" s="4"/>
      <c r="AA91" s="21"/>
    </row>
    <row r="92">
      <c r="A92" s="4"/>
      <c r="B92" s="4"/>
      <c r="C92" s="4"/>
      <c r="D92" s="26"/>
      <c r="E92" s="4"/>
      <c r="F92" s="4"/>
      <c r="G92" s="4"/>
      <c r="H92" s="4"/>
      <c r="I92" s="4"/>
      <c r="J92" s="4"/>
      <c r="K92" s="4"/>
      <c r="L92" s="4"/>
      <c r="M92" s="4"/>
      <c r="N92" s="4"/>
      <c r="O92" s="4"/>
      <c r="P92" s="4"/>
      <c r="Q92" s="4"/>
      <c r="R92" s="4"/>
      <c r="S92" s="4"/>
      <c r="T92" s="4"/>
      <c r="U92" s="4"/>
      <c r="V92" s="4"/>
      <c r="W92" s="4"/>
      <c r="X92" s="4"/>
      <c r="Y92" s="4"/>
      <c r="Z92" s="4"/>
      <c r="AA92" s="21"/>
    </row>
    <row r="93">
      <c r="A93" s="4"/>
      <c r="B93" s="4"/>
      <c r="C93" s="4"/>
      <c r="D93" s="26"/>
      <c r="E93" s="4"/>
      <c r="F93" s="4"/>
      <c r="G93" s="4"/>
      <c r="H93" s="4"/>
      <c r="I93" s="4"/>
      <c r="J93" s="4"/>
      <c r="K93" s="4"/>
      <c r="L93" s="4"/>
      <c r="M93" s="4"/>
      <c r="N93" s="4"/>
      <c r="O93" s="4"/>
      <c r="P93" s="4"/>
      <c r="Q93" s="4"/>
      <c r="R93" s="4"/>
      <c r="S93" s="4"/>
      <c r="T93" s="4"/>
      <c r="U93" s="4"/>
      <c r="V93" s="4"/>
      <c r="W93" s="4"/>
      <c r="X93" s="4"/>
      <c r="Y93" s="4"/>
      <c r="Z93" s="4"/>
      <c r="AA93" s="21"/>
    </row>
    <row r="94">
      <c r="A94" s="4"/>
      <c r="B94" s="4"/>
      <c r="C94" s="4"/>
      <c r="D94" s="26"/>
      <c r="E94" s="4"/>
      <c r="F94" s="4"/>
      <c r="G94" s="4"/>
      <c r="H94" s="4"/>
      <c r="I94" s="4"/>
      <c r="J94" s="4"/>
      <c r="K94" s="4"/>
      <c r="L94" s="4"/>
      <c r="M94" s="4"/>
      <c r="N94" s="4"/>
      <c r="O94" s="4"/>
      <c r="P94" s="4"/>
      <c r="Q94" s="4"/>
      <c r="R94" s="4"/>
      <c r="S94" s="4"/>
      <c r="T94" s="4"/>
      <c r="U94" s="4"/>
      <c r="V94" s="4"/>
      <c r="W94" s="4"/>
      <c r="X94" s="4"/>
      <c r="Y94" s="4"/>
      <c r="Z94" s="4"/>
      <c r="AA94" s="21"/>
    </row>
    <row r="95">
      <c r="A95" s="4"/>
      <c r="B95" s="4"/>
      <c r="C95" s="4"/>
      <c r="D95" s="26"/>
      <c r="E95" s="4"/>
      <c r="F95" s="4"/>
      <c r="G95" s="4"/>
      <c r="H95" s="4"/>
      <c r="I95" s="4"/>
      <c r="J95" s="4"/>
      <c r="K95" s="4"/>
      <c r="L95" s="4"/>
      <c r="M95" s="4"/>
      <c r="N95" s="4"/>
      <c r="O95" s="4"/>
      <c r="P95" s="4"/>
      <c r="Q95" s="4"/>
      <c r="R95" s="4"/>
      <c r="S95" s="4"/>
      <c r="T95" s="4"/>
      <c r="U95" s="4"/>
      <c r="V95" s="4"/>
      <c r="W95" s="4"/>
      <c r="X95" s="4"/>
      <c r="Y95" s="4"/>
      <c r="Z95" s="4"/>
      <c r="AA95" s="21"/>
    </row>
    <row r="96">
      <c r="A96" s="4"/>
      <c r="B96" s="4"/>
      <c r="C96" s="4"/>
      <c r="D96" s="26"/>
      <c r="E96" s="4"/>
      <c r="F96" s="4"/>
      <c r="G96" s="4"/>
      <c r="H96" s="4"/>
      <c r="I96" s="4"/>
      <c r="J96" s="4"/>
      <c r="K96" s="4"/>
      <c r="L96" s="4"/>
      <c r="M96" s="4"/>
      <c r="N96" s="4"/>
      <c r="O96" s="4"/>
      <c r="P96" s="4"/>
      <c r="Q96" s="4"/>
      <c r="R96" s="4"/>
      <c r="S96" s="4"/>
      <c r="T96" s="4"/>
      <c r="U96" s="4"/>
      <c r="V96" s="4"/>
      <c r="W96" s="4"/>
      <c r="X96" s="4"/>
      <c r="Y96" s="4"/>
      <c r="Z96" s="4"/>
      <c r="AA96" s="21"/>
    </row>
    <row r="97">
      <c r="A97" s="4"/>
      <c r="B97" s="4"/>
      <c r="C97" s="4"/>
      <c r="D97" s="26"/>
      <c r="E97" s="4"/>
      <c r="F97" s="4"/>
      <c r="G97" s="4"/>
      <c r="H97" s="4"/>
      <c r="I97" s="4"/>
      <c r="J97" s="4"/>
      <c r="K97" s="4"/>
      <c r="L97" s="4"/>
      <c r="M97" s="4"/>
      <c r="N97" s="4"/>
      <c r="O97" s="4"/>
      <c r="P97" s="4"/>
      <c r="Q97" s="4"/>
      <c r="R97" s="4"/>
      <c r="S97" s="4"/>
      <c r="T97" s="4"/>
      <c r="U97" s="4"/>
      <c r="V97" s="4"/>
      <c r="W97" s="4"/>
      <c r="X97" s="4"/>
      <c r="Y97" s="4"/>
      <c r="Z97" s="4"/>
      <c r="AA97" s="21"/>
    </row>
    <row r="98">
      <c r="A98" s="4"/>
      <c r="B98" s="4"/>
      <c r="C98" s="4"/>
      <c r="D98" s="26"/>
      <c r="E98" s="4"/>
      <c r="F98" s="4"/>
      <c r="G98" s="4"/>
      <c r="H98" s="4"/>
      <c r="I98" s="4"/>
      <c r="J98" s="4"/>
      <c r="K98" s="4"/>
      <c r="L98" s="4"/>
      <c r="M98" s="4"/>
      <c r="N98" s="4"/>
      <c r="O98" s="4"/>
      <c r="P98" s="4"/>
      <c r="Q98" s="4"/>
      <c r="R98" s="4"/>
      <c r="S98" s="4"/>
      <c r="T98" s="4"/>
      <c r="U98" s="4"/>
      <c r="V98" s="4"/>
      <c r="W98" s="4"/>
      <c r="X98" s="4"/>
      <c r="Y98" s="4"/>
      <c r="Z98" s="4"/>
      <c r="AA98" s="21"/>
    </row>
    <row r="99">
      <c r="A99" s="4"/>
      <c r="B99" s="4"/>
      <c r="C99" s="4"/>
      <c r="D99" s="26"/>
      <c r="E99" s="4"/>
      <c r="F99" s="4"/>
      <c r="G99" s="4"/>
      <c r="H99" s="4"/>
      <c r="I99" s="4"/>
      <c r="J99" s="4"/>
      <c r="K99" s="4"/>
      <c r="L99" s="4"/>
      <c r="M99" s="4"/>
      <c r="N99" s="4"/>
      <c r="O99" s="4"/>
      <c r="P99" s="4"/>
      <c r="Q99" s="4"/>
      <c r="R99" s="4"/>
      <c r="S99" s="4"/>
      <c r="T99" s="4"/>
      <c r="U99" s="4"/>
      <c r="V99" s="4"/>
      <c r="W99" s="4"/>
      <c r="X99" s="4"/>
      <c r="Y99" s="4"/>
      <c r="Z99" s="4"/>
      <c r="AA99" s="21"/>
    </row>
    <row r="100">
      <c r="A100" s="4"/>
      <c r="B100" s="4"/>
      <c r="C100" s="4"/>
      <c r="D100" s="26"/>
      <c r="E100" s="4"/>
      <c r="F100" s="4"/>
      <c r="G100" s="4"/>
      <c r="H100" s="4"/>
      <c r="I100" s="4"/>
      <c r="J100" s="4"/>
      <c r="K100" s="4"/>
      <c r="L100" s="4"/>
      <c r="M100" s="4"/>
      <c r="N100" s="4"/>
      <c r="O100" s="4"/>
      <c r="P100" s="4"/>
      <c r="Q100" s="4"/>
      <c r="R100" s="4"/>
      <c r="S100" s="4"/>
      <c r="T100" s="4"/>
      <c r="U100" s="4"/>
      <c r="V100" s="4"/>
      <c r="W100" s="4"/>
      <c r="X100" s="4"/>
      <c r="Y100" s="4"/>
      <c r="Z100" s="4"/>
      <c r="AA100" s="21"/>
    </row>
    <row r="101">
      <c r="A101" s="4"/>
      <c r="B101" s="4"/>
      <c r="C101" s="4"/>
      <c r="D101" s="26"/>
      <c r="E101" s="4"/>
      <c r="F101" s="4"/>
      <c r="G101" s="4"/>
      <c r="H101" s="4"/>
      <c r="I101" s="4"/>
      <c r="J101" s="4"/>
      <c r="K101" s="4"/>
      <c r="L101" s="4"/>
      <c r="M101" s="4"/>
      <c r="N101" s="4"/>
      <c r="O101" s="4"/>
      <c r="P101" s="4"/>
      <c r="Q101" s="4"/>
      <c r="R101" s="4"/>
      <c r="S101" s="4"/>
      <c r="T101" s="4"/>
      <c r="U101" s="4"/>
      <c r="V101" s="4"/>
      <c r="W101" s="4"/>
      <c r="X101" s="4"/>
      <c r="Y101" s="4"/>
      <c r="Z101" s="4"/>
      <c r="AA101" s="21"/>
    </row>
    <row r="102">
      <c r="A102" s="4"/>
      <c r="B102" s="4"/>
      <c r="C102" s="4"/>
      <c r="D102" s="26"/>
      <c r="E102" s="4"/>
      <c r="F102" s="4"/>
      <c r="G102" s="4"/>
      <c r="H102" s="4"/>
      <c r="I102" s="4"/>
      <c r="J102" s="4"/>
      <c r="K102" s="4"/>
      <c r="L102" s="4"/>
      <c r="M102" s="4"/>
      <c r="N102" s="4"/>
      <c r="O102" s="4"/>
      <c r="P102" s="4"/>
      <c r="Q102" s="4"/>
      <c r="R102" s="4"/>
      <c r="S102" s="4"/>
      <c r="T102" s="4"/>
      <c r="U102" s="4"/>
      <c r="V102" s="4"/>
      <c r="W102" s="4"/>
      <c r="X102" s="4"/>
      <c r="Y102" s="4"/>
      <c r="Z102" s="4"/>
      <c r="AA102" s="21"/>
    </row>
    <row r="103">
      <c r="A103" s="4"/>
      <c r="B103" s="4"/>
      <c r="C103" s="4"/>
      <c r="D103" s="26"/>
      <c r="E103" s="4"/>
      <c r="F103" s="4"/>
      <c r="G103" s="4"/>
      <c r="H103" s="4"/>
      <c r="I103" s="4"/>
      <c r="J103" s="4"/>
      <c r="K103" s="4"/>
      <c r="L103" s="4"/>
      <c r="M103" s="4"/>
      <c r="N103" s="4"/>
      <c r="O103" s="4"/>
      <c r="P103" s="4"/>
      <c r="Q103" s="4"/>
      <c r="R103" s="4"/>
      <c r="S103" s="4"/>
      <c r="T103" s="4"/>
      <c r="U103" s="4"/>
      <c r="V103" s="4"/>
      <c r="W103" s="4"/>
      <c r="X103" s="4"/>
      <c r="Y103" s="4"/>
      <c r="Z103" s="4"/>
      <c r="AA103" s="21"/>
    </row>
    <row r="104">
      <c r="A104" s="4"/>
      <c r="B104" s="4"/>
      <c r="C104" s="4"/>
      <c r="D104" s="26"/>
      <c r="E104" s="4"/>
      <c r="F104" s="4"/>
      <c r="G104" s="4"/>
      <c r="H104" s="4"/>
      <c r="I104" s="4"/>
      <c r="J104" s="4"/>
      <c r="K104" s="4"/>
      <c r="L104" s="4"/>
      <c r="M104" s="4"/>
      <c r="N104" s="4"/>
      <c r="O104" s="4"/>
      <c r="P104" s="4"/>
      <c r="Q104" s="4"/>
      <c r="R104" s="4"/>
      <c r="S104" s="4"/>
      <c r="T104" s="4"/>
      <c r="U104" s="4"/>
      <c r="V104" s="4"/>
      <c r="W104" s="4"/>
      <c r="X104" s="4"/>
      <c r="Y104" s="4"/>
      <c r="Z104" s="4"/>
      <c r="AA104" s="21"/>
    </row>
    <row r="105">
      <c r="A105" s="4"/>
      <c r="B105" s="4"/>
      <c r="C105" s="4"/>
      <c r="D105" s="26"/>
      <c r="E105" s="4"/>
      <c r="F105" s="4"/>
      <c r="G105" s="4"/>
      <c r="H105" s="4"/>
      <c r="I105" s="4"/>
      <c r="J105" s="4"/>
      <c r="K105" s="4"/>
      <c r="L105" s="4"/>
      <c r="M105" s="4"/>
      <c r="N105" s="4"/>
      <c r="O105" s="4"/>
      <c r="P105" s="4"/>
      <c r="Q105" s="4"/>
      <c r="R105" s="4"/>
      <c r="S105" s="4"/>
      <c r="T105" s="4"/>
      <c r="U105" s="4"/>
      <c r="V105" s="4"/>
      <c r="W105" s="4"/>
      <c r="X105" s="4"/>
      <c r="Y105" s="4"/>
      <c r="Z105" s="4"/>
      <c r="AA105" s="21"/>
    </row>
    <row r="106">
      <c r="A106" s="4"/>
      <c r="B106" s="4"/>
      <c r="C106" s="4"/>
      <c r="D106" s="26"/>
      <c r="E106" s="4"/>
      <c r="F106" s="4"/>
      <c r="G106" s="4"/>
      <c r="H106" s="4"/>
      <c r="I106" s="4"/>
      <c r="J106" s="4"/>
      <c r="K106" s="4"/>
      <c r="L106" s="4"/>
      <c r="M106" s="4"/>
      <c r="N106" s="4"/>
      <c r="O106" s="4"/>
      <c r="P106" s="4"/>
      <c r="Q106" s="4"/>
      <c r="R106" s="4"/>
      <c r="S106" s="4"/>
      <c r="T106" s="4"/>
      <c r="U106" s="4"/>
      <c r="V106" s="4"/>
      <c r="W106" s="4"/>
      <c r="X106" s="4"/>
      <c r="Y106" s="4"/>
      <c r="Z106" s="4"/>
      <c r="AA106" s="21"/>
    </row>
    <row r="107">
      <c r="A107" s="4"/>
      <c r="B107" s="4"/>
      <c r="C107" s="4"/>
      <c r="D107" s="26"/>
      <c r="E107" s="4"/>
      <c r="F107" s="4"/>
      <c r="G107" s="4"/>
      <c r="H107" s="4"/>
      <c r="I107" s="4"/>
      <c r="J107" s="4"/>
      <c r="K107" s="4"/>
      <c r="L107" s="4"/>
      <c r="M107" s="4"/>
      <c r="N107" s="4"/>
      <c r="O107" s="4"/>
      <c r="P107" s="4"/>
      <c r="Q107" s="4"/>
      <c r="R107" s="4"/>
      <c r="S107" s="4"/>
      <c r="T107" s="4"/>
      <c r="U107" s="4"/>
      <c r="V107" s="4"/>
      <c r="W107" s="4"/>
      <c r="X107" s="4"/>
      <c r="Y107" s="4"/>
      <c r="Z107" s="4"/>
      <c r="AA107" s="21"/>
    </row>
    <row r="108">
      <c r="A108" s="4"/>
      <c r="B108" s="4"/>
      <c r="C108" s="4"/>
      <c r="D108" s="26"/>
      <c r="E108" s="4"/>
      <c r="F108" s="4"/>
      <c r="G108" s="4"/>
      <c r="H108" s="4"/>
      <c r="I108" s="4"/>
      <c r="J108" s="4"/>
      <c r="K108" s="4"/>
      <c r="L108" s="4"/>
      <c r="M108" s="4"/>
      <c r="N108" s="4"/>
      <c r="O108" s="4"/>
      <c r="P108" s="4"/>
      <c r="Q108" s="4"/>
      <c r="R108" s="4"/>
      <c r="S108" s="4"/>
      <c r="T108" s="4"/>
      <c r="U108" s="4"/>
      <c r="V108" s="4"/>
      <c r="W108" s="4"/>
      <c r="X108" s="4"/>
      <c r="Y108" s="4"/>
      <c r="Z108" s="4"/>
      <c r="AA108" s="21"/>
    </row>
    <row r="109">
      <c r="A109" s="4"/>
      <c r="B109" s="4"/>
      <c r="C109" s="4"/>
      <c r="D109" s="26"/>
      <c r="E109" s="4"/>
      <c r="F109" s="4"/>
      <c r="G109" s="4"/>
      <c r="H109" s="4"/>
      <c r="I109" s="4"/>
      <c r="J109" s="4"/>
      <c r="K109" s="4"/>
      <c r="L109" s="4"/>
      <c r="M109" s="4"/>
      <c r="N109" s="4"/>
      <c r="O109" s="4"/>
      <c r="P109" s="4"/>
      <c r="Q109" s="4"/>
      <c r="R109" s="4"/>
      <c r="S109" s="4"/>
      <c r="T109" s="4"/>
      <c r="U109" s="4"/>
      <c r="V109" s="4"/>
      <c r="W109" s="4"/>
      <c r="X109" s="4"/>
      <c r="Y109" s="4"/>
      <c r="Z109" s="4"/>
      <c r="AA109" s="21"/>
    </row>
    <row r="110">
      <c r="A110" s="4"/>
      <c r="B110" s="4"/>
      <c r="C110" s="4"/>
      <c r="D110" s="26"/>
      <c r="E110" s="4"/>
      <c r="F110" s="4"/>
      <c r="G110" s="4"/>
      <c r="H110" s="4"/>
      <c r="I110" s="4"/>
      <c r="J110" s="4"/>
      <c r="K110" s="4"/>
      <c r="L110" s="4"/>
      <c r="M110" s="4"/>
      <c r="N110" s="4"/>
      <c r="O110" s="4"/>
      <c r="P110" s="4"/>
      <c r="Q110" s="4"/>
      <c r="R110" s="4"/>
      <c r="S110" s="4"/>
      <c r="T110" s="4"/>
      <c r="U110" s="4"/>
      <c r="V110" s="4"/>
      <c r="W110" s="4"/>
      <c r="X110" s="4"/>
      <c r="Y110" s="4"/>
      <c r="Z110" s="4"/>
      <c r="AA110" s="21"/>
    </row>
    <row r="111">
      <c r="A111" s="4"/>
      <c r="B111" s="4"/>
      <c r="C111" s="4"/>
      <c r="D111" s="26"/>
      <c r="E111" s="4"/>
      <c r="F111" s="4"/>
      <c r="G111" s="4"/>
      <c r="H111" s="4"/>
      <c r="I111" s="4"/>
      <c r="J111" s="4"/>
      <c r="K111" s="4"/>
      <c r="L111" s="4"/>
      <c r="M111" s="4"/>
      <c r="N111" s="4"/>
      <c r="O111" s="4"/>
      <c r="P111" s="4"/>
      <c r="Q111" s="4"/>
      <c r="R111" s="4"/>
      <c r="S111" s="4"/>
      <c r="T111" s="4"/>
      <c r="U111" s="4"/>
      <c r="V111" s="4"/>
      <c r="W111" s="4"/>
      <c r="X111" s="4"/>
      <c r="Y111" s="4"/>
      <c r="Z111" s="4"/>
      <c r="AA111" s="21"/>
    </row>
    <row r="112">
      <c r="A112" s="4"/>
      <c r="B112" s="4"/>
      <c r="C112" s="4"/>
      <c r="D112" s="26"/>
      <c r="E112" s="4"/>
      <c r="F112" s="4"/>
      <c r="G112" s="4"/>
      <c r="H112" s="4"/>
      <c r="I112" s="4"/>
      <c r="J112" s="4"/>
      <c r="K112" s="4"/>
      <c r="L112" s="4"/>
      <c r="M112" s="4"/>
      <c r="N112" s="4"/>
      <c r="O112" s="4"/>
      <c r="P112" s="4"/>
      <c r="Q112" s="4"/>
      <c r="R112" s="4"/>
      <c r="S112" s="4"/>
      <c r="T112" s="4"/>
      <c r="U112" s="4"/>
      <c r="V112" s="4"/>
      <c r="W112" s="4"/>
      <c r="X112" s="4"/>
      <c r="Y112" s="4"/>
      <c r="Z112" s="4"/>
      <c r="AA112" s="21"/>
    </row>
    <row r="113">
      <c r="A113" s="4"/>
      <c r="B113" s="4"/>
      <c r="C113" s="4"/>
      <c r="D113" s="26"/>
      <c r="E113" s="4"/>
      <c r="F113" s="4"/>
      <c r="G113" s="4"/>
      <c r="H113" s="4"/>
      <c r="I113" s="4"/>
      <c r="J113" s="4"/>
      <c r="K113" s="4"/>
      <c r="L113" s="4"/>
      <c r="M113" s="4"/>
      <c r="N113" s="4"/>
      <c r="O113" s="4"/>
      <c r="P113" s="4"/>
      <c r="Q113" s="4"/>
      <c r="R113" s="4"/>
      <c r="S113" s="4"/>
      <c r="T113" s="4"/>
      <c r="U113" s="4"/>
      <c r="V113" s="4"/>
      <c r="W113" s="4"/>
      <c r="X113" s="4"/>
      <c r="Y113" s="4"/>
      <c r="Z113" s="4"/>
      <c r="AA113" s="21"/>
    </row>
    <row r="114">
      <c r="A114" s="4"/>
      <c r="B114" s="4"/>
      <c r="C114" s="4"/>
      <c r="D114" s="26"/>
      <c r="E114" s="4"/>
      <c r="F114" s="4"/>
      <c r="G114" s="4"/>
      <c r="H114" s="4"/>
      <c r="I114" s="4"/>
      <c r="J114" s="4"/>
      <c r="K114" s="4"/>
      <c r="L114" s="4"/>
      <c r="M114" s="4"/>
      <c r="N114" s="4"/>
      <c r="O114" s="4"/>
      <c r="P114" s="4"/>
      <c r="Q114" s="4"/>
      <c r="R114" s="4"/>
      <c r="S114" s="4"/>
      <c r="T114" s="4"/>
      <c r="U114" s="4"/>
      <c r="V114" s="4"/>
      <c r="W114" s="4"/>
      <c r="X114" s="4"/>
      <c r="Y114" s="4"/>
      <c r="Z114" s="4"/>
      <c r="AA114" s="21"/>
    </row>
    <row r="115">
      <c r="A115" s="4"/>
      <c r="B115" s="4"/>
      <c r="C115" s="4"/>
      <c r="D115" s="26"/>
      <c r="E115" s="4"/>
      <c r="F115" s="4"/>
      <c r="G115" s="4"/>
      <c r="H115" s="4"/>
      <c r="I115" s="4"/>
      <c r="J115" s="4"/>
      <c r="K115" s="4"/>
      <c r="L115" s="4"/>
      <c r="M115" s="4"/>
      <c r="N115" s="4"/>
      <c r="O115" s="4"/>
      <c r="P115" s="4"/>
      <c r="Q115" s="4"/>
      <c r="R115" s="4"/>
      <c r="S115" s="4"/>
      <c r="T115" s="4"/>
      <c r="U115" s="4"/>
      <c r="V115" s="4"/>
      <c r="W115" s="4"/>
      <c r="X115" s="4"/>
      <c r="Y115" s="4"/>
      <c r="Z115" s="4"/>
      <c r="AA115" s="21"/>
    </row>
    <row r="116">
      <c r="A116" s="4"/>
      <c r="B116" s="4"/>
      <c r="C116" s="4"/>
      <c r="D116" s="26"/>
      <c r="E116" s="4"/>
      <c r="F116" s="4"/>
      <c r="G116" s="4"/>
      <c r="H116" s="4"/>
      <c r="I116" s="4"/>
      <c r="J116" s="4"/>
      <c r="K116" s="4"/>
      <c r="L116" s="4"/>
      <c r="M116" s="4"/>
      <c r="N116" s="4"/>
      <c r="O116" s="4"/>
      <c r="P116" s="4"/>
      <c r="Q116" s="4"/>
      <c r="R116" s="4"/>
      <c r="S116" s="4"/>
      <c r="T116" s="4"/>
      <c r="U116" s="4"/>
      <c r="V116" s="4"/>
      <c r="W116" s="4"/>
      <c r="X116" s="4"/>
      <c r="Y116" s="4"/>
      <c r="Z116" s="4"/>
      <c r="AA116" s="21"/>
    </row>
    <row r="117">
      <c r="A117" s="4"/>
      <c r="B117" s="4"/>
      <c r="C117" s="4"/>
      <c r="D117" s="26"/>
      <c r="E117" s="4"/>
      <c r="F117" s="4"/>
      <c r="G117" s="4"/>
      <c r="H117" s="4"/>
      <c r="I117" s="4"/>
      <c r="J117" s="4"/>
      <c r="K117" s="4"/>
      <c r="L117" s="4"/>
      <c r="M117" s="4"/>
      <c r="N117" s="4"/>
      <c r="O117" s="4"/>
      <c r="P117" s="4"/>
      <c r="Q117" s="4"/>
      <c r="R117" s="4"/>
      <c r="S117" s="4"/>
      <c r="T117" s="4"/>
      <c r="U117" s="4"/>
      <c r="V117" s="4"/>
      <c r="W117" s="4"/>
      <c r="X117" s="4"/>
      <c r="Y117" s="4"/>
      <c r="Z117" s="4"/>
      <c r="AA117" s="21"/>
    </row>
    <row r="118">
      <c r="A118" s="4"/>
      <c r="B118" s="4"/>
      <c r="C118" s="4"/>
      <c r="D118" s="26"/>
      <c r="E118" s="4"/>
      <c r="F118" s="4"/>
      <c r="G118" s="4"/>
      <c r="H118" s="4"/>
      <c r="I118" s="4"/>
      <c r="J118" s="4"/>
      <c r="K118" s="4"/>
      <c r="L118" s="4"/>
      <c r="M118" s="4"/>
      <c r="N118" s="4"/>
      <c r="O118" s="4"/>
      <c r="P118" s="4"/>
      <c r="Q118" s="4"/>
      <c r="R118" s="4"/>
      <c r="S118" s="4"/>
      <c r="T118" s="4"/>
      <c r="U118" s="4"/>
      <c r="V118" s="4"/>
      <c r="W118" s="4"/>
      <c r="X118" s="4"/>
      <c r="Y118" s="4"/>
      <c r="Z118" s="4"/>
      <c r="AA118" s="21"/>
    </row>
    <row r="119">
      <c r="A119" s="4"/>
      <c r="B119" s="4"/>
      <c r="C119" s="4"/>
      <c r="D119" s="26"/>
      <c r="E119" s="4"/>
      <c r="F119" s="4"/>
      <c r="G119" s="4"/>
      <c r="H119" s="4"/>
      <c r="I119" s="4"/>
      <c r="J119" s="4"/>
      <c r="K119" s="4"/>
      <c r="L119" s="4"/>
      <c r="M119" s="4"/>
      <c r="N119" s="4"/>
      <c r="O119" s="4"/>
      <c r="P119" s="4"/>
      <c r="Q119" s="4"/>
      <c r="R119" s="4"/>
      <c r="S119" s="4"/>
      <c r="T119" s="4"/>
      <c r="U119" s="4"/>
      <c r="V119" s="4"/>
      <c r="W119" s="4"/>
      <c r="X119" s="4"/>
      <c r="Y119" s="4"/>
      <c r="Z119" s="4"/>
      <c r="AA119" s="21"/>
    </row>
    <row r="120">
      <c r="A120" s="4"/>
      <c r="B120" s="4"/>
      <c r="C120" s="4"/>
      <c r="D120" s="26"/>
      <c r="E120" s="4"/>
      <c r="F120" s="4"/>
      <c r="G120" s="4"/>
      <c r="H120" s="4"/>
      <c r="I120" s="4"/>
      <c r="J120" s="4"/>
      <c r="K120" s="4"/>
      <c r="L120" s="4"/>
      <c r="M120" s="4"/>
      <c r="N120" s="4"/>
      <c r="O120" s="4"/>
      <c r="P120" s="4"/>
      <c r="Q120" s="4"/>
      <c r="R120" s="4"/>
      <c r="S120" s="4"/>
      <c r="T120" s="4"/>
      <c r="U120" s="4"/>
      <c r="V120" s="4"/>
      <c r="W120" s="4"/>
      <c r="X120" s="4"/>
      <c r="Y120" s="4"/>
      <c r="Z120" s="4"/>
      <c r="AA120" s="21"/>
    </row>
    <row r="121">
      <c r="A121" s="4"/>
      <c r="B121" s="4"/>
      <c r="C121" s="4"/>
      <c r="D121" s="26"/>
      <c r="E121" s="4"/>
      <c r="F121" s="4"/>
      <c r="G121" s="4"/>
      <c r="H121" s="4"/>
      <c r="I121" s="4"/>
      <c r="J121" s="4"/>
      <c r="K121" s="4"/>
      <c r="L121" s="4"/>
      <c r="M121" s="4"/>
      <c r="N121" s="4"/>
      <c r="O121" s="4"/>
      <c r="P121" s="4"/>
      <c r="Q121" s="4"/>
      <c r="R121" s="4"/>
      <c r="S121" s="4"/>
      <c r="T121" s="4"/>
      <c r="U121" s="4"/>
      <c r="V121" s="4"/>
      <c r="W121" s="4"/>
      <c r="X121" s="4"/>
      <c r="Y121" s="4"/>
      <c r="Z121" s="4"/>
      <c r="AA121" s="21"/>
    </row>
    <row r="122">
      <c r="A122" s="4"/>
      <c r="B122" s="4"/>
      <c r="C122" s="4"/>
      <c r="D122" s="26"/>
      <c r="E122" s="4"/>
      <c r="F122" s="4"/>
      <c r="G122" s="4"/>
      <c r="H122" s="4"/>
      <c r="I122" s="4"/>
      <c r="J122" s="4"/>
      <c r="K122" s="4"/>
      <c r="L122" s="4"/>
      <c r="M122" s="4"/>
      <c r="N122" s="4"/>
      <c r="O122" s="4"/>
      <c r="P122" s="4"/>
      <c r="Q122" s="4"/>
      <c r="R122" s="4"/>
      <c r="S122" s="4"/>
      <c r="T122" s="4"/>
      <c r="U122" s="4"/>
      <c r="V122" s="4"/>
      <c r="W122" s="4"/>
      <c r="X122" s="4"/>
      <c r="Y122" s="4"/>
      <c r="Z122" s="4"/>
      <c r="AA122" s="21"/>
    </row>
    <row r="123">
      <c r="A123" s="4"/>
      <c r="B123" s="4"/>
      <c r="C123" s="4"/>
      <c r="D123" s="26"/>
      <c r="E123" s="4"/>
      <c r="F123" s="4"/>
      <c r="G123" s="4"/>
      <c r="H123" s="4"/>
      <c r="I123" s="4"/>
      <c r="J123" s="4"/>
      <c r="K123" s="4"/>
      <c r="L123" s="4"/>
      <c r="M123" s="4"/>
      <c r="N123" s="4"/>
      <c r="O123" s="4"/>
      <c r="P123" s="4"/>
      <c r="Q123" s="4"/>
      <c r="R123" s="4"/>
      <c r="S123" s="4"/>
      <c r="T123" s="4"/>
      <c r="U123" s="4"/>
      <c r="V123" s="4"/>
      <c r="W123" s="4"/>
      <c r="X123" s="4"/>
      <c r="Y123" s="4"/>
      <c r="Z123" s="4"/>
      <c r="AA123" s="21"/>
    </row>
    <row r="124">
      <c r="A124" s="4"/>
      <c r="B124" s="4"/>
      <c r="C124" s="4"/>
      <c r="D124" s="26"/>
      <c r="E124" s="4"/>
      <c r="F124" s="4"/>
      <c r="G124" s="4"/>
      <c r="H124" s="4"/>
      <c r="I124" s="4"/>
      <c r="J124" s="4"/>
      <c r="K124" s="4"/>
      <c r="L124" s="4"/>
      <c r="M124" s="4"/>
      <c r="N124" s="4"/>
      <c r="O124" s="4"/>
      <c r="P124" s="4"/>
      <c r="Q124" s="4"/>
      <c r="R124" s="4"/>
      <c r="S124" s="4"/>
      <c r="T124" s="4"/>
      <c r="U124" s="4"/>
      <c r="V124" s="4"/>
      <c r="W124" s="4"/>
      <c r="X124" s="4"/>
      <c r="Y124" s="4"/>
      <c r="Z124" s="4"/>
      <c r="AA124" s="21"/>
    </row>
    <row r="125">
      <c r="A125" s="4"/>
      <c r="B125" s="4"/>
      <c r="C125" s="4"/>
      <c r="D125" s="26"/>
      <c r="E125" s="4"/>
      <c r="F125" s="4"/>
      <c r="G125" s="4"/>
      <c r="H125" s="4"/>
      <c r="I125" s="4"/>
      <c r="J125" s="4"/>
      <c r="K125" s="4"/>
      <c r="L125" s="4"/>
      <c r="M125" s="4"/>
      <c r="N125" s="4"/>
      <c r="O125" s="4"/>
      <c r="P125" s="4"/>
      <c r="Q125" s="4"/>
      <c r="R125" s="4"/>
      <c r="S125" s="4"/>
      <c r="T125" s="4"/>
      <c r="U125" s="4"/>
      <c r="V125" s="4"/>
      <c r="W125" s="4"/>
      <c r="X125" s="4"/>
      <c r="Y125" s="4"/>
      <c r="Z125" s="4"/>
      <c r="AA125" s="21"/>
    </row>
    <row r="126">
      <c r="A126" s="4"/>
      <c r="B126" s="4"/>
      <c r="C126" s="4"/>
      <c r="D126" s="26"/>
      <c r="E126" s="4"/>
      <c r="F126" s="4"/>
      <c r="G126" s="4"/>
      <c r="H126" s="4"/>
      <c r="I126" s="4"/>
      <c r="J126" s="4"/>
      <c r="K126" s="4"/>
      <c r="L126" s="4"/>
      <c r="M126" s="4"/>
      <c r="N126" s="4"/>
      <c r="O126" s="4"/>
      <c r="P126" s="4"/>
      <c r="Q126" s="4"/>
      <c r="R126" s="4"/>
      <c r="S126" s="4"/>
      <c r="T126" s="4"/>
      <c r="U126" s="4"/>
      <c r="V126" s="4"/>
      <c r="W126" s="4"/>
      <c r="X126" s="4"/>
      <c r="Y126" s="4"/>
      <c r="Z126" s="4"/>
      <c r="AA126" s="21"/>
    </row>
    <row r="127">
      <c r="A127" s="4"/>
      <c r="B127" s="4"/>
      <c r="C127" s="4"/>
      <c r="D127" s="26"/>
      <c r="E127" s="4"/>
      <c r="F127" s="4"/>
      <c r="G127" s="4"/>
      <c r="H127" s="4"/>
      <c r="I127" s="4"/>
      <c r="J127" s="4"/>
      <c r="K127" s="4"/>
      <c r="L127" s="4"/>
      <c r="M127" s="4"/>
      <c r="N127" s="4"/>
      <c r="O127" s="4"/>
      <c r="P127" s="4"/>
      <c r="Q127" s="4"/>
      <c r="R127" s="4"/>
      <c r="S127" s="4"/>
      <c r="T127" s="4"/>
      <c r="U127" s="4"/>
      <c r="V127" s="4"/>
      <c r="W127" s="4"/>
      <c r="X127" s="4"/>
      <c r="Y127" s="4"/>
      <c r="Z127" s="4"/>
      <c r="AA127" s="21"/>
    </row>
    <row r="128">
      <c r="A128" s="4"/>
      <c r="B128" s="4"/>
      <c r="C128" s="4"/>
      <c r="D128" s="26"/>
      <c r="E128" s="4"/>
      <c r="F128" s="4"/>
      <c r="G128" s="4"/>
      <c r="H128" s="4"/>
      <c r="I128" s="4"/>
      <c r="J128" s="4"/>
      <c r="K128" s="4"/>
      <c r="L128" s="4"/>
      <c r="M128" s="4"/>
      <c r="N128" s="4"/>
      <c r="O128" s="4"/>
      <c r="P128" s="4"/>
      <c r="Q128" s="4"/>
      <c r="R128" s="4"/>
      <c r="S128" s="4"/>
      <c r="T128" s="4"/>
      <c r="U128" s="4"/>
      <c r="V128" s="4"/>
      <c r="W128" s="4"/>
      <c r="X128" s="4"/>
      <c r="Y128" s="4"/>
      <c r="Z128" s="4"/>
      <c r="AA128" s="21"/>
    </row>
    <row r="129">
      <c r="A129" s="4"/>
      <c r="B129" s="4"/>
      <c r="C129" s="4"/>
      <c r="D129" s="26"/>
      <c r="E129" s="4"/>
      <c r="F129" s="4"/>
      <c r="G129" s="4"/>
      <c r="H129" s="4"/>
      <c r="I129" s="4"/>
      <c r="J129" s="4"/>
      <c r="K129" s="4"/>
      <c r="L129" s="4"/>
      <c r="M129" s="4"/>
      <c r="N129" s="4"/>
      <c r="O129" s="4"/>
      <c r="P129" s="4"/>
      <c r="Q129" s="4"/>
      <c r="R129" s="4"/>
      <c r="S129" s="4"/>
      <c r="T129" s="4"/>
      <c r="U129" s="4"/>
      <c r="V129" s="4"/>
      <c r="W129" s="4"/>
      <c r="X129" s="4"/>
      <c r="Y129" s="4"/>
      <c r="Z129" s="4"/>
      <c r="AA129" s="21"/>
    </row>
    <row r="130">
      <c r="A130" s="4"/>
      <c r="B130" s="4"/>
      <c r="C130" s="4"/>
      <c r="D130" s="26"/>
      <c r="E130" s="4"/>
      <c r="F130" s="4"/>
      <c r="G130" s="4"/>
      <c r="H130" s="4"/>
      <c r="I130" s="4"/>
      <c r="J130" s="4"/>
      <c r="K130" s="4"/>
      <c r="L130" s="4"/>
      <c r="M130" s="4"/>
      <c r="N130" s="4"/>
      <c r="O130" s="4"/>
      <c r="P130" s="4"/>
      <c r="Q130" s="4"/>
      <c r="R130" s="4"/>
      <c r="S130" s="4"/>
      <c r="T130" s="4"/>
      <c r="U130" s="4"/>
      <c r="V130" s="4"/>
      <c r="W130" s="4"/>
      <c r="X130" s="4"/>
      <c r="Y130" s="4"/>
      <c r="Z130" s="4"/>
      <c r="AA130" s="21"/>
    </row>
    <row r="131">
      <c r="A131" s="4"/>
      <c r="B131" s="4"/>
      <c r="C131" s="4"/>
      <c r="D131" s="26"/>
      <c r="E131" s="4"/>
      <c r="F131" s="4"/>
      <c r="G131" s="4"/>
      <c r="H131" s="4"/>
      <c r="I131" s="4"/>
      <c r="J131" s="4"/>
      <c r="K131" s="4"/>
      <c r="L131" s="4"/>
      <c r="M131" s="4"/>
      <c r="N131" s="4"/>
      <c r="O131" s="4"/>
      <c r="P131" s="4"/>
      <c r="Q131" s="4"/>
      <c r="R131" s="4"/>
      <c r="S131" s="4"/>
      <c r="T131" s="4"/>
      <c r="U131" s="4"/>
      <c r="V131" s="4"/>
      <c r="W131" s="4"/>
      <c r="X131" s="4"/>
      <c r="Y131" s="4"/>
      <c r="Z131" s="4"/>
      <c r="AA131" s="21"/>
    </row>
    <row r="132">
      <c r="A132" s="4"/>
      <c r="B132" s="4"/>
      <c r="C132" s="4"/>
      <c r="D132" s="26"/>
      <c r="E132" s="4"/>
      <c r="F132" s="4"/>
      <c r="G132" s="4"/>
      <c r="H132" s="4"/>
      <c r="I132" s="4"/>
      <c r="J132" s="4"/>
      <c r="K132" s="4"/>
      <c r="L132" s="4"/>
      <c r="M132" s="4"/>
      <c r="N132" s="4"/>
      <c r="O132" s="4"/>
      <c r="P132" s="4"/>
      <c r="Q132" s="4"/>
      <c r="R132" s="4"/>
      <c r="S132" s="4"/>
      <c r="T132" s="4"/>
      <c r="U132" s="4"/>
      <c r="V132" s="4"/>
      <c r="W132" s="4"/>
      <c r="X132" s="4"/>
      <c r="Y132" s="4"/>
      <c r="Z132" s="4"/>
      <c r="AA132" s="21"/>
    </row>
    <row r="133">
      <c r="A133" s="4"/>
      <c r="B133" s="4"/>
      <c r="C133" s="4"/>
      <c r="D133" s="26"/>
      <c r="E133" s="4"/>
      <c r="F133" s="4"/>
      <c r="G133" s="4"/>
      <c r="H133" s="4"/>
      <c r="I133" s="4"/>
      <c r="J133" s="4"/>
      <c r="K133" s="4"/>
      <c r="L133" s="4"/>
      <c r="M133" s="4"/>
      <c r="N133" s="4"/>
      <c r="O133" s="4"/>
      <c r="P133" s="4"/>
      <c r="Q133" s="4"/>
      <c r="R133" s="4"/>
      <c r="S133" s="4"/>
      <c r="T133" s="4"/>
      <c r="U133" s="4"/>
      <c r="V133" s="4"/>
      <c r="W133" s="4"/>
      <c r="X133" s="4"/>
      <c r="Y133" s="4"/>
      <c r="Z133" s="4"/>
      <c r="AA133" s="21"/>
    </row>
    <row r="134">
      <c r="A134" s="4"/>
      <c r="B134" s="4"/>
      <c r="C134" s="4"/>
      <c r="D134" s="26"/>
      <c r="E134" s="4"/>
      <c r="F134" s="4"/>
      <c r="G134" s="4"/>
      <c r="H134" s="4"/>
      <c r="I134" s="4"/>
      <c r="J134" s="4"/>
      <c r="K134" s="4"/>
      <c r="L134" s="4"/>
      <c r="M134" s="4"/>
      <c r="N134" s="4"/>
      <c r="O134" s="4"/>
      <c r="P134" s="4"/>
      <c r="Q134" s="4"/>
      <c r="R134" s="4"/>
      <c r="S134" s="4"/>
      <c r="T134" s="4"/>
      <c r="U134" s="4"/>
      <c r="V134" s="4"/>
      <c r="W134" s="4"/>
      <c r="X134" s="4"/>
      <c r="Y134" s="4"/>
      <c r="Z134" s="4"/>
      <c r="AA134" s="21"/>
    </row>
    <row r="135">
      <c r="A135" s="4"/>
      <c r="B135" s="4"/>
      <c r="C135" s="4"/>
      <c r="D135" s="26"/>
      <c r="E135" s="4"/>
      <c r="F135" s="4"/>
      <c r="G135" s="4"/>
      <c r="H135" s="4"/>
      <c r="I135" s="4"/>
      <c r="J135" s="4"/>
      <c r="K135" s="4"/>
      <c r="L135" s="4"/>
      <c r="M135" s="4"/>
      <c r="N135" s="4"/>
      <c r="O135" s="4"/>
      <c r="P135" s="4"/>
      <c r="Q135" s="4"/>
      <c r="R135" s="4"/>
      <c r="S135" s="4"/>
      <c r="T135" s="4"/>
      <c r="U135" s="4"/>
      <c r="V135" s="4"/>
      <c r="W135" s="4"/>
      <c r="X135" s="4"/>
      <c r="Y135" s="4"/>
      <c r="Z135" s="4"/>
      <c r="AA135" s="21"/>
    </row>
    <row r="136">
      <c r="A136" s="4"/>
      <c r="B136" s="4"/>
      <c r="C136" s="4"/>
      <c r="D136" s="26"/>
      <c r="E136" s="4"/>
      <c r="F136" s="4"/>
      <c r="G136" s="4"/>
      <c r="H136" s="4"/>
      <c r="I136" s="4"/>
      <c r="J136" s="4"/>
      <c r="K136" s="4"/>
      <c r="L136" s="4"/>
      <c r="M136" s="4"/>
      <c r="N136" s="4"/>
      <c r="O136" s="4"/>
      <c r="P136" s="4"/>
      <c r="Q136" s="4"/>
      <c r="R136" s="4"/>
      <c r="S136" s="4"/>
      <c r="T136" s="4"/>
      <c r="U136" s="4"/>
      <c r="V136" s="4"/>
      <c r="W136" s="4"/>
      <c r="X136" s="4"/>
      <c r="Y136" s="4"/>
      <c r="Z136" s="4"/>
      <c r="AA136" s="21"/>
    </row>
    <row r="137">
      <c r="A137" s="4"/>
      <c r="B137" s="4"/>
      <c r="C137" s="4"/>
      <c r="D137" s="26"/>
      <c r="E137" s="4"/>
      <c r="F137" s="4"/>
      <c r="G137" s="4"/>
      <c r="H137" s="4"/>
      <c r="I137" s="4"/>
      <c r="J137" s="4"/>
      <c r="K137" s="4"/>
      <c r="L137" s="4"/>
      <c r="M137" s="4"/>
      <c r="N137" s="4"/>
      <c r="O137" s="4"/>
      <c r="P137" s="4"/>
      <c r="Q137" s="4"/>
      <c r="R137" s="4"/>
      <c r="S137" s="4"/>
      <c r="T137" s="4"/>
      <c r="U137" s="4"/>
      <c r="V137" s="4"/>
      <c r="W137" s="4"/>
      <c r="X137" s="4"/>
      <c r="Y137" s="4"/>
      <c r="Z137" s="4"/>
      <c r="AA137" s="21"/>
    </row>
    <row r="138">
      <c r="A138" s="4"/>
      <c r="B138" s="4"/>
      <c r="C138" s="4"/>
      <c r="D138" s="26"/>
      <c r="E138" s="4"/>
      <c r="F138" s="4"/>
      <c r="G138" s="4"/>
      <c r="H138" s="4"/>
      <c r="I138" s="4"/>
      <c r="J138" s="4"/>
      <c r="K138" s="4"/>
      <c r="L138" s="4"/>
      <c r="M138" s="4"/>
      <c r="N138" s="4"/>
      <c r="O138" s="4"/>
      <c r="P138" s="4"/>
      <c r="Q138" s="4"/>
      <c r="R138" s="4"/>
      <c r="S138" s="4"/>
      <c r="T138" s="4"/>
      <c r="U138" s="4"/>
      <c r="V138" s="4"/>
      <c r="W138" s="4"/>
      <c r="X138" s="4"/>
      <c r="Y138" s="4"/>
      <c r="Z138" s="4"/>
      <c r="AA138" s="21"/>
    </row>
    <row r="139">
      <c r="A139" s="4"/>
      <c r="B139" s="4"/>
      <c r="C139" s="4"/>
      <c r="D139" s="26"/>
      <c r="E139" s="4"/>
      <c r="F139" s="4"/>
      <c r="G139" s="4"/>
      <c r="H139" s="4"/>
      <c r="I139" s="4"/>
      <c r="J139" s="4"/>
      <c r="K139" s="4"/>
      <c r="L139" s="4"/>
      <c r="M139" s="4"/>
      <c r="N139" s="4"/>
      <c r="O139" s="4"/>
      <c r="P139" s="4"/>
      <c r="Q139" s="4"/>
      <c r="R139" s="4"/>
      <c r="S139" s="4"/>
      <c r="T139" s="4"/>
      <c r="U139" s="4"/>
      <c r="V139" s="4"/>
      <c r="W139" s="4"/>
      <c r="X139" s="4"/>
      <c r="Y139" s="4"/>
      <c r="Z139" s="4"/>
      <c r="AA139" s="21"/>
    </row>
    <row r="140">
      <c r="A140" s="4"/>
      <c r="B140" s="4"/>
      <c r="C140" s="4"/>
      <c r="D140" s="26"/>
      <c r="E140" s="4"/>
      <c r="F140" s="4"/>
      <c r="G140" s="4"/>
      <c r="H140" s="4"/>
      <c r="I140" s="4"/>
      <c r="J140" s="4"/>
      <c r="K140" s="4"/>
      <c r="L140" s="4"/>
      <c r="M140" s="4"/>
      <c r="N140" s="4"/>
      <c r="O140" s="4"/>
      <c r="P140" s="4"/>
      <c r="Q140" s="4"/>
      <c r="R140" s="4"/>
      <c r="S140" s="4"/>
      <c r="T140" s="4"/>
      <c r="U140" s="4"/>
      <c r="V140" s="4"/>
      <c r="W140" s="4"/>
      <c r="X140" s="4"/>
      <c r="Y140" s="4"/>
      <c r="Z140" s="4"/>
      <c r="AA140" s="21"/>
    </row>
    <row r="141">
      <c r="A141" s="4"/>
      <c r="B141" s="4"/>
      <c r="C141" s="4"/>
      <c r="D141" s="26"/>
      <c r="E141" s="4"/>
      <c r="F141" s="4"/>
      <c r="G141" s="4"/>
      <c r="H141" s="4"/>
      <c r="I141" s="4"/>
      <c r="J141" s="4"/>
      <c r="K141" s="4"/>
      <c r="L141" s="4"/>
      <c r="M141" s="4"/>
      <c r="N141" s="4"/>
      <c r="O141" s="4"/>
      <c r="P141" s="4"/>
      <c r="Q141" s="4"/>
      <c r="R141" s="4"/>
      <c r="S141" s="4"/>
      <c r="T141" s="4"/>
      <c r="U141" s="4"/>
      <c r="V141" s="4"/>
      <c r="W141" s="4"/>
      <c r="X141" s="4"/>
      <c r="Y141" s="4"/>
      <c r="Z141" s="4"/>
      <c r="AA141" s="21"/>
    </row>
    <row r="142">
      <c r="A142" s="4"/>
      <c r="B142" s="4"/>
      <c r="C142" s="4"/>
      <c r="D142" s="26"/>
      <c r="E142" s="4"/>
      <c r="F142" s="4"/>
      <c r="G142" s="4"/>
      <c r="H142" s="4"/>
      <c r="I142" s="4"/>
      <c r="J142" s="4"/>
      <c r="K142" s="4"/>
      <c r="L142" s="4"/>
      <c r="M142" s="4"/>
      <c r="N142" s="4"/>
      <c r="O142" s="4"/>
      <c r="P142" s="4"/>
      <c r="Q142" s="4"/>
      <c r="R142" s="4"/>
      <c r="S142" s="4"/>
      <c r="T142" s="4"/>
      <c r="U142" s="4"/>
      <c r="V142" s="4"/>
      <c r="W142" s="4"/>
      <c r="X142" s="4"/>
      <c r="Y142" s="4"/>
      <c r="Z142" s="4"/>
      <c r="AA142" s="21"/>
    </row>
    <row r="143">
      <c r="A143" s="4"/>
      <c r="B143" s="4"/>
      <c r="C143" s="4"/>
      <c r="D143" s="26"/>
      <c r="E143" s="4"/>
      <c r="F143" s="4"/>
      <c r="G143" s="4"/>
      <c r="H143" s="4"/>
      <c r="I143" s="4"/>
      <c r="J143" s="4"/>
      <c r="K143" s="4"/>
      <c r="L143" s="4"/>
      <c r="M143" s="4"/>
      <c r="N143" s="4"/>
      <c r="O143" s="4"/>
      <c r="P143" s="4"/>
      <c r="Q143" s="4"/>
      <c r="R143" s="4"/>
      <c r="S143" s="4"/>
      <c r="T143" s="4"/>
      <c r="U143" s="4"/>
      <c r="V143" s="4"/>
      <c r="W143" s="4"/>
      <c r="X143" s="4"/>
      <c r="Y143" s="4"/>
      <c r="Z143" s="4"/>
      <c r="AA143" s="21"/>
    </row>
    <row r="144">
      <c r="A144" s="4"/>
      <c r="B144" s="4"/>
      <c r="C144" s="4"/>
      <c r="D144" s="26"/>
      <c r="E144" s="4"/>
      <c r="F144" s="4"/>
      <c r="G144" s="4"/>
      <c r="H144" s="4"/>
      <c r="I144" s="4"/>
      <c r="J144" s="4"/>
      <c r="K144" s="4"/>
      <c r="L144" s="4"/>
      <c r="M144" s="4"/>
      <c r="N144" s="4"/>
      <c r="O144" s="4"/>
      <c r="P144" s="4"/>
      <c r="Q144" s="4"/>
      <c r="R144" s="4"/>
      <c r="S144" s="4"/>
      <c r="T144" s="4"/>
      <c r="U144" s="4"/>
      <c r="V144" s="4"/>
      <c r="W144" s="4"/>
      <c r="X144" s="4"/>
      <c r="Y144" s="4"/>
      <c r="Z144" s="4"/>
      <c r="AA144" s="21"/>
    </row>
    <row r="145">
      <c r="A145" s="4"/>
      <c r="B145" s="4"/>
      <c r="C145" s="4"/>
      <c r="D145" s="26"/>
      <c r="E145" s="4"/>
      <c r="F145" s="4"/>
      <c r="G145" s="4"/>
      <c r="H145" s="4"/>
      <c r="I145" s="4"/>
      <c r="J145" s="4"/>
      <c r="K145" s="4"/>
      <c r="L145" s="4"/>
      <c r="M145" s="4"/>
      <c r="N145" s="4"/>
      <c r="O145" s="4"/>
      <c r="P145" s="4"/>
      <c r="Q145" s="4"/>
      <c r="R145" s="4"/>
      <c r="S145" s="4"/>
      <c r="T145" s="4"/>
      <c r="U145" s="4"/>
      <c r="V145" s="4"/>
      <c r="W145" s="4"/>
      <c r="X145" s="4"/>
      <c r="Y145" s="4"/>
      <c r="Z145" s="4"/>
      <c r="AA145" s="21"/>
    </row>
    <row r="146">
      <c r="A146" s="4"/>
      <c r="B146" s="4"/>
      <c r="C146" s="4"/>
      <c r="D146" s="26"/>
      <c r="E146" s="4"/>
      <c r="F146" s="4"/>
      <c r="G146" s="4"/>
      <c r="H146" s="4"/>
      <c r="I146" s="4"/>
      <c r="J146" s="4"/>
      <c r="K146" s="4"/>
      <c r="L146" s="4"/>
      <c r="M146" s="4"/>
      <c r="N146" s="4"/>
      <c r="O146" s="4"/>
      <c r="P146" s="4"/>
      <c r="Q146" s="4"/>
      <c r="R146" s="4"/>
      <c r="S146" s="4"/>
      <c r="T146" s="4"/>
      <c r="U146" s="4"/>
      <c r="V146" s="4"/>
      <c r="W146" s="4"/>
      <c r="X146" s="4"/>
      <c r="Y146" s="4"/>
      <c r="Z146" s="4"/>
      <c r="AA146" s="21"/>
    </row>
    <row r="147">
      <c r="A147" s="4"/>
      <c r="B147" s="4"/>
      <c r="C147" s="4"/>
      <c r="D147" s="26"/>
      <c r="E147" s="4"/>
      <c r="F147" s="4"/>
      <c r="G147" s="4"/>
      <c r="H147" s="4"/>
      <c r="I147" s="4"/>
      <c r="J147" s="4"/>
      <c r="K147" s="4"/>
      <c r="L147" s="4"/>
      <c r="M147" s="4"/>
      <c r="N147" s="4"/>
      <c r="O147" s="4"/>
      <c r="P147" s="4"/>
      <c r="Q147" s="4"/>
      <c r="R147" s="4"/>
      <c r="S147" s="4"/>
      <c r="T147" s="4"/>
      <c r="U147" s="4"/>
      <c r="V147" s="4"/>
      <c r="W147" s="4"/>
      <c r="X147" s="4"/>
      <c r="Y147" s="4"/>
      <c r="Z147" s="4"/>
      <c r="AA147" s="21"/>
    </row>
    <row r="148">
      <c r="A148" s="4"/>
      <c r="B148" s="4"/>
      <c r="C148" s="4"/>
      <c r="D148" s="26"/>
      <c r="E148" s="4"/>
      <c r="F148" s="4"/>
      <c r="G148" s="4"/>
      <c r="H148" s="4"/>
      <c r="I148" s="4"/>
      <c r="J148" s="4"/>
      <c r="K148" s="4"/>
      <c r="L148" s="4"/>
      <c r="M148" s="4"/>
      <c r="N148" s="4"/>
      <c r="O148" s="4"/>
      <c r="P148" s="4"/>
      <c r="Q148" s="4"/>
      <c r="R148" s="4"/>
      <c r="S148" s="4"/>
      <c r="T148" s="4"/>
      <c r="U148" s="4"/>
      <c r="V148" s="4"/>
      <c r="W148" s="4"/>
      <c r="X148" s="4"/>
      <c r="Y148" s="4"/>
      <c r="Z148" s="4"/>
      <c r="AA148" s="21"/>
    </row>
    <row r="149">
      <c r="A149" s="4"/>
      <c r="B149" s="4"/>
      <c r="C149" s="4"/>
      <c r="D149" s="26"/>
      <c r="E149" s="4"/>
      <c r="F149" s="4"/>
      <c r="G149" s="4"/>
      <c r="H149" s="4"/>
      <c r="I149" s="4"/>
      <c r="J149" s="4"/>
      <c r="K149" s="4"/>
      <c r="L149" s="4"/>
      <c r="M149" s="4"/>
      <c r="N149" s="4"/>
      <c r="O149" s="4"/>
      <c r="P149" s="4"/>
      <c r="Q149" s="4"/>
      <c r="R149" s="4"/>
      <c r="S149" s="4"/>
      <c r="T149" s="4"/>
      <c r="U149" s="4"/>
      <c r="V149" s="4"/>
      <c r="W149" s="4"/>
      <c r="X149" s="4"/>
      <c r="Y149" s="4"/>
      <c r="Z149" s="4"/>
      <c r="AA149" s="21"/>
    </row>
    <row r="150">
      <c r="A150" s="4"/>
      <c r="B150" s="4"/>
      <c r="C150" s="4"/>
      <c r="D150" s="26"/>
      <c r="E150" s="4"/>
      <c r="F150" s="4"/>
      <c r="G150" s="4"/>
      <c r="H150" s="4"/>
      <c r="I150" s="4"/>
      <c r="J150" s="4"/>
      <c r="K150" s="4"/>
      <c r="L150" s="4"/>
      <c r="M150" s="4"/>
      <c r="N150" s="4"/>
      <c r="O150" s="4"/>
      <c r="P150" s="4"/>
      <c r="Q150" s="4"/>
      <c r="R150" s="4"/>
      <c r="S150" s="4"/>
      <c r="T150" s="4"/>
      <c r="U150" s="4"/>
      <c r="V150" s="4"/>
      <c r="W150" s="4"/>
      <c r="X150" s="4"/>
      <c r="Y150" s="4"/>
      <c r="Z150" s="4"/>
      <c r="AA150" s="21"/>
    </row>
    <row r="151">
      <c r="A151" s="4"/>
      <c r="B151" s="4"/>
      <c r="C151" s="4"/>
      <c r="D151" s="26"/>
      <c r="E151" s="4"/>
      <c r="F151" s="4"/>
      <c r="G151" s="4"/>
      <c r="H151" s="4"/>
      <c r="I151" s="4"/>
      <c r="J151" s="4"/>
      <c r="K151" s="4"/>
      <c r="L151" s="4"/>
      <c r="M151" s="4"/>
      <c r="N151" s="4"/>
      <c r="O151" s="4"/>
      <c r="P151" s="4"/>
      <c r="Q151" s="4"/>
      <c r="R151" s="4"/>
      <c r="S151" s="4"/>
      <c r="T151" s="4"/>
      <c r="U151" s="4"/>
      <c r="V151" s="4"/>
      <c r="W151" s="4"/>
      <c r="X151" s="4"/>
      <c r="Y151" s="4"/>
      <c r="Z151" s="4"/>
      <c r="AA151" s="21"/>
    </row>
    <row r="152">
      <c r="A152" s="4"/>
      <c r="B152" s="4"/>
      <c r="C152" s="4"/>
      <c r="D152" s="26"/>
      <c r="E152" s="4"/>
      <c r="F152" s="4"/>
      <c r="G152" s="4"/>
      <c r="H152" s="4"/>
      <c r="I152" s="4"/>
      <c r="J152" s="4"/>
      <c r="K152" s="4"/>
      <c r="L152" s="4"/>
      <c r="M152" s="4"/>
      <c r="N152" s="4"/>
      <c r="O152" s="4"/>
      <c r="P152" s="4"/>
      <c r="Q152" s="4"/>
      <c r="R152" s="4"/>
      <c r="S152" s="4"/>
      <c r="T152" s="4"/>
      <c r="U152" s="4"/>
      <c r="V152" s="4"/>
      <c r="W152" s="4"/>
      <c r="X152" s="4"/>
      <c r="Y152" s="4"/>
      <c r="Z152" s="4"/>
      <c r="AA152" s="21"/>
    </row>
    <row r="153">
      <c r="A153" s="4"/>
      <c r="B153" s="4"/>
      <c r="C153" s="4"/>
      <c r="D153" s="26"/>
      <c r="E153" s="4"/>
      <c r="F153" s="4"/>
      <c r="G153" s="4"/>
      <c r="H153" s="4"/>
      <c r="I153" s="4"/>
      <c r="J153" s="4"/>
      <c r="K153" s="4"/>
      <c r="L153" s="4"/>
      <c r="M153" s="4"/>
      <c r="N153" s="4"/>
      <c r="O153" s="4"/>
      <c r="P153" s="4"/>
      <c r="Q153" s="4"/>
      <c r="R153" s="4"/>
      <c r="S153" s="4"/>
      <c r="T153" s="4"/>
      <c r="U153" s="4"/>
      <c r="V153" s="4"/>
      <c r="W153" s="4"/>
      <c r="X153" s="4"/>
      <c r="Y153" s="4"/>
      <c r="Z153" s="4"/>
      <c r="AA153" s="21"/>
    </row>
    <row r="154">
      <c r="A154" s="4"/>
      <c r="B154" s="4"/>
      <c r="C154" s="4"/>
      <c r="D154" s="26"/>
      <c r="E154" s="4"/>
      <c r="F154" s="4"/>
      <c r="G154" s="4"/>
      <c r="H154" s="4"/>
      <c r="I154" s="4"/>
      <c r="J154" s="4"/>
      <c r="K154" s="4"/>
      <c r="L154" s="4"/>
      <c r="M154" s="4"/>
      <c r="N154" s="4"/>
      <c r="O154" s="4"/>
      <c r="P154" s="4"/>
      <c r="Q154" s="4"/>
      <c r="R154" s="4"/>
      <c r="S154" s="4"/>
      <c r="T154" s="4"/>
      <c r="U154" s="4"/>
      <c r="V154" s="4"/>
      <c r="W154" s="4"/>
      <c r="X154" s="4"/>
      <c r="Y154" s="4"/>
      <c r="Z154" s="4"/>
      <c r="AA154" s="21"/>
    </row>
    <row r="155">
      <c r="A155" s="4"/>
      <c r="B155" s="4"/>
      <c r="C155" s="4"/>
      <c r="D155" s="26"/>
      <c r="E155" s="4"/>
      <c r="F155" s="4"/>
      <c r="G155" s="4"/>
      <c r="H155" s="4"/>
      <c r="I155" s="4"/>
      <c r="J155" s="4"/>
      <c r="K155" s="4"/>
      <c r="L155" s="4"/>
      <c r="M155" s="4"/>
      <c r="N155" s="4"/>
      <c r="O155" s="4"/>
      <c r="P155" s="4"/>
      <c r="Q155" s="4"/>
      <c r="R155" s="4"/>
      <c r="S155" s="4"/>
      <c r="T155" s="4"/>
      <c r="U155" s="4"/>
      <c r="V155" s="4"/>
      <c r="W155" s="4"/>
      <c r="X155" s="4"/>
      <c r="Y155" s="4"/>
      <c r="Z155" s="4"/>
      <c r="AA155" s="21"/>
    </row>
    <row r="156">
      <c r="A156" s="4"/>
      <c r="B156" s="4"/>
      <c r="C156" s="4"/>
      <c r="D156" s="26"/>
      <c r="E156" s="4"/>
      <c r="F156" s="4"/>
      <c r="G156" s="4"/>
      <c r="H156" s="4"/>
      <c r="I156" s="4"/>
      <c r="J156" s="4"/>
      <c r="K156" s="4"/>
      <c r="L156" s="4"/>
      <c r="M156" s="4"/>
      <c r="N156" s="4"/>
      <c r="O156" s="4"/>
      <c r="P156" s="4"/>
      <c r="Q156" s="4"/>
      <c r="R156" s="4"/>
      <c r="S156" s="4"/>
      <c r="T156" s="4"/>
      <c r="U156" s="4"/>
      <c r="V156" s="4"/>
      <c r="W156" s="4"/>
      <c r="X156" s="4"/>
      <c r="Y156" s="4"/>
      <c r="Z156" s="4"/>
      <c r="AA156" s="21"/>
    </row>
    <row r="157">
      <c r="A157" s="4"/>
      <c r="B157" s="4"/>
      <c r="C157" s="4"/>
      <c r="D157" s="26"/>
      <c r="E157" s="4"/>
      <c r="F157" s="4"/>
      <c r="G157" s="4"/>
      <c r="H157" s="4"/>
      <c r="I157" s="4"/>
      <c r="J157" s="4"/>
      <c r="K157" s="4"/>
      <c r="L157" s="4"/>
      <c r="M157" s="4"/>
      <c r="N157" s="4"/>
      <c r="O157" s="4"/>
      <c r="P157" s="4"/>
      <c r="Q157" s="4"/>
      <c r="R157" s="4"/>
      <c r="S157" s="4"/>
      <c r="T157" s="4"/>
      <c r="U157" s="4"/>
      <c r="V157" s="4"/>
      <c r="W157" s="4"/>
      <c r="X157" s="4"/>
      <c r="Y157" s="4"/>
      <c r="Z157" s="4"/>
      <c r="AA157" s="21"/>
    </row>
    <row r="158">
      <c r="A158" s="4"/>
      <c r="B158" s="4"/>
      <c r="C158" s="4"/>
      <c r="D158" s="26"/>
      <c r="E158" s="4"/>
      <c r="F158" s="4"/>
      <c r="G158" s="4"/>
      <c r="H158" s="4"/>
      <c r="I158" s="4"/>
      <c r="J158" s="4"/>
      <c r="K158" s="4"/>
      <c r="L158" s="4"/>
      <c r="M158" s="4"/>
      <c r="N158" s="4"/>
      <c r="O158" s="4"/>
      <c r="P158" s="4"/>
      <c r="Q158" s="4"/>
      <c r="R158" s="4"/>
      <c r="S158" s="4"/>
      <c r="T158" s="4"/>
      <c r="U158" s="4"/>
      <c r="V158" s="4"/>
      <c r="W158" s="4"/>
      <c r="X158" s="4"/>
      <c r="Y158" s="4"/>
      <c r="Z158" s="4"/>
      <c r="AA158" s="21"/>
    </row>
    <row r="159">
      <c r="A159" s="4"/>
      <c r="B159" s="4"/>
      <c r="C159" s="4"/>
      <c r="D159" s="26"/>
      <c r="E159" s="4"/>
      <c r="F159" s="4"/>
      <c r="G159" s="4"/>
      <c r="H159" s="4"/>
      <c r="I159" s="4"/>
      <c r="J159" s="4"/>
      <c r="K159" s="4"/>
      <c r="L159" s="4"/>
      <c r="M159" s="4"/>
      <c r="N159" s="4"/>
      <c r="O159" s="4"/>
      <c r="P159" s="4"/>
      <c r="Q159" s="4"/>
      <c r="R159" s="4"/>
      <c r="S159" s="4"/>
      <c r="T159" s="4"/>
      <c r="U159" s="4"/>
      <c r="V159" s="4"/>
      <c r="W159" s="4"/>
      <c r="X159" s="4"/>
      <c r="Y159" s="4"/>
      <c r="Z159" s="4"/>
      <c r="AA159" s="21"/>
    </row>
    <row r="160">
      <c r="A160" s="4"/>
      <c r="B160" s="4"/>
      <c r="C160" s="4"/>
      <c r="D160" s="26"/>
      <c r="E160" s="4"/>
      <c r="F160" s="4"/>
      <c r="G160" s="4"/>
      <c r="H160" s="4"/>
      <c r="I160" s="4"/>
      <c r="J160" s="4"/>
      <c r="K160" s="4"/>
      <c r="L160" s="4"/>
      <c r="M160" s="4"/>
      <c r="N160" s="4"/>
      <c r="O160" s="4"/>
      <c r="P160" s="4"/>
      <c r="Q160" s="4"/>
      <c r="R160" s="4"/>
      <c r="S160" s="4"/>
      <c r="T160" s="4"/>
      <c r="U160" s="4"/>
      <c r="V160" s="4"/>
      <c r="W160" s="4"/>
      <c r="X160" s="4"/>
      <c r="Y160" s="4"/>
      <c r="Z160" s="4"/>
      <c r="AA160" s="21"/>
    </row>
    <row r="161">
      <c r="A161" s="4"/>
      <c r="B161" s="4"/>
      <c r="C161" s="4"/>
      <c r="D161" s="26"/>
      <c r="E161" s="4"/>
      <c r="F161" s="4"/>
      <c r="G161" s="4"/>
      <c r="H161" s="4"/>
      <c r="I161" s="4"/>
      <c r="J161" s="4"/>
      <c r="K161" s="4"/>
      <c r="L161" s="4"/>
      <c r="M161" s="4"/>
      <c r="N161" s="4"/>
      <c r="O161" s="4"/>
      <c r="P161" s="4"/>
      <c r="Q161" s="4"/>
      <c r="R161" s="4"/>
      <c r="S161" s="4"/>
      <c r="T161" s="4"/>
      <c r="U161" s="4"/>
      <c r="V161" s="4"/>
      <c r="W161" s="4"/>
      <c r="X161" s="4"/>
      <c r="Y161" s="4"/>
      <c r="Z161" s="4"/>
      <c r="AA161" s="21"/>
    </row>
    <row r="162">
      <c r="A162" s="4"/>
      <c r="B162" s="4"/>
      <c r="C162" s="4"/>
      <c r="D162" s="26"/>
      <c r="E162" s="4"/>
      <c r="F162" s="4"/>
      <c r="G162" s="4"/>
      <c r="H162" s="4"/>
      <c r="I162" s="4"/>
      <c r="J162" s="4"/>
      <c r="K162" s="4"/>
      <c r="L162" s="4"/>
      <c r="M162" s="4"/>
      <c r="N162" s="4"/>
      <c r="O162" s="4"/>
      <c r="P162" s="4"/>
      <c r="Q162" s="4"/>
      <c r="R162" s="4"/>
      <c r="S162" s="4"/>
      <c r="T162" s="4"/>
      <c r="U162" s="4"/>
      <c r="V162" s="4"/>
      <c r="W162" s="4"/>
      <c r="X162" s="4"/>
      <c r="Y162" s="4"/>
      <c r="Z162" s="4"/>
      <c r="AA162" s="21"/>
    </row>
    <row r="163">
      <c r="A163" s="4"/>
      <c r="B163" s="4"/>
      <c r="C163" s="4"/>
      <c r="D163" s="26"/>
      <c r="E163" s="4"/>
      <c r="F163" s="4"/>
      <c r="G163" s="4"/>
      <c r="H163" s="4"/>
      <c r="I163" s="4"/>
      <c r="J163" s="4"/>
      <c r="K163" s="4"/>
      <c r="L163" s="4"/>
      <c r="M163" s="4"/>
      <c r="N163" s="4"/>
      <c r="O163" s="4"/>
      <c r="P163" s="4"/>
      <c r="Q163" s="4"/>
      <c r="R163" s="4"/>
      <c r="S163" s="4"/>
      <c r="T163" s="4"/>
      <c r="U163" s="4"/>
      <c r="V163" s="4"/>
      <c r="W163" s="4"/>
      <c r="X163" s="4"/>
      <c r="Y163" s="4"/>
      <c r="Z163" s="4"/>
      <c r="AA163" s="21"/>
    </row>
    <row r="164">
      <c r="A164" s="4"/>
      <c r="B164" s="4"/>
      <c r="C164" s="4"/>
      <c r="D164" s="26"/>
      <c r="E164" s="4"/>
      <c r="F164" s="4"/>
      <c r="G164" s="4"/>
      <c r="H164" s="4"/>
      <c r="I164" s="4"/>
      <c r="J164" s="4"/>
      <c r="K164" s="4"/>
      <c r="L164" s="4"/>
      <c r="M164" s="4"/>
      <c r="N164" s="4"/>
      <c r="O164" s="4"/>
      <c r="P164" s="4"/>
      <c r="Q164" s="4"/>
      <c r="R164" s="4"/>
      <c r="S164" s="4"/>
      <c r="T164" s="4"/>
      <c r="U164" s="4"/>
      <c r="V164" s="4"/>
      <c r="W164" s="4"/>
      <c r="X164" s="4"/>
      <c r="Y164" s="4"/>
      <c r="Z164" s="4"/>
      <c r="AA164" s="21"/>
    </row>
    <row r="165">
      <c r="A165" s="4"/>
      <c r="B165" s="4"/>
      <c r="C165" s="4"/>
      <c r="D165" s="26"/>
      <c r="E165" s="4"/>
      <c r="F165" s="4"/>
      <c r="G165" s="4"/>
      <c r="H165" s="4"/>
      <c r="I165" s="4"/>
      <c r="J165" s="4"/>
      <c r="K165" s="4"/>
      <c r="L165" s="4"/>
      <c r="M165" s="4"/>
      <c r="N165" s="4"/>
      <c r="O165" s="4"/>
      <c r="P165" s="4"/>
      <c r="Q165" s="4"/>
      <c r="R165" s="4"/>
      <c r="S165" s="4"/>
      <c r="T165" s="4"/>
      <c r="U165" s="4"/>
      <c r="V165" s="4"/>
      <c r="W165" s="4"/>
      <c r="X165" s="4"/>
      <c r="Y165" s="4"/>
      <c r="Z165" s="4"/>
      <c r="AA165" s="21"/>
    </row>
    <row r="166">
      <c r="A166" s="4"/>
      <c r="B166" s="4"/>
      <c r="C166" s="4"/>
      <c r="D166" s="26"/>
      <c r="E166" s="4"/>
      <c r="F166" s="4"/>
      <c r="G166" s="4"/>
      <c r="H166" s="4"/>
      <c r="I166" s="4"/>
      <c r="J166" s="4"/>
      <c r="K166" s="4"/>
      <c r="L166" s="4"/>
      <c r="M166" s="4"/>
      <c r="N166" s="4"/>
      <c r="O166" s="4"/>
      <c r="P166" s="4"/>
      <c r="Q166" s="4"/>
      <c r="R166" s="4"/>
      <c r="S166" s="4"/>
      <c r="T166" s="4"/>
      <c r="U166" s="4"/>
      <c r="V166" s="4"/>
      <c r="W166" s="4"/>
      <c r="X166" s="4"/>
      <c r="Y166" s="4"/>
      <c r="Z166" s="4"/>
      <c r="AA166" s="21"/>
    </row>
    <row r="167">
      <c r="A167" s="4"/>
      <c r="B167" s="4"/>
      <c r="C167" s="4"/>
      <c r="D167" s="26"/>
      <c r="E167" s="4"/>
      <c r="F167" s="4"/>
      <c r="G167" s="4"/>
      <c r="H167" s="4"/>
      <c r="I167" s="4"/>
      <c r="J167" s="4"/>
      <c r="K167" s="4"/>
      <c r="L167" s="4"/>
      <c r="M167" s="4"/>
      <c r="N167" s="4"/>
      <c r="O167" s="4"/>
      <c r="P167" s="4"/>
      <c r="Q167" s="4"/>
      <c r="R167" s="4"/>
      <c r="S167" s="4"/>
      <c r="T167" s="4"/>
      <c r="U167" s="4"/>
      <c r="V167" s="4"/>
      <c r="W167" s="4"/>
      <c r="X167" s="4"/>
      <c r="Y167" s="4"/>
      <c r="Z167" s="4"/>
      <c r="AA167" s="21"/>
    </row>
    <row r="168">
      <c r="A168" s="4"/>
      <c r="B168" s="4"/>
      <c r="C168" s="4"/>
      <c r="D168" s="26"/>
      <c r="E168" s="4"/>
      <c r="F168" s="4"/>
      <c r="G168" s="4"/>
      <c r="H168" s="4"/>
      <c r="I168" s="4"/>
      <c r="J168" s="4"/>
      <c r="K168" s="4"/>
      <c r="L168" s="4"/>
      <c r="M168" s="4"/>
      <c r="N168" s="4"/>
      <c r="O168" s="4"/>
      <c r="P168" s="4"/>
      <c r="Q168" s="4"/>
      <c r="R168" s="4"/>
      <c r="S168" s="4"/>
      <c r="T168" s="4"/>
      <c r="U168" s="4"/>
      <c r="V168" s="4"/>
      <c r="W168" s="4"/>
      <c r="X168" s="4"/>
      <c r="Y168" s="4"/>
      <c r="Z168" s="4"/>
      <c r="AA168" s="21"/>
    </row>
    <row r="169">
      <c r="A169" s="4"/>
      <c r="B169" s="4"/>
      <c r="C169" s="4"/>
      <c r="D169" s="26"/>
      <c r="E169" s="4"/>
      <c r="F169" s="4"/>
      <c r="G169" s="4"/>
      <c r="H169" s="4"/>
      <c r="I169" s="4"/>
      <c r="J169" s="4"/>
      <c r="K169" s="4"/>
      <c r="L169" s="4"/>
      <c r="M169" s="4"/>
      <c r="N169" s="4"/>
      <c r="O169" s="4"/>
      <c r="P169" s="4"/>
      <c r="Q169" s="4"/>
      <c r="R169" s="4"/>
      <c r="S169" s="4"/>
      <c r="T169" s="4"/>
      <c r="U169" s="4"/>
      <c r="V169" s="4"/>
      <c r="W169" s="4"/>
      <c r="X169" s="4"/>
      <c r="Y169" s="4"/>
      <c r="Z169" s="4"/>
      <c r="AA169" s="21"/>
    </row>
    <row r="170">
      <c r="A170" s="4"/>
      <c r="B170" s="4"/>
      <c r="C170" s="4"/>
      <c r="D170" s="26"/>
      <c r="E170" s="4"/>
      <c r="F170" s="4"/>
      <c r="G170" s="4"/>
      <c r="H170" s="4"/>
      <c r="I170" s="4"/>
      <c r="J170" s="4"/>
      <c r="K170" s="4"/>
      <c r="L170" s="4"/>
      <c r="M170" s="4"/>
      <c r="N170" s="4"/>
      <c r="O170" s="4"/>
      <c r="P170" s="4"/>
      <c r="Q170" s="4"/>
      <c r="R170" s="4"/>
      <c r="S170" s="4"/>
      <c r="T170" s="4"/>
      <c r="U170" s="4"/>
      <c r="V170" s="4"/>
      <c r="W170" s="4"/>
      <c r="X170" s="4"/>
      <c r="Y170" s="4"/>
      <c r="Z170" s="4"/>
      <c r="AA170" s="21"/>
    </row>
    <row r="171">
      <c r="A171" s="4"/>
      <c r="B171" s="4"/>
      <c r="C171" s="4"/>
      <c r="D171" s="26"/>
      <c r="E171" s="4"/>
      <c r="F171" s="4"/>
      <c r="G171" s="4"/>
      <c r="H171" s="4"/>
      <c r="I171" s="4"/>
      <c r="J171" s="4"/>
      <c r="K171" s="4"/>
      <c r="L171" s="4"/>
      <c r="M171" s="4"/>
      <c r="N171" s="4"/>
      <c r="O171" s="4"/>
      <c r="P171" s="4"/>
      <c r="Q171" s="4"/>
      <c r="R171" s="4"/>
      <c r="S171" s="4"/>
      <c r="T171" s="4"/>
      <c r="U171" s="4"/>
      <c r="V171" s="4"/>
      <c r="W171" s="4"/>
      <c r="X171" s="4"/>
      <c r="Y171" s="4"/>
      <c r="Z171" s="4"/>
      <c r="AA171" s="21"/>
    </row>
    <row r="172">
      <c r="A172" s="4"/>
      <c r="B172" s="4"/>
      <c r="C172" s="4"/>
      <c r="D172" s="26"/>
      <c r="E172" s="4"/>
      <c r="F172" s="4"/>
      <c r="G172" s="4"/>
      <c r="H172" s="4"/>
      <c r="I172" s="4"/>
      <c r="J172" s="4"/>
      <c r="K172" s="4"/>
      <c r="L172" s="4"/>
      <c r="M172" s="4"/>
      <c r="N172" s="4"/>
      <c r="O172" s="4"/>
      <c r="P172" s="4"/>
      <c r="Q172" s="4"/>
      <c r="R172" s="4"/>
      <c r="S172" s="4"/>
      <c r="T172" s="4"/>
      <c r="U172" s="4"/>
      <c r="V172" s="4"/>
      <c r="W172" s="4"/>
      <c r="X172" s="4"/>
      <c r="Y172" s="4"/>
      <c r="Z172" s="4"/>
      <c r="AA172" s="21"/>
    </row>
    <row r="173">
      <c r="A173" s="4"/>
      <c r="B173" s="4"/>
      <c r="C173" s="4"/>
      <c r="D173" s="26"/>
      <c r="E173" s="4"/>
      <c r="F173" s="4"/>
      <c r="G173" s="4"/>
      <c r="H173" s="4"/>
      <c r="I173" s="4"/>
      <c r="J173" s="4"/>
      <c r="K173" s="4"/>
      <c r="L173" s="4"/>
      <c r="M173" s="4"/>
      <c r="N173" s="4"/>
      <c r="O173" s="4"/>
      <c r="P173" s="4"/>
      <c r="Q173" s="4"/>
      <c r="R173" s="4"/>
      <c r="S173" s="4"/>
      <c r="T173" s="4"/>
      <c r="U173" s="4"/>
      <c r="V173" s="4"/>
      <c r="W173" s="4"/>
      <c r="X173" s="4"/>
      <c r="Y173" s="4"/>
      <c r="Z173" s="4"/>
      <c r="AA173" s="21"/>
    </row>
    <row r="174">
      <c r="A174" s="4"/>
      <c r="B174" s="4"/>
      <c r="C174" s="4"/>
      <c r="D174" s="26"/>
      <c r="E174" s="4"/>
      <c r="F174" s="4"/>
      <c r="G174" s="4"/>
      <c r="H174" s="4"/>
      <c r="I174" s="4"/>
      <c r="J174" s="4"/>
      <c r="K174" s="4"/>
      <c r="L174" s="4"/>
      <c r="M174" s="4"/>
      <c r="N174" s="4"/>
      <c r="O174" s="4"/>
      <c r="P174" s="4"/>
      <c r="Q174" s="4"/>
      <c r="R174" s="4"/>
      <c r="S174" s="4"/>
      <c r="T174" s="4"/>
      <c r="U174" s="4"/>
      <c r="V174" s="4"/>
      <c r="W174" s="4"/>
      <c r="X174" s="4"/>
      <c r="Y174" s="4"/>
      <c r="Z174" s="4"/>
      <c r="AA174" s="21"/>
    </row>
    <row r="175">
      <c r="A175" s="4"/>
      <c r="B175" s="4"/>
      <c r="C175" s="4"/>
      <c r="D175" s="26"/>
      <c r="E175" s="4"/>
      <c r="F175" s="4"/>
      <c r="G175" s="4"/>
      <c r="H175" s="4"/>
      <c r="I175" s="4"/>
      <c r="J175" s="4"/>
      <c r="K175" s="4"/>
      <c r="L175" s="4"/>
      <c r="M175" s="4"/>
      <c r="N175" s="4"/>
      <c r="O175" s="4"/>
      <c r="P175" s="4"/>
      <c r="Q175" s="4"/>
      <c r="R175" s="4"/>
      <c r="S175" s="4"/>
      <c r="T175" s="4"/>
      <c r="U175" s="4"/>
      <c r="V175" s="4"/>
      <c r="W175" s="4"/>
      <c r="X175" s="4"/>
      <c r="Y175" s="4"/>
      <c r="Z175" s="4"/>
      <c r="AA175" s="21"/>
    </row>
    <row r="176">
      <c r="A176" s="4"/>
      <c r="B176" s="4"/>
      <c r="C176" s="4"/>
      <c r="D176" s="26"/>
      <c r="E176" s="4"/>
      <c r="F176" s="4"/>
      <c r="G176" s="4"/>
      <c r="H176" s="4"/>
      <c r="I176" s="4"/>
      <c r="J176" s="4"/>
      <c r="K176" s="4"/>
      <c r="L176" s="4"/>
      <c r="M176" s="4"/>
      <c r="N176" s="4"/>
      <c r="O176" s="4"/>
      <c r="P176" s="4"/>
      <c r="Q176" s="4"/>
      <c r="R176" s="4"/>
      <c r="S176" s="4"/>
      <c r="T176" s="4"/>
      <c r="U176" s="4"/>
      <c r="V176" s="4"/>
      <c r="W176" s="4"/>
      <c r="X176" s="4"/>
      <c r="Y176" s="4"/>
      <c r="Z176" s="4"/>
      <c r="AA176" s="21"/>
    </row>
    <row r="177">
      <c r="A177" s="4"/>
      <c r="B177" s="4"/>
      <c r="C177" s="4"/>
      <c r="D177" s="26"/>
      <c r="E177" s="4"/>
      <c r="F177" s="4"/>
      <c r="G177" s="4"/>
      <c r="H177" s="4"/>
      <c r="I177" s="4"/>
      <c r="J177" s="4"/>
      <c r="K177" s="4"/>
      <c r="L177" s="4"/>
      <c r="M177" s="4"/>
      <c r="N177" s="4"/>
      <c r="O177" s="4"/>
      <c r="P177" s="4"/>
      <c r="Q177" s="4"/>
      <c r="R177" s="4"/>
      <c r="S177" s="4"/>
      <c r="T177" s="4"/>
      <c r="U177" s="4"/>
      <c r="V177" s="4"/>
      <c r="W177" s="4"/>
      <c r="X177" s="4"/>
      <c r="Y177" s="4"/>
      <c r="Z177" s="4"/>
      <c r="AA177" s="21"/>
    </row>
    <row r="178">
      <c r="A178" s="4"/>
      <c r="B178" s="4"/>
      <c r="C178" s="4"/>
      <c r="D178" s="26"/>
      <c r="E178" s="4"/>
      <c r="F178" s="4"/>
      <c r="G178" s="4"/>
      <c r="H178" s="4"/>
      <c r="I178" s="4"/>
      <c r="J178" s="4"/>
      <c r="K178" s="4"/>
      <c r="L178" s="4"/>
      <c r="M178" s="4"/>
      <c r="N178" s="4"/>
      <c r="O178" s="4"/>
      <c r="P178" s="4"/>
      <c r="Q178" s="4"/>
      <c r="R178" s="4"/>
      <c r="S178" s="4"/>
      <c r="T178" s="4"/>
      <c r="U178" s="4"/>
      <c r="V178" s="4"/>
      <c r="W178" s="4"/>
      <c r="X178" s="4"/>
      <c r="Y178" s="4"/>
      <c r="Z178" s="4"/>
      <c r="AA178" s="21"/>
    </row>
    <row r="179">
      <c r="A179" s="4"/>
      <c r="B179" s="4"/>
      <c r="C179" s="4"/>
      <c r="D179" s="26"/>
      <c r="E179" s="4"/>
      <c r="F179" s="4"/>
      <c r="G179" s="4"/>
      <c r="H179" s="4"/>
      <c r="I179" s="4"/>
      <c r="J179" s="4"/>
      <c r="K179" s="4"/>
      <c r="L179" s="4"/>
      <c r="M179" s="4"/>
      <c r="N179" s="4"/>
      <c r="O179" s="4"/>
      <c r="P179" s="4"/>
      <c r="Q179" s="4"/>
      <c r="R179" s="4"/>
      <c r="S179" s="4"/>
      <c r="T179" s="4"/>
      <c r="U179" s="4"/>
      <c r="V179" s="4"/>
      <c r="W179" s="4"/>
      <c r="X179" s="4"/>
      <c r="Y179" s="4"/>
      <c r="Z179" s="4"/>
      <c r="AA179" s="21"/>
    </row>
    <row r="180">
      <c r="A180" s="4"/>
      <c r="B180" s="4"/>
      <c r="C180" s="4"/>
      <c r="D180" s="26"/>
      <c r="E180" s="4"/>
      <c r="F180" s="4"/>
      <c r="G180" s="4"/>
      <c r="H180" s="4"/>
      <c r="I180" s="4"/>
      <c r="J180" s="4"/>
      <c r="K180" s="4"/>
      <c r="L180" s="4"/>
      <c r="M180" s="4"/>
      <c r="N180" s="4"/>
      <c r="O180" s="4"/>
      <c r="P180" s="4"/>
      <c r="Q180" s="4"/>
      <c r="R180" s="4"/>
      <c r="S180" s="4"/>
      <c r="T180" s="4"/>
      <c r="U180" s="4"/>
      <c r="V180" s="4"/>
      <c r="W180" s="4"/>
      <c r="X180" s="4"/>
      <c r="Y180" s="4"/>
      <c r="Z180" s="4"/>
      <c r="AA180" s="21"/>
    </row>
    <row r="181">
      <c r="A181" s="4"/>
      <c r="B181" s="4"/>
      <c r="C181" s="4"/>
      <c r="D181" s="26"/>
      <c r="E181" s="4"/>
      <c r="F181" s="4"/>
      <c r="G181" s="4"/>
      <c r="H181" s="4"/>
      <c r="I181" s="4"/>
      <c r="J181" s="4"/>
      <c r="K181" s="4"/>
      <c r="L181" s="4"/>
      <c r="M181" s="4"/>
      <c r="N181" s="4"/>
      <c r="O181" s="4"/>
      <c r="P181" s="4"/>
      <c r="Q181" s="4"/>
      <c r="R181" s="4"/>
      <c r="S181" s="4"/>
      <c r="T181" s="4"/>
      <c r="U181" s="4"/>
      <c r="V181" s="4"/>
      <c r="W181" s="4"/>
      <c r="X181" s="4"/>
      <c r="Y181" s="4"/>
      <c r="Z181" s="4"/>
      <c r="AA181" s="21"/>
    </row>
    <row r="182">
      <c r="A182" s="4"/>
      <c r="B182" s="4"/>
      <c r="C182" s="4"/>
      <c r="D182" s="26"/>
      <c r="E182" s="4"/>
      <c r="F182" s="4"/>
      <c r="G182" s="4"/>
      <c r="H182" s="4"/>
      <c r="I182" s="4"/>
      <c r="J182" s="4"/>
      <c r="K182" s="4"/>
      <c r="L182" s="4"/>
      <c r="M182" s="4"/>
      <c r="N182" s="4"/>
      <c r="O182" s="4"/>
      <c r="P182" s="4"/>
      <c r="Q182" s="4"/>
      <c r="R182" s="4"/>
      <c r="S182" s="4"/>
      <c r="T182" s="4"/>
      <c r="U182" s="4"/>
      <c r="V182" s="4"/>
      <c r="W182" s="4"/>
      <c r="X182" s="4"/>
      <c r="Y182" s="4"/>
      <c r="Z182" s="4"/>
      <c r="AA182" s="21"/>
    </row>
    <row r="183">
      <c r="A183" s="4"/>
      <c r="B183" s="4"/>
      <c r="C183" s="4"/>
      <c r="D183" s="26"/>
      <c r="E183" s="4"/>
      <c r="F183" s="4"/>
      <c r="G183" s="4"/>
      <c r="H183" s="4"/>
      <c r="I183" s="4"/>
      <c r="J183" s="4"/>
      <c r="K183" s="4"/>
      <c r="L183" s="4"/>
      <c r="M183" s="4"/>
      <c r="N183" s="4"/>
      <c r="O183" s="4"/>
      <c r="P183" s="4"/>
      <c r="Q183" s="4"/>
      <c r="R183" s="4"/>
      <c r="S183" s="4"/>
      <c r="T183" s="4"/>
      <c r="U183" s="4"/>
      <c r="V183" s="4"/>
      <c r="W183" s="4"/>
      <c r="X183" s="4"/>
      <c r="Y183" s="4"/>
      <c r="Z183" s="4"/>
      <c r="AA183" s="21"/>
    </row>
    <row r="184">
      <c r="A184" s="4"/>
      <c r="B184" s="4"/>
      <c r="C184" s="4"/>
      <c r="D184" s="26"/>
      <c r="E184" s="4"/>
      <c r="F184" s="4"/>
      <c r="G184" s="4"/>
      <c r="H184" s="4"/>
      <c r="I184" s="4"/>
      <c r="J184" s="4"/>
      <c r="K184" s="4"/>
      <c r="L184" s="4"/>
      <c r="M184" s="4"/>
      <c r="N184" s="4"/>
      <c r="O184" s="4"/>
      <c r="P184" s="4"/>
      <c r="Q184" s="4"/>
      <c r="R184" s="4"/>
      <c r="S184" s="4"/>
      <c r="T184" s="4"/>
      <c r="U184" s="4"/>
      <c r="V184" s="4"/>
      <c r="W184" s="4"/>
      <c r="X184" s="4"/>
      <c r="Y184" s="4"/>
      <c r="Z184" s="4"/>
      <c r="AA184" s="21"/>
    </row>
    <row r="185">
      <c r="A185" s="4"/>
      <c r="B185" s="4"/>
      <c r="C185" s="4"/>
      <c r="D185" s="26"/>
      <c r="E185" s="4"/>
      <c r="F185" s="4"/>
      <c r="G185" s="4"/>
      <c r="H185" s="4"/>
      <c r="I185" s="4"/>
      <c r="J185" s="4"/>
      <c r="K185" s="4"/>
      <c r="L185" s="4"/>
      <c r="M185" s="4"/>
      <c r="N185" s="4"/>
      <c r="O185" s="4"/>
      <c r="P185" s="4"/>
      <c r="Q185" s="4"/>
      <c r="R185" s="4"/>
      <c r="S185" s="4"/>
      <c r="T185" s="4"/>
      <c r="U185" s="4"/>
      <c r="V185" s="4"/>
      <c r="W185" s="4"/>
      <c r="X185" s="4"/>
      <c r="Y185" s="4"/>
      <c r="Z185" s="4"/>
      <c r="AA185" s="21"/>
    </row>
    <row r="186">
      <c r="A186" s="4"/>
      <c r="B186" s="4"/>
      <c r="C186" s="4"/>
      <c r="D186" s="26"/>
      <c r="E186" s="4"/>
      <c r="F186" s="4"/>
      <c r="G186" s="4"/>
      <c r="H186" s="4"/>
      <c r="I186" s="4"/>
      <c r="J186" s="4"/>
      <c r="K186" s="4"/>
      <c r="L186" s="4"/>
      <c r="M186" s="4"/>
      <c r="N186" s="4"/>
      <c r="O186" s="4"/>
      <c r="P186" s="4"/>
      <c r="Q186" s="4"/>
      <c r="R186" s="4"/>
      <c r="S186" s="4"/>
      <c r="T186" s="4"/>
      <c r="U186" s="4"/>
      <c r="V186" s="4"/>
      <c r="W186" s="4"/>
      <c r="X186" s="4"/>
      <c r="Y186" s="4"/>
      <c r="Z186" s="4"/>
      <c r="AA186" s="21"/>
    </row>
    <row r="187">
      <c r="A187" s="4"/>
      <c r="B187" s="4"/>
      <c r="C187" s="4"/>
      <c r="D187" s="26"/>
      <c r="E187" s="4"/>
      <c r="F187" s="4"/>
      <c r="G187" s="4"/>
      <c r="H187" s="4"/>
      <c r="I187" s="4"/>
      <c r="J187" s="4"/>
      <c r="K187" s="4"/>
      <c r="L187" s="4"/>
      <c r="M187" s="4"/>
      <c r="N187" s="4"/>
      <c r="O187" s="4"/>
      <c r="P187" s="4"/>
      <c r="Q187" s="4"/>
      <c r="R187" s="4"/>
      <c r="S187" s="4"/>
      <c r="T187" s="4"/>
      <c r="U187" s="4"/>
      <c r="V187" s="4"/>
      <c r="W187" s="4"/>
      <c r="X187" s="4"/>
      <c r="Y187" s="4"/>
      <c r="Z187" s="4"/>
      <c r="AA187" s="21"/>
    </row>
    <row r="188">
      <c r="A188" s="4"/>
      <c r="B188" s="4"/>
      <c r="C188" s="4"/>
      <c r="D188" s="26"/>
      <c r="E188" s="4"/>
      <c r="F188" s="4"/>
      <c r="G188" s="4"/>
      <c r="H188" s="4"/>
      <c r="I188" s="4"/>
      <c r="J188" s="4"/>
      <c r="K188" s="4"/>
      <c r="L188" s="4"/>
      <c r="M188" s="4"/>
      <c r="N188" s="4"/>
      <c r="O188" s="4"/>
      <c r="P188" s="4"/>
      <c r="Q188" s="4"/>
      <c r="R188" s="4"/>
      <c r="S188" s="4"/>
      <c r="T188" s="4"/>
      <c r="U188" s="4"/>
      <c r="V188" s="4"/>
      <c r="W188" s="4"/>
      <c r="X188" s="4"/>
      <c r="Y188" s="4"/>
      <c r="Z188" s="4"/>
      <c r="AA188" s="21"/>
    </row>
    <row r="189">
      <c r="A189" s="4"/>
      <c r="B189" s="4"/>
      <c r="C189" s="4"/>
      <c r="D189" s="26"/>
      <c r="E189" s="4"/>
      <c r="F189" s="4"/>
      <c r="G189" s="4"/>
      <c r="H189" s="4"/>
      <c r="I189" s="4"/>
      <c r="J189" s="4"/>
      <c r="K189" s="4"/>
      <c r="L189" s="4"/>
      <c r="M189" s="4"/>
      <c r="N189" s="4"/>
      <c r="O189" s="4"/>
      <c r="P189" s="4"/>
      <c r="Q189" s="4"/>
      <c r="R189" s="4"/>
      <c r="S189" s="4"/>
      <c r="T189" s="4"/>
      <c r="U189" s="4"/>
      <c r="V189" s="4"/>
      <c r="W189" s="4"/>
      <c r="X189" s="4"/>
      <c r="Y189" s="4"/>
      <c r="Z189" s="4"/>
      <c r="AA189" s="21"/>
    </row>
    <row r="190">
      <c r="A190" s="4"/>
      <c r="B190" s="4"/>
      <c r="C190" s="4"/>
      <c r="D190" s="26"/>
      <c r="E190" s="4"/>
      <c r="F190" s="4"/>
      <c r="G190" s="4"/>
      <c r="H190" s="4"/>
      <c r="I190" s="4"/>
      <c r="J190" s="4"/>
      <c r="K190" s="4"/>
      <c r="L190" s="4"/>
      <c r="M190" s="4"/>
      <c r="N190" s="4"/>
      <c r="O190" s="4"/>
      <c r="P190" s="4"/>
      <c r="Q190" s="4"/>
      <c r="R190" s="4"/>
      <c r="S190" s="4"/>
      <c r="T190" s="4"/>
      <c r="U190" s="4"/>
      <c r="V190" s="4"/>
      <c r="W190" s="4"/>
      <c r="X190" s="4"/>
      <c r="Y190" s="4"/>
      <c r="Z190" s="4"/>
      <c r="AA190" s="21"/>
    </row>
    <row r="191">
      <c r="A191" s="4"/>
      <c r="B191" s="4"/>
      <c r="C191" s="4"/>
      <c r="D191" s="26"/>
      <c r="E191" s="4"/>
      <c r="F191" s="4"/>
      <c r="G191" s="4"/>
      <c r="H191" s="4"/>
      <c r="I191" s="4"/>
      <c r="J191" s="4"/>
      <c r="K191" s="4"/>
      <c r="L191" s="4"/>
      <c r="M191" s="4"/>
      <c r="N191" s="4"/>
      <c r="O191" s="4"/>
      <c r="P191" s="4"/>
      <c r="Q191" s="4"/>
      <c r="R191" s="4"/>
      <c r="S191" s="4"/>
      <c r="T191" s="4"/>
      <c r="U191" s="4"/>
      <c r="V191" s="4"/>
      <c r="W191" s="4"/>
      <c r="X191" s="4"/>
      <c r="Y191" s="4"/>
      <c r="Z191" s="4"/>
      <c r="AA191" s="21"/>
    </row>
    <row r="192">
      <c r="A192" s="4"/>
      <c r="B192" s="4"/>
      <c r="C192" s="4"/>
      <c r="D192" s="26"/>
      <c r="E192" s="4"/>
      <c r="F192" s="4"/>
      <c r="G192" s="4"/>
      <c r="H192" s="4"/>
      <c r="I192" s="4"/>
      <c r="J192" s="4"/>
      <c r="K192" s="4"/>
      <c r="L192" s="4"/>
      <c r="M192" s="4"/>
      <c r="N192" s="4"/>
      <c r="O192" s="4"/>
      <c r="P192" s="4"/>
      <c r="Q192" s="4"/>
      <c r="R192" s="4"/>
      <c r="S192" s="4"/>
      <c r="T192" s="4"/>
      <c r="U192" s="4"/>
      <c r="V192" s="4"/>
      <c r="W192" s="4"/>
      <c r="X192" s="4"/>
      <c r="Y192" s="4"/>
      <c r="Z192" s="4"/>
      <c r="AA192" s="21"/>
    </row>
    <row r="193">
      <c r="A193" s="4"/>
      <c r="B193" s="4"/>
      <c r="C193" s="4"/>
      <c r="D193" s="26"/>
      <c r="E193" s="4"/>
      <c r="F193" s="4"/>
      <c r="G193" s="4"/>
      <c r="H193" s="4"/>
      <c r="I193" s="4"/>
      <c r="J193" s="4"/>
      <c r="K193" s="4"/>
      <c r="L193" s="4"/>
      <c r="M193" s="4"/>
      <c r="N193" s="4"/>
      <c r="O193" s="4"/>
      <c r="P193" s="4"/>
      <c r="Q193" s="4"/>
      <c r="R193" s="4"/>
      <c r="S193" s="4"/>
      <c r="T193" s="4"/>
      <c r="U193" s="4"/>
      <c r="V193" s="4"/>
      <c r="W193" s="4"/>
      <c r="X193" s="4"/>
      <c r="Y193" s="4"/>
      <c r="Z193" s="4"/>
      <c r="AA193" s="21"/>
    </row>
    <row r="194">
      <c r="A194" s="4"/>
      <c r="B194" s="4"/>
      <c r="C194" s="4"/>
      <c r="D194" s="26"/>
      <c r="E194" s="4"/>
      <c r="F194" s="4"/>
      <c r="G194" s="4"/>
      <c r="H194" s="4"/>
      <c r="I194" s="4"/>
      <c r="J194" s="4"/>
      <c r="K194" s="4"/>
      <c r="L194" s="4"/>
      <c r="M194" s="4"/>
      <c r="N194" s="4"/>
      <c r="O194" s="4"/>
      <c r="P194" s="4"/>
      <c r="Q194" s="4"/>
      <c r="R194" s="4"/>
      <c r="S194" s="4"/>
      <c r="T194" s="4"/>
      <c r="U194" s="4"/>
      <c r="V194" s="4"/>
      <c r="W194" s="4"/>
      <c r="X194" s="4"/>
      <c r="Y194" s="4"/>
      <c r="Z194" s="4"/>
      <c r="AA194" s="21"/>
    </row>
    <row r="195">
      <c r="A195" s="4"/>
      <c r="B195" s="4"/>
      <c r="C195" s="4"/>
      <c r="D195" s="26"/>
      <c r="E195" s="4"/>
      <c r="F195" s="4"/>
      <c r="G195" s="4"/>
      <c r="H195" s="4"/>
      <c r="I195" s="4"/>
      <c r="J195" s="4"/>
      <c r="K195" s="4"/>
      <c r="L195" s="4"/>
      <c r="M195" s="4"/>
      <c r="N195" s="4"/>
      <c r="O195" s="4"/>
      <c r="P195" s="4"/>
      <c r="Q195" s="4"/>
      <c r="R195" s="4"/>
      <c r="S195" s="4"/>
      <c r="T195" s="4"/>
      <c r="U195" s="4"/>
      <c r="V195" s="4"/>
      <c r="W195" s="4"/>
      <c r="X195" s="4"/>
      <c r="Y195" s="4"/>
      <c r="Z195" s="4"/>
      <c r="AA195" s="21"/>
    </row>
    <row r="196">
      <c r="A196" s="4"/>
      <c r="B196" s="4"/>
      <c r="C196" s="4"/>
      <c r="D196" s="26"/>
      <c r="E196" s="4"/>
      <c r="F196" s="4"/>
      <c r="G196" s="4"/>
      <c r="H196" s="4"/>
      <c r="I196" s="4"/>
      <c r="J196" s="4"/>
      <c r="K196" s="4"/>
      <c r="L196" s="4"/>
      <c r="M196" s="4"/>
      <c r="N196" s="4"/>
      <c r="O196" s="4"/>
      <c r="P196" s="4"/>
      <c r="Q196" s="4"/>
      <c r="R196" s="4"/>
      <c r="S196" s="4"/>
      <c r="T196" s="4"/>
      <c r="U196" s="4"/>
      <c r="V196" s="4"/>
      <c r="W196" s="4"/>
      <c r="X196" s="4"/>
      <c r="Y196" s="4"/>
      <c r="Z196" s="4"/>
      <c r="AA196" s="21"/>
    </row>
    <row r="197">
      <c r="A197" s="4"/>
      <c r="B197" s="4"/>
      <c r="C197" s="4"/>
      <c r="D197" s="26"/>
      <c r="E197" s="4"/>
      <c r="F197" s="4"/>
      <c r="G197" s="4"/>
      <c r="H197" s="4"/>
      <c r="I197" s="4"/>
      <c r="J197" s="4"/>
      <c r="K197" s="4"/>
      <c r="L197" s="4"/>
      <c r="M197" s="4"/>
      <c r="N197" s="4"/>
      <c r="O197" s="4"/>
      <c r="P197" s="4"/>
      <c r="Q197" s="4"/>
      <c r="R197" s="4"/>
      <c r="S197" s="4"/>
      <c r="T197" s="4"/>
      <c r="U197" s="4"/>
      <c r="V197" s="4"/>
      <c r="W197" s="4"/>
      <c r="X197" s="4"/>
      <c r="Y197" s="4"/>
      <c r="Z197" s="4"/>
      <c r="AA197" s="21"/>
    </row>
    <row r="198">
      <c r="A198" s="4"/>
      <c r="B198" s="4"/>
      <c r="C198" s="4"/>
      <c r="D198" s="26"/>
      <c r="E198" s="4"/>
      <c r="F198" s="4"/>
      <c r="G198" s="4"/>
      <c r="H198" s="4"/>
      <c r="I198" s="4"/>
      <c r="J198" s="4"/>
      <c r="K198" s="4"/>
      <c r="L198" s="4"/>
      <c r="M198" s="4"/>
      <c r="N198" s="4"/>
      <c r="O198" s="4"/>
      <c r="P198" s="4"/>
      <c r="Q198" s="4"/>
      <c r="R198" s="4"/>
      <c r="S198" s="4"/>
      <c r="T198" s="4"/>
      <c r="U198" s="4"/>
      <c r="V198" s="4"/>
      <c r="W198" s="4"/>
      <c r="X198" s="4"/>
      <c r="Y198" s="4"/>
      <c r="Z198" s="4"/>
      <c r="AA198" s="21"/>
    </row>
    <row r="199">
      <c r="A199" s="4"/>
      <c r="B199" s="4"/>
      <c r="C199" s="4"/>
      <c r="D199" s="26"/>
      <c r="E199" s="4"/>
      <c r="F199" s="4"/>
      <c r="G199" s="4"/>
      <c r="H199" s="4"/>
      <c r="I199" s="4"/>
      <c r="J199" s="4"/>
      <c r="K199" s="4"/>
      <c r="L199" s="4"/>
      <c r="M199" s="4"/>
      <c r="N199" s="4"/>
      <c r="O199" s="4"/>
      <c r="P199" s="4"/>
      <c r="Q199" s="4"/>
      <c r="R199" s="4"/>
      <c r="S199" s="4"/>
      <c r="T199" s="4"/>
      <c r="U199" s="4"/>
      <c r="V199" s="4"/>
      <c r="W199" s="4"/>
      <c r="X199" s="4"/>
      <c r="Y199" s="4"/>
      <c r="Z199" s="4"/>
      <c r="AA199" s="21"/>
    </row>
    <row r="200">
      <c r="A200" s="4"/>
      <c r="B200" s="4"/>
      <c r="C200" s="4"/>
      <c r="D200" s="26"/>
      <c r="E200" s="4"/>
      <c r="F200" s="4"/>
      <c r="G200" s="4"/>
      <c r="H200" s="4"/>
      <c r="I200" s="4"/>
      <c r="J200" s="4"/>
      <c r="K200" s="4"/>
      <c r="L200" s="4"/>
      <c r="M200" s="4"/>
      <c r="N200" s="4"/>
      <c r="O200" s="4"/>
      <c r="P200" s="4"/>
      <c r="Q200" s="4"/>
      <c r="R200" s="4"/>
      <c r="S200" s="4"/>
      <c r="T200" s="4"/>
      <c r="U200" s="4"/>
      <c r="V200" s="4"/>
      <c r="W200" s="4"/>
      <c r="X200" s="4"/>
      <c r="Y200" s="4"/>
      <c r="Z200" s="4"/>
      <c r="AA200" s="21"/>
    </row>
    <row r="201">
      <c r="A201" s="4"/>
      <c r="B201" s="4"/>
      <c r="C201" s="4"/>
      <c r="D201" s="26"/>
      <c r="E201" s="4"/>
      <c r="F201" s="4"/>
      <c r="G201" s="4"/>
      <c r="H201" s="4"/>
      <c r="I201" s="4"/>
      <c r="J201" s="4"/>
      <c r="K201" s="4"/>
      <c r="L201" s="4"/>
      <c r="M201" s="4"/>
      <c r="N201" s="4"/>
      <c r="O201" s="4"/>
      <c r="P201" s="4"/>
      <c r="Q201" s="4"/>
      <c r="R201" s="4"/>
      <c r="S201" s="4"/>
      <c r="T201" s="4"/>
      <c r="U201" s="4"/>
      <c r="V201" s="4"/>
      <c r="W201" s="4"/>
      <c r="X201" s="4"/>
      <c r="Y201" s="4"/>
      <c r="Z201" s="4"/>
      <c r="AA201" s="21"/>
    </row>
    <row r="202">
      <c r="A202" s="4"/>
      <c r="B202" s="4"/>
      <c r="C202" s="4"/>
      <c r="D202" s="26"/>
      <c r="E202" s="4"/>
      <c r="F202" s="4"/>
      <c r="G202" s="4"/>
      <c r="H202" s="4"/>
      <c r="I202" s="4"/>
      <c r="J202" s="4"/>
      <c r="K202" s="4"/>
      <c r="L202" s="4"/>
      <c r="M202" s="4"/>
      <c r="N202" s="4"/>
      <c r="O202" s="4"/>
      <c r="P202" s="4"/>
      <c r="Q202" s="4"/>
      <c r="R202" s="4"/>
      <c r="S202" s="4"/>
      <c r="T202" s="4"/>
      <c r="U202" s="4"/>
      <c r="V202" s="4"/>
      <c r="W202" s="4"/>
      <c r="X202" s="4"/>
      <c r="Y202" s="4"/>
      <c r="Z202" s="4"/>
      <c r="AA202" s="21"/>
    </row>
    <row r="203">
      <c r="A203" s="4"/>
      <c r="B203" s="4"/>
      <c r="C203" s="4"/>
      <c r="D203" s="26"/>
      <c r="E203" s="4"/>
      <c r="F203" s="4"/>
      <c r="G203" s="4"/>
      <c r="H203" s="4"/>
      <c r="I203" s="4"/>
      <c r="J203" s="4"/>
      <c r="K203" s="4"/>
      <c r="L203" s="4"/>
      <c r="M203" s="4"/>
      <c r="N203" s="4"/>
      <c r="O203" s="4"/>
      <c r="P203" s="4"/>
      <c r="Q203" s="4"/>
      <c r="R203" s="4"/>
      <c r="S203" s="4"/>
      <c r="T203" s="4"/>
      <c r="U203" s="4"/>
      <c r="V203" s="4"/>
      <c r="W203" s="4"/>
      <c r="X203" s="4"/>
      <c r="Y203" s="4"/>
      <c r="Z203" s="4"/>
      <c r="AA203" s="21"/>
    </row>
    <row r="204">
      <c r="A204" s="4"/>
      <c r="B204" s="4"/>
      <c r="C204" s="4"/>
      <c r="D204" s="26"/>
      <c r="E204" s="4"/>
      <c r="F204" s="4"/>
      <c r="G204" s="4"/>
      <c r="H204" s="4"/>
      <c r="I204" s="4"/>
      <c r="J204" s="4"/>
      <c r="K204" s="4"/>
      <c r="L204" s="4"/>
      <c r="M204" s="4"/>
      <c r="N204" s="4"/>
      <c r="O204" s="4"/>
      <c r="P204" s="4"/>
      <c r="Q204" s="4"/>
      <c r="R204" s="4"/>
      <c r="S204" s="4"/>
      <c r="T204" s="4"/>
      <c r="U204" s="4"/>
      <c r="V204" s="4"/>
      <c r="W204" s="4"/>
      <c r="X204" s="4"/>
      <c r="Y204" s="4"/>
      <c r="Z204" s="4"/>
      <c r="AA204" s="21"/>
    </row>
    <row r="205">
      <c r="A205" s="4"/>
      <c r="B205" s="4"/>
      <c r="C205" s="4"/>
      <c r="D205" s="26"/>
      <c r="E205" s="4"/>
      <c r="F205" s="4"/>
      <c r="G205" s="4"/>
      <c r="H205" s="4"/>
      <c r="I205" s="4"/>
      <c r="J205" s="4"/>
      <c r="K205" s="4"/>
      <c r="L205" s="4"/>
      <c r="M205" s="4"/>
      <c r="N205" s="4"/>
      <c r="O205" s="4"/>
      <c r="P205" s="4"/>
      <c r="Q205" s="4"/>
      <c r="R205" s="4"/>
      <c r="S205" s="4"/>
      <c r="T205" s="4"/>
      <c r="U205" s="4"/>
      <c r="V205" s="4"/>
      <c r="W205" s="4"/>
      <c r="X205" s="4"/>
      <c r="Y205" s="4"/>
      <c r="Z205" s="4"/>
      <c r="AA205" s="21"/>
    </row>
    <row r="206">
      <c r="A206" s="4"/>
      <c r="B206" s="4"/>
      <c r="C206" s="4"/>
      <c r="D206" s="26"/>
      <c r="E206" s="4"/>
      <c r="F206" s="4"/>
      <c r="G206" s="4"/>
      <c r="H206" s="4"/>
      <c r="I206" s="4"/>
      <c r="J206" s="4"/>
      <c r="K206" s="4"/>
      <c r="L206" s="4"/>
      <c r="M206" s="4"/>
      <c r="N206" s="4"/>
      <c r="O206" s="4"/>
      <c r="P206" s="4"/>
      <c r="Q206" s="4"/>
      <c r="R206" s="4"/>
      <c r="S206" s="4"/>
      <c r="T206" s="4"/>
      <c r="U206" s="4"/>
      <c r="V206" s="4"/>
      <c r="W206" s="4"/>
      <c r="X206" s="4"/>
      <c r="Y206" s="4"/>
      <c r="Z206" s="4"/>
      <c r="AA206" s="21"/>
    </row>
    <row r="207">
      <c r="A207" s="4"/>
      <c r="B207" s="4"/>
      <c r="C207" s="4"/>
      <c r="D207" s="26"/>
      <c r="E207" s="4"/>
      <c r="F207" s="4"/>
      <c r="G207" s="4"/>
      <c r="H207" s="4"/>
      <c r="I207" s="4"/>
      <c r="J207" s="4"/>
      <c r="K207" s="4"/>
      <c r="L207" s="4"/>
      <c r="M207" s="4"/>
      <c r="N207" s="4"/>
      <c r="O207" s="4"/>
      <c r="P207" s="4"/>
      <c r="Q207" s="4"/>
      <c r="R207" s="4"/>
      <c r="S207" s="4"/>
      <c r="T207" s="4"/>
      <c r="U207" s="4"/>
      <c r="V207" s="4"/>
      <c r="W207" s="4"/>
      <c r="X207" s="4"/>
      <c r="Y207" s="4"/>
      <c r="Z207" s="4"/>
      <c r="AA207" s="21"/>
    </row>
    <row r="208">
      <c r="A208" s="4"/>
      <c r="B208" s="4"/>
      <c r="C208" s="4"/>
      <c r="D208" s="26"/>
      <c r="E208" s="4"/>
      <c r="F208" s="4"/>
      <c r="G208" s="4"/>
      <c r="H208" s="4"/>
      <c r="I208" s="4"/>
      <c r="J208" s="4"/>
      <c r="K208" s="4"/>
      <c r="L208" s="4"/>
      <c r="M208" s="4"/>
      <c r="N208" s="4"/>
      <c r="O208" s="4"/>
      <c r="P208" s="4"/>
      <c r="Q208" s="4"/>
      <c r="R208" s="4"/>
      <c r="S208" s="4"/>
      <c r="T208" s="4"/>
      <c r="U208" s="4"/>
      <c r="V208" s="4"/>
      <c r="W208" s="4"/>
      <c r="X208" s="4"/>
      <c r="Y208" s="4"/>
      <c r="Z208" s="4"/>
      <c r="AA208" s="21"/>
    </row>
    <row r="209">
      <c r="A209" s="4"/>
      <c r="B209" s="4"/>
      <c r="C209" s="4"/>
      <c r="D209" s="26"/>
      <c r="E209" s="4"/>
      <c r="F209" s="4"/>
      <c r="G209" s="4"/>
      <c r="H209" s="4"/>
      <c r="I209" s="4"/>
      <c r="J209" s="4"/>
      <c r="K209" s="4"/>
      <c r="L209" s="4"/>
      <c r="M209" s="4"/>
      <c r="N209" s="4"/>
      <c r="O209" s="4"/>
      <c r="P209" s="4"/>
      <c r="Q209" s="4"/>
      <c r="R209" s="4"/>
      <c r="S209" s="4"/>
      <c r="T209" s="4"/>
      <c r="U209" s="4"/>
      <c r="V209" s="4"/>
      <c r="W209" s="4"/>
      <c r="X209" s="4"/>
      <c r="Y209" s="4"/>
      <c r="Z209" s="4"/>
      <c r="AA209" s="21"/>
    </row>
    <row r="210">
      <c r="A210" s="4"/>
      <c r="B210" s="4"/>
      <c r="C210" s="4"/>
      <c r="D210" s="26"/>
      <c r="E210" s="4"/>
      <c r="F210" s="4"/>
      <c r="G210" s="4"/>
      <c r="H210" s="4"/>
      <c r="I210" s="4"/>
      <c r="J210" s="4"/>
      <c r="K210" s="4"/>
      <c r="L210" s="4"/>
      <c r="M210" s="4"/>
      <c r="N210" s="4"/>
      <c r="O210" s="4"/>
      <c r="P210" s="4"/>
      <c r="Q210" s="4"/>
      <c r="R210" s="4"/>
      <c r="S210" s="4"/>
      <c r="T210" s="4"/>
      <c r="U210" s="4"/>
      <c r="V210" s="4"/>
      <c r="W210" s="4"/>
      <c r="X210" s="4"/>
      <c r="Y210" s="4"/>
      <c r="Z210" s="4"/>
      <c r="AA210" s="21"/>
    </row>
    <row r="211">
      <c r="A211" s="4"/>
      <c r="B211" s="4"/>
      <c r="C211" s="4"/>
      <c r="D211" s="26"/>
      <c r="E211" s="4"/>
      <c r="F211" s="4"/>
      <c r="G211" s="4"/>
      <c r="H211" s="4"/>
      <c r="I211" s="4"/>
      <c r="J211" s="4"/>
      <c r="K211" s="4"/>
      <c r="L211" s="4"/>
      <c r="M211" s="4"/>
      <c r="N211" s="4"/>
      <c r="O211" s="4"/>
      <c r="P211" s="4"/>
      <c r="Q211" s="4"/>
      <c r="R211" s="4"/>
      <c r="S211" s="4"/>
      <c r="T211" s="4"/>
      <c r="U211" s="4"/>
      <c r="V211" s="4"/>
      <c r="W211" s="4"/>
      <c r="X211" s="4"/>
      <c r="Y211" s="4"/>
      <c r="Z211" s="4"/>
      <c r="AA211" s="21"/>
    </row>
    <row r="212">
      <c r="A212" s="4"/>
      <c r="B212" s="4"/>
      <c r="C212" s="4"/>
      <c r="D212" s="26"/>
      <c r="E212" s="4"/>
      <c r="F212" s="4"/>
      <c r="G212" s="4"/>
      <c r="H212" s="4"/>
      <c r="I212" s="4"/>
      <c r="J212" s="4"/>
      <c r="K212" s="4"/>
      <c r="L212" s="4"/>
      <c r="M212" s="4"/>
      <c r="N212" s="4"/>
      <c r="O212" s="4"/>
      <c r="P212" s="4"/>
      <c r="Q212" s="4"/>
      <c r="R212" s="4"/>
      <c r="S212" s="4"/>
      <c r="T212" s="4"/>
      <c r="U212" s="4"/>
      <c r="V212" s="4"/>
      <c r="W212" s="4"/>
      <c r="X212" s="4"/>
      <c r="Y212" s="4"/>
      <c r="Z212" s="4"/>
      <c r="AA212" s="21"/>
    </row>
    <row r="213">
      <c r="A213" s="4"/>
      <c r="B213" s="4"/>
      <c r="C213" s="4"/>
      <c r="D213" s="26"/>
      <c r="E213" s="4"/>
      <c r="F213" s="4"/>
      <c r="G213" s="4"/>
      <c r="H213" s="4"/>
      <c r="I213" s="4"/>
      <c r="J213" s="4"/>
      <c r="K213" s="4"/>
      <c r="L213" s="4"/>
      <c r="M213" s="4"/>
      <c r="N213" s="4"/>
      <c r="O213" s="4"/>
      <c r="P213" s="4"/>
      <c r="Q213" s="4"/>
      <c r="R213" s="4"/>
      <c r="S213" s="4"/>
      <c r="T213" s="4"/>
      <c r="U213" s="4"/>
      <c r="V213" s="4"/>
      <c r="W213" s="4"/>
      <c r="X213" s="4"/>
      <c r="Y213" s="4"/>
      <c r="Z213" s="4"/>
      <c r="AA213" s="21"/>
    </row>
    <row r="214">
      <c r="A214" s="4"/>
      <c r="B214" s="4"/>
      <c r="C214" s="4"/>
      <c r="D214" s="26"/>
      <c r="E214" s="4"/>
      <c r="F214" s="4"/>
      <c r="G214" s="4"/>
      <c r="H214" s="4"/>
      <c r="I214" s="4"/>
      <c r="J214" s="4"/>
      <c r="K214" s="4"/>
      <c r="L214" s="4"/>
      <c r="M214" s="4"/>
      <c r="N214" s="4"/>
      <c r="O214" s="4"/>
      <c r="P214" s="4"/>
      <c r="Q214" s="4"/>
      <c r="R214" s="4"/>
      <c r="S214" s="4"/>
      <c r="T214" s="4"/>
      <c r="U214" s="4"/>
      <c r="V214" s="4"/>
      <c r="W214" s="4"/>
      <c r="X214" s="4"/>
      <c r="Y214" s="4"/>
      <c r="Z214" s="4"/>
      <c r="AA214" s="21"/>
    </row>
    <row r="215">
      <c r="A215" s="4"/>
      <c r="B215" s="4"/>
      <c r="C215" s="4"/>
      <c r="D215" s="26"/>
      <c r="E215" s="4"/>
      <c r="F215" s="4"/>
      <c r="G215" s="4"/>
      <c r="H215" s="4"/>
      <c r="I215" s="4"/>
      <c r="J215" s="4"/>
      <c r="K215" s="4"/>
      <c r="L215" s="4"/>
      <c r="M215" s="4"/>
      <c r="N215" s="4"/>
      <c r="O215" s="4"/>
      <c r="P215" s="4"/>
      <c r="Q215" s="4"/>
      <c r="R215" s="4"/>
      <c r="S215" s="4"/>
      <c r="T215" s="4"/>
      <c r="U215" s="4"/>
      <c r="V215" s="4"/>
      <c r="W215" s="4"/>
      <c r="X215" s="4"/>
      <c r="Y215" s="4"/>
      <c r="Z215" s="4"/>
      <c r="AA215" s="21"/>
    </row>
    <row r="216">
      <c r="A216" s="4"/>
      <c r="B216" s="4"/>
      <c r="C216" s="4"/>
      <c r="D216" s="26"/>
      <c r="E216" s="4"/>
      <c r="F216" s="4"/>
      <c r="G216" s="4"/>
      <c r="H216" s="4"/>
      <c r="I216" s="4"/>
      <c r="J216" s="4"/>
      <c r="K216" s="4"/>
      <c r="L216" s="4"/>
      <c r="M216" s="4"/>
      <c r="N216" s="4"/>
      <c r="O216" s="4"/>
      <c r="P216" s="4"/>
      <c r="Q216" s="4"/>
      <c r="R216" s="4"/>
      <c r="S216" s="4"/>
      <c r="T216" s="4"/>
      <c r="U216" s="4"/>
      <c r="V216" s="4"/>
      <c r="W216" s="4"/>
      <c r="X216" s="4"/>
      <c r="Y216" s="4"/>
      <c r="Z216" s="4"/>
      <c r="AA216" s="21"/>
    </row>
    <row r="217">
      <c r="A217" s="4"/>
      <c r="B217" s="4"/>
      <c r="C217" s="4"/>
      <c r="D217" s="26"/>
      <c r="E217" s="4"/>
      <c r="F217" s="4"/>
      <c r="G217" s="4"/>
      <c r="H217" s="4"/>
      <c r="I217" s="4"/>
      <c r="J217" s="4"/>
      <c r="K217" s="4"/>
      <c r="L217" s="4"/>
      <c r="M217" s="4"/>
      <c r="N217" s="4"/>
      <c r="O217" s="4"/>
      <c r="P217" s="4"/>
      <c r="Q217" s="4"/>
      <c r="R217" s="4"/>
      <c r="S217" s="4"/>
      <c r="T217" s="4"/>
      <c r="U217" s="4"/>
      <c r="V217" s="4"/>
      <c r="W217" s="4"/>
      <c r="X217" s="4"/>
      <c r="Y217" s="4"/>
      <c r="Z217" s="4"/>
      <c r="AA217" s="21"/>
    </row>
    <row r="218">
      <c r="A218" s="4"/>
      <c r="B218" s="4"/>
      <c r="C218" s="4"/>
      <c r="D218" s="26"/>
      <c r="E218" s="4"/>
      <c r="F218" s="4"/>
      <c r="G218" s="4"/>
      <c r="H218" s="4"/>
      <c r="I218" s="4"/>
      <c r="J218" s="4"/>
      <c r="K218" s="4"/>
      <c r="L218" s="4"/>
      <c r="M218" s="4"/>
      <c r="N218" s="4"/>
      <c r="O218" s="4"/>
      <c r="P218" s="4"/>
      <c r="Q218" s="4"/>
      <c r="R218" s="4"/>
      <c r="S218" s="4"/>
      <c r="T218" s="4"/>
      <c r="U218" s="4"/>
      <c r="V218" s="4"/>
      <c r="W218" s="4"/>
      <c r="X218" s="4"/>
      <c r="Y218" s="4"/>
      <c r="Z218" s="4"/>
      <c r="AA218" s="21"/>
    </row>
    <row r="219">
      <c r="A219" s="4"/>
      <c r="B219" s="4"/>
      <c r="C219" s="4"/>
      <c r="D219" s="26"/>
      <c r="E219" s="4"/>
      <c r="F219" s="4"/>
      <c r="G219" s="4"/>
      <c r="H219" s="4"/>
      <c r="I219" s="4"/>
      <c r="J219" s="4"/>
      <c r="K219" s="4"/>
      <c r="L219" s="4"/>
      <c r="M219" s="4"/>
      <c r="N219" s="4"/>
      <c r="O219" s="4"/>
      <c r="P219" s="4"/>
      <c r="Q219" s="4"/>
      <c r="R219" s="4"/>
      <c r="S219" s="4"/>
      <c r="T219" s="4"/>
      <c r="U219" s="4"/>
      <c r="V219" s="4"/>
      <c r="W219" s="4"/>
      <c r="X219" s="4"/>
      <c r="Y219" s="4"/>
      <c r="Z219" s="4"/>
      <c r="AA219" s="21"/>
    </row>
    <row r="220">
      <c r="A220" s="4"/>
      <c r="B220" s="4"/>
      <c r="C220" s="4"/>
      <c r="D220" s="26"/>
      <c r="E220" s="4"/>
      <c r="F220" s="4"/>
      <c r="G220" s="4"/>
      <c r="H220" s="4"/>
      <c r="I220" s="4"/>
      <c r="J220" s="4"/>
      <c r="K220" s="4"/>
      <c r="L220" s="4"/>
      <c r="M220" s="4"/>
      <c r="N220" s="4"/>
      <c r="O220" s="4"/>
      <c r="P220" s="4"/>
      <c r="Q220" s="4"/>
      <c r="R220" s="4"/>
      <c r="S220" s="4"/>
      <c r="T220" s="4"/>
      <c r="U220" s="4"/>
      <c r="V220" s="4"/>
      <c r="W220" s="4"/>
      <c r="X220" s="4"/>
      <c r="Y220" s="4"/>
      <c r="Z220" s="4"/>
      <c r="AA220" s="21"/>
    </row>
    <row r="221">
      <c r="A221" s="4"/>
      <c r="B221" s="4"/>
      <c r="C221" s="4"/>
      <c r="D221" s="26"/>
      <c r="E221" s="4"/>
      <c r="F221" s="4"/>
      <c r="G221" s="4"/>
      <c r="H221" s="4"/>
      <c r="I221" s="4"/>
      <c r="J221" s="4"/>
      <c r="K221" s="4"/>
      <c r="L221" s="4"/>
      <c r="M221" s="4"/>
      <c r="N221" s="4"/>
      <c r="O221" s="4"/>
      <c r="P221" s="4"/>
      <c r="Q221" s="4"/>
      <c r="R221" s="4"/>
      <c r="S221" s="4"/>
      <c r="T221" s="4"/>
      <c r="U221" s="4"/>
      <c r="V221" s="4"/>
      <c r="W221" s="4"/>
      <c r="X221" s="4"/>
      <c r="Y221" s="4"/>
      <c r="Z221" s="4"/>
      <c r="AA221" s="21"/>
    </row>
    <row r="222">
      <c r="A222" s="4"/>
      <c r="B222" s="4"/>
      <c r="C222" s="4"/>
      <c r="D222" s="26"/>
      <c r="E222" s="4"/>
      <c r="F222" s="4"/>
      <c r="G222" s="4"/>
      <c r="H222" s="4"/>
      <c r="I222" s="4"/>
      <c r="J222" s="4"/>
      <c r="K222" s="4"/>
      <c r="L222" s="4"/>
      <c r="M222" s="4"/>
      <c r="N222" s="4"/>
      <c r="O222" s="4"/>
      <c r="P222" s="4"/>
      <c r="Q222" s="4"/>
      <c r="R222" s="4"/>
      <c r="S222" s="4"/>
      <c r="T222" s="4"/>
      <c r="U222" s="4"/>
      <c r="V222" s="4"/>
      <c r="W222" s="4"/>
      <c r="X222" s="4"/>
      <c r="Y222" s="4"/>
      <c r="Z222" s="4"/>
      <c r="AA222" s="21"/>
    </row>
    <row r="223">
      <c r="A223" s="4"/>
      <c r="B223" s="4"/>
      <c r="C223" s="4"/>
      <c r="D223" s="26"/>
      <c r="E223" s="4"/>
      <c r="F223" s="4"/>
      <c r="G223" s="4"/>
      <c r="H223" s="4"/>
      <c r="I223" s="4"/>
      <c r="J223" s="4"/>
      <c r="K223" s="4"/>
      <c r="L223" s="4"/>
      <c r="M223" s="4"/>
      <c r="N223" s="4"/>
      <c r="O223" s="4"/>
      <c r="P223" s="4"/>
      <c r="Q223" s="4"/>
      <c r="R223" s="4"/>
      <c r="S223" s="4"/>
      <c r="T223" s="4"/>
      <c r="U223" s="4"/>
      <c r="V223" s="4"/>
      <c r="W223" s="4"/>
      <c r="X223" s="4"/>
      <c r="Y223" s="4"/>
      <c r="Z223" s="4"/>
      <c r="AA223" s="21"/>
    </row>
    <row r="224">
      <c r="A224" s="4"/>
      <c r="B224" s="4"/>
      <c r="C224" s="4"/>
      <c r="D224" s="26"/>
      <c r="E224" s="4"/>
      <c r="F224" s="4"/>
      <c r="G224" s="4"/>
      <c r="H224" s="4"/>
      <c r="I224" s="4"/>
      <c r="J224" s="4"/>
      <c r="K224" s="4"/>
      <c r="L224" s="4"/>
      <c r="M224" s="4"/>
      <c r="N224" s="4"/>
      <c r="O224" s="4"/>
      <c r="P224" s="4"/>
      <c r="Q224" s="4"/>
      <c r="R224" s="4"/>
      <c r="S224" s="4"/>
      <c r="T224" s="4"/>
      <c r="U224" s="4"/>
      <c r="V224" s="4"/>
      <c r="W224" s="4"/>
      <c r="X224" s="4"/>
      <c r="Y224" s="4"/>
      <c r="Z224" s="4"/>
      <c r="AA224" s="21"/>
    </row>
    <row r="225">
      <c r="A225" s="4"/>
      <c r="B225" s="4"/>
      <c r="C225" s="4"/>
      <c r="D225" s="26"/>
      <c r="E225" s="4"/>
      <c r="F225" s="4"/>
      <c r="G225" s="4"/>
      <c r="H225" s="4"/>
      <c r="I225" s="4"/>
      <c r="J225" s="4"/>
      <c r="K225" s="4"/>
      <c r="L225" s="4"/>
      <c r="M225" s="4"/>
      <c r="N225" s="4"/>
      <c r="O225" s="4"/>
      <c r="P225" s="4"/>
      <c r="Q225" s="4"/>
      <c r="R225" s="4"/>
      <c r="S225" s="4"/>
      <c r="T225" s="4"/>
      <c r="U225" s="4"/>
      <c r="V225" s="4"/>
      <c r="W225" s="4"/>
      <c r="X225" s="4"/>
      <c r="Y225" s="4"/>
      <c r="Z225" s="4"/>
      <c r="AA225" s="21"/>
    </row>
    <row r="226">
      <c r="A226" s="4"/>
      <c r="B226" s="4"/>
      <c r="C226" s="4"/>
      <c r="D226" s="26"/>
      <c r="E226" s="4"/>
      <c r="F226" s="4"/>
      <c r="G226" s="4"/>
      <c r="H226" s="4"/>
      <c r="I226" s="4"/>
      <c r="J226" s="4"/>
      <c r="K226" s="4"/>
      <c r="L226" s="4"/>
      <c r="M226" s="4"/>
      <c r="N226" s="4"/>
      <c r="O226" s="4"/>
      <c r="P226" s="4"/>
      <c r="Q226" s="4"/>
      <c r="R226" s="4"/>
      <c r="S226" s="4"/>
      <c r="T226" s="4"/>
      <c r="U226" s="4"/>
      <c r="V226" s="4"/>
      <c r="W226" s="4"/>
      <c r="X226" s="4"/>
      <c r="Y226" s="4"/>
      <c r="Z226" s="4"/>
      <c r="AA226" s="21"/>
    </row>
    <row r="227">
      <c r="A227" s="4"/>
      <c r="B227" s="4"/>
      <c r="C227" s="4"/>
      <c r="D227" s="26"/>
      <c r="E227" s="4"/>
      <c r="F227" s="4"/>
      <c r="G227" s="4"/>
      <c r="H227" s="4"/>
      <c r="I227" s="4"/>
      <c r="J227" s="4"/>
      <c r="K227" s="4"/>
      <c r="L227" s="4"/>
      <c r="M227" s="4"/>
      <c r="N227" s="4"/>
      <c r="O227" s="4"/>
      <c r="P227" s="4"/>
      <c r="Q227" s="4"/>
      <c r="R227" s="4"/>
      <c r="S227" s="4"/>
      <c r="T227" s="4"/>
      <c r="U227" s="4"/>
      <c r="V227" s="4"/>
      <c r="W227" s="4"/>
      <c r="X227" s="4"/>
      <c r="Y227" s="4"/>
      <c r="Z227" s="4"/>
      <c r="AA227" s="21"/>
    </row>
    <row r="228">
      <c r="A228" s="4"/>
      <c r="B228" s="4"/>
      <c r="C228" s="4"/>
      <c r="D228" s="26"/>
      <c r="E228" s="4"/>
      <c r="F228" s="4"/>
      <c r="G228" s="4"/>
      <c r="H228" s="4"/>
      <c r="I228" s="4"/>
      <c r="J228" s="4"/>
      <c r="K228" s="4"/>
      <c r="L228" s="4"/>
      <c r="M228" s="4"/>
      <c r="N228" s="4"/>
      <c r="O228" s="4"/>
      <c r="P228" s="4"/>
      <c r="Q228" s="4"/>
      <c r="R228" s="4"/>
      <c r="S228" s="4"/>
      <c r="T228" s="4"/>
      <c r="U228" s="4"/>
      <c r="V228" s="4"/>
      <c r="W228" s="4"/>
      <c r="X228" s="4"/>
      <c r="Y228" s="4"/>
      <c r="Z228" s="4"/>
      <c r="AA228" s="21"/>
    </row>
    <row r="229">
      <c r="A229" s="4"/>
      <c r="B229" s="4"/>
      <c r="C229" s="4"/>
      <c r="D229" s="26"/>
      <c r="E229" s="4"/>
      <c r="F229" s="4"/>
      <c r="G229" s="4"/>
      <c r="H229" s="4"/>
      <c r="I229" s="4"/>
      <c r="J229" s="4"/>
      <c r="K229" s="4"/>
      <c r="L229" s="4"/>
      <c r="M229" s="4"/>
      <c r="N229" s="4"/>
      <c r="O229" s="4"/>
      <c r="P229" s="4"/>
      <c r="Q229" s="4"/>
      <c r="R229" s="4"/>
      <c r="S229" s="4"/>
      <c r="T229" s="4"/>
      <c r="U229" s="4"/>
      <c r="V229" s="4"/>
      <c r="W229" s="4"/>
      <c r="X229" s="4"/>
      <c r="Y229" s="4"/>
      <c r="Z229" s="4"/>
      <c r="AA229" s="21"/>
    </row>
    <row r="230">
      <c r="A230" s="4"/>
      <c r="B230" s="4"/>
      <c r="C230" s="4"/>
      <c r="D230" s="26"/>
      <c r="E230" s="4"/>
      <c r="F230" s="4"/>
      <c r="G230" s="4"/>
      <c r="H230" s="4"/>
      <c r="I230" s="4"/>
      <c r="J230" s="4"/>
      <c r="K230" s="4"/>
      <c r="L230" s="4"/>
      <c r="M230" s="4"/>
      <c r="N230" s="4"/>
      <c r="O230" s="4"/>
      <c r="P230" s="4"/>
      <c r="Q230" s="4"/>
      <c r="R230" s="4"/>
      <c r="S230" s="4"/>
      <c r="T230" s="4"/>
      <c r="U230" s="4"/>
      <c r="V230" s="4"/>
      <c r="W230" s="4"/>
      <c r="X230" s="4"/>
      <c r="Y230" s="4"/>
      <c r="Z230" s="4"/>
      <c r="AA230" s="21"/>
    </row>
    <row r="231">
      <c r="A231" s="4"/>
      <c r="B231" s="4"/>
      <c r="C231" s="4"/>
      <c r="D231" s="26"/>
      <c r="E231" s="4"/>
      <c r="F231" s="4"/>
      <c r="G231" s="4"/>
      <c r="H231" s="4"/>
      <c r="I231" s="4"/>
      <c r="J231" s="4"/>
      <c r="K231" s="4"/>
      <c r="L231" s="4"/>
      <c r="M231" s="4"/>
      <c r="N231" s="4"/>
      <c r="O231" s="4"/>
      <c r="P231" s="4"/>
      <c r="Q231" s="4"/>
      <c r="R231" s="4"/>
      <c r="S231" s="4"/>
      <c r="T231" s="4"/>
      <c r="U231" s="4"/>
      <c r="V231" s="4"/>
      <c r="W231" s="4"/>
      <c r="X231" s="4"/>
      <c r="Y231" s="4"/>
      <c r="Z231" s="4"/>
      <c r="AA231" s="21"/>
    </row>
    <row r="232">
      <c r="A232" s="4"/>
      <c r="B232" s="4"/>
      <c r="C232" s="4"/>
      <c r="D232" s="26"/>
      <c r="E232" s="4"/>
      <c r="F232" s="4"/>
      <c r="G232" s="4"/>
      <c r="H232" s="4"/>
      <c r="I232" s="4"/>
      <c r="J232" s="4"/>
      <c r="K232" s="4"/>
      <c r="L232" s="4"/>
      <c r="M232" s="4"/>
      <c r="N232" s="4"/>
      <c r="O232" s="4"/>
      <c r="P232" s="4"/>
      <c r="Q232" s="4"/>
      <c r="R232" s="4"/>
      <c r="S232" s="4"/>
      <c r="T232" s="4"/>
      <c r="U232" s="4"/>
      <c r="V232" s="4"/>
      <c r="W232" s="4"/>
      <c r="X232" s="4"/>
      <c r="Y232" s="4"/>
      <c r="Z232" s="4"/>
      <c r="AA232" s="21"/>
    </row>
    <row r="233">
      <c r="A233" s="4"/>
      <c r="B233" s="4"/>
      <c r="C233" s="4"/>
      <c r="D233" s="26"/>
      <c r="E233" s="4"/>
      <c r="F233" s="4"/>
      <c r="G233" s="4"/>
      <c r="H233" s="4"/>
      <c r="I233" s="4"/>
      <c r="J233" s="4"/>
      <c r="K233" s="4"/>
      <c r="L233" s="4"/>
      <c r="M233" s="4"/>
      <c r="N233" s="4"/>
      <c r="O233" s="4"/>
      <c r="P233" s="4"/>
      <c r="Q233" s="4"/>
      <c r="R233" s="4"/>
      <c r="S233" s="4"/>
      <c r="T233" s="4"/>
      <c r="U233" s="4"/>
      <c r="V233" s="4"/>
      <c r="W233" s="4"/>
      <c r="X233" s="4"/>
      <c r="Y233" s="4"/>
      <c r="Z233" s="4"/>
      <c r="AA233" s="21"/>
    </row>
    <row r="234">
      <c r="A234" s="4"/>
      <c r="B234" s="4"/>
      <c r="C234" s="4"/>
      <c r="D234" s="26"/>
      <c r="E234" s="4"/>
      <c r="F234" s="4"/>
      <c r="G234" s="4"/>
      <c r="H234" s="4"/>
      <c r="I234" s="4"/>
      <c r="J234" s="4"/>
      <c r="K234" s="4"/>
      <c r="L234" s="4"/>
      <c r="M234" s="4"/>
      <c r="N234" s="4"/>
      <c r="O234" s="4"/>
      <c r="P234" s="4"/>
      <c r="Q234" s="4"/>
      <c r="R234" s="4"/>
      <c r="S234" s="4"/>
      <c r="T234" s="4"/>
      <c r="U234" s="4"/>
      <c r="V234" s="4"/>
      <c r="W234" s="4"/>
      <c r="X234" s="4"/>
      <c r="Y234" s="4"/>
      <c r="Z234" s="4"/>
      <c r="AA234" s="21"/>
    </row>
    <row r="235">
      <c r="A235" s="4"/>
      <c r="B235" s="4"/>
      <c r="C235" s="4"/>
      <c r="D235" s="26"/>
      <c r="E235" s="4"/>
      <c r="F235" s="4"/>
      <c r="G235" s="4"/>
      <c r="H235" s="4"/>
      <c r="I235" s="4"/>
      <c r="J235" s="4"/>
      <c r="K235" s="4"/>
      <c r="L235" s="4"/>
      <c r="M235" s="4"/>
      <c r="N235" s="4"/>
      <c r="O235" s="4"/>
      <c r="P235" s="4"/>
      <c r="Q235" s="4"/>
      <c r="R235" s="4"/>
      <c r="S235" s="4"/>
      <c r="T235" s="4"/>
      <c r="U235" s="4"/>
      <c r="V235" s="4"/>
      <c r="W235" s="4"/>
      <c r="X235" s="4"/>
      <c r="Y235" s="4"/>
      <c r="Z235" s="4"/>
      <c r="AA235" s="21"/>
    </row>
    <row r="236">
      <c r="A236" s="4"/>
      <c r="B236" s="4"/>
      <c r="C236" s="4"/>
      <c r="D236" s="26"/>
      <c r="E236" s="4"/>
      <c r="F236" s="4"/>
      <c r="G236" s="4"/>
      <c r="H236" s="4"/>
      <c r="I236" s="4"/>
      <c r="J236" s="4"/>
      <c r="K236" s="4"/>
      <c r="L236" s="4"/>
      <c r="M236" s="4"/>
      <c r="N236" s="4"/>
      <c r="O236" s="4"/>
      <c r="P236" s="4"/>
      <c r="Q236" s="4"/>
      <c r="R236" s="4"/>
      <c r="S236" s="4"/>
      <c r="T236" s="4"/>
      <c r="U236" s="4"/>
      <c r="V236" s="4"/>
      <c r="W236" s="4"/>
      <c r="X236" s="4"/>
      <c r="Y236" s="4"/>
      <c r="Z236" s="4"/>
      <c r="AA236" s="21"/>
    </row>
    <row r="237">
      <c r="A237" s="4"/>
      <c r="B237" s="4"/>
      <c r="C237" s="4"/>
      <c r="D237" s="26"/>
      <c r="E237" s="4"/>
      <c r="F237" s="4"/>
      <c r="G237" s="4"/>
      <c r="H237" s="4"/>
      <c r="I237" s="4"/>
      <c r="J237" s="4"/>
      <c r="K237" s="4"/>
      <c r="L237" s="4"/>
      <c r="M237" s="4"/>
      <c r="N237" s="4"/>
      <c r="O237" s="4"/>
      <c r="P237" s="4"/>
      <c r="Q237" s="4"/>
      <c r="R237" s="4"/>
      <c r="S237" s="4"/>
      <c r="T237" s="4"/>
      <c r="U237" s="4"/>
      <c r="V237" s="4"/>
      <c r="W237" s="4"/>
      <c r="X237" s="4"/>
      <c r="Y237" s="4"/>
      <c r="Z237" s="4"/>
      <c r="AA237" s="21"/>
    </row>
    <row r="238">
      <c r="A238" s="4"/>
      <c r="B238" s="4"/>
      <c r="C238" s="4"/>
      <c r="D238" s="26"/>
      <c r="E238" s="4"/>
      <c r="F238" s="4"/>
      <c r="G238" s="4"/>
      <c r="H238" s="4"/>
      <c r="I238" s="4"/>
      <c r="J238" s="4"/>
      <c r="K238" s="4"/>
      <c r="L238" s="4"/>
      <c r="M238" s="4"/>
      <c r="N238" s="4"/>
      <c r="O238" s="4"/>
      <c r="P238" s="4"/>
      <c r="Q238" s="4"/>
      <c r="R238" s="4"/>
      <c r="S238" s="4"/>
      <c r="T238" s="4"/>
      <c r="U238" s="4"/>
      <c r="V238" s="4"/>
      <c r="W238" s="4"/>
      <c r="X238" s="4"/>
      <c r="Y238" s="4"/>
      <c r="Z238" s="4"/>
      <c r="AA238" s="21"/>
    </row>
    <row r="239">
      <c r="A239" s="4"/>
      <c r="B239" s="4"/>
      <c r="C239" s="4"/>
      <c r="D239" s="26"/>
      <c r="E239" s="4"/>
      <c r="F239" s="4"/>
      <c r="G239" s="4"/>
      <c r="H239" s="4"/>
      <c r="I239" s="4"/>
      <c r="J239" s="4"/>
      <c r="K239" s="4"/>
      <c r="L239" s="4"/>
      <c r="M239" s="4"/>
      <c r="N239" s="4"/>
      <c r="O239" s="4"/>
      <c r="P239" s="4"/>
      <c r="Q239" s="4"/>
      <c r="R239" s="4"/>
      <c r="S239" s="4"/>
      <c r="T239" s="4"/>
      <c r="U239" s="4"/>
      <c r="V239" s="4"/>
      <c r="W239" s="4"/>
      <c r="X239" s="4"/>
      <c r="Y239" s="4"/>
      <c r="Z239" s="4"/>
      <c r="AA239" s="21"/>
    </row>
    <row r="240">
      <c r="A240" s="4"/>
      <c r="B240" s="4"/>
      <c r="C240" s="4"/>
      <c r="D240" s="26"/>
      <c r="E240" s="4"/>
      <c r="F240" s="4"/>
      <c r="G240" s="4"/>
      <c r="H240" s="4"/>
      <c r="I240" s="4"/>
      <c r="J240" s="4"/>
      <c r="K240" s="4"/>
      <c r="L240" s="4"/>
      <c r="M240" s="4"/>
      <c r="N240" s="4"/>
      <c r="O240" s="4"/>
      <c r="P240" s="4"/>
      <c r="Q240" s="4"/>
      <c r="R240" s="4"/>
      <c r="S240" s="4"/>
      <c r="T240" s="4"/>
      <c r="U240" s="4"/>
      <c r="V240" s="4"/>
      <c r="W240" s="4"/>
      <c r="X240" s="4"/>
      <c r="Y240" s="4"/>
      <c r="Z240" s="4"/>
      <c r="AA240" s="21"/>
    </row>
    <row r="241">
      <c r="A241" s="4"/>
      <c r="B241" s="4"/>
      <c r="C241" s="4"/>
      <c r="D241" s="26"/>
      <c r="E241" s="4"/>
      <c r="F241" s="4"/>
      <c r="G241" s="4"/>
      <c r="H241" s="4"/>
      <c r="I241" s="4"/>
      <c r="J241" s="4"/>
      <c r="K241" s="4"/>
      <c r="L241" s="4"/>
      <c r="M241" s="4"/>
      <c r="N241" s="4"/>
      <c r="O241" s="4"/>
      <c r="P241" s="4"/>
      <c r="Q241" s="4"/>
      <c r="R241" s="4"/>
      <c r="S241" s="4"/>
      <c r="T241" s="4"/>
      <c r="U241" s="4"/>
      <c r="V241" s="4"/>
      <c r="W241" s="4"/>
      <c r="X241" s="4"/>
      <c r="Y241" s="4"/>
      <c r="Z241" s="4"/>
      <c r="AA241" s="21"/>
    </row>
    <row r="242">
      <c r="A242" s="4"/>
      <c r="B242" s="4"/>
      <c r="C242" s="4"/>
      <c r="D242" s="26"/>
      <c r="E242" s="4"/>
      <c r="F242" s="4"/>
      <c r="G242" s="4"/>
      <c r="H242" s="4"/>
      <c r="I242" s="4"/>
      <c r="J242" s="4"/>
      <c r="K242" s="4"/>
      <c r="L242" s="4"/>
      <c r="M242" s="4"/>
      <c r="N242" s="4"/>
      <c r="O242" s="4"/>
      <c r="P242" s="4"/>
      <c r="Q242" s="4"/>
      <c r="R242" s="4"/>
      <c r="S242" s="4"/>
      <c r="T242" s="4"/>
      <c r="U242" s="4"/>
      <c r="V242" s="4"/>
      <c r="W242" s="4"/>
      <c r="X242" s="4"/>
      <c r="Y242" s="4"/>
      <c r="Z242" s="4"/>
      <c r="AA242" s="21"/>
    </row>
    <row r="243">
      <c r="A243" s="4"/>
      <c r="B243" s="4"/>
      <c r="C243" s="4"/>
      <c r="D243" s="26"/>
      <c r="E243" s="4"/>
      <c r="F243" s="4"/>
      <c r="G243" s="4"/>
      <c r="H243" s="4"/>
      <c r="I243" s="4"/>
      <c r="J243" s="4"/>
      <c r="K243" s="4"/>
      <c r="L243" s="4"/>
      <c r="M243" s="4"/>
      <c r="N243" s="4"/>
      <c r="O243" s="4"/>
      <c r="P243" s="4"/>
      <c r="Q243" s="4"/>
      <c r="R243" s="4"/>
      <c r="S243" s="4"/>
      <c r="T243" s="4"/>
      <c r="U243" s="4"/>
      <c r="V243" s="4"/>
      <c r="W243" s="4"/>
      <c r="X243" s="4"/>
      <c r="Y243" s="4"/>
      <c r="Z243" s="4"/>
      <c r="AA243" s="21"/>
    </row>
    <row r="244">
      <c r="A244" s="4"/>
      <c r="B244" s="4"/>
      <c r="C244" s="4"/>
      <c r="D244" s="26"/>
      <c r="E244" s="4"/>
      <c r="F244" s="4"/>
      <c r="G244" s="4"/>
      <c r="H244" s="4"/>
      <c r="I244" s="4"/>
      <c r="J244" s="4"/>
      <c r="K244" s="4"/>
      <c r="L244" s="4"/>
      <c r="M244" s="4"/>
      <c r="N244" s="4"/>
      <c r="O244" s="4"/>
      <c r="P244" s="4"/>
      <c r="Q244" s="4"/>
      <c r="R244" s="4"/>
      <c r="S244" s="4"/>
      <c r="T244" s="4"/>
      <c r="U244" s="4"/>
      <c r="V244" s="4"/>
      <c r="W244" s="4"/>
      <c r="X244" s="4"/>
      <c r="Y244" s="4"/>
      <c r="Z244" s="4"/>
      <c r="AA244" s="21"/>
    </row>
    <row r="245">
      <c r="A245" s="4"/>
      <c r="B245" s="4"/>
      <c r="C245" s="4"/>
      <c r="D245" s="26"/>
      <c r="E245" s="4"/>
      <c r="F245" s="4"/>
      <c r="G245" s="4"/>
      <c r="H245" s="4"/>
      <c r="I245" s="4"/>
      <c r="J245" s="4"/>
      <c r="K245" s="4"/>
      <c r="L245" s="4"/>
      <c r="M245" s="4"/>
      <c r="N245" s="4"/>
      <c r="O245" s="4"/>
      <c r="P245" s="4"/>
      <c r="Q245" s="4"/>
      <c r="R245" s="4"/>
      <c r="S245" s="4"/>
      <c r="T245" s="4"/>
      <c r="U245" s="4"/>
      <c r="V245" s="4"/>
      <c r="W245" s="4"/>
      <c r="X245" s="4"/>
      <c r="Y245" s="4"/>
      <c r="Z245" s="4"/>
      <c r="AA245" s="21"/>
    </row>
    <row r="246">
      <c r="A246" s="4"/>
      <c r="B246" s="4"/>
      <c r="C246" s="4"/>
      <c r="D246" s="26"/>
      <c r="E246" s="4"/>
      <c r="F246" s="4"/>
      <c r="G246" s="4"/>
      <c r="H246" s="4"/>
      <c r="I246" s="4"/>
      <c r="J246" s="4"/>
      <c r="K246" s="4"/>
      <c r="L246" s="4"/>
      <c r="M246" s="4"/>
      <c r="N246" s="4"/>
      <c r="O246" s="4"/>
      <c r="P246" s="4"/>
      <c r="Q246" s="4"/>
      <c r="R246" s="4"/>
      <c r="S246" s="4"/>
      <c r="T246" s="4"/>
      <c r="U246" s="4"/>
      <c r="V246" s="4"/>
      <c r="W246" s="4"/>
      <c r="X246" s="4"/>
      <c r="Y246" s="4"/>
      <c r="Z246" s="4"/>
      <c r="AA246" s="21"/>
    </row>
    <row r="247">
      <c r="A247" s="4"/>
      <c r="B247" s="4"/>
      <c r="C247" s="4"/>
      <c r="D247" s="26"/>
      <c r="E247" s="4"/>
      <c r="F247" s="4"/>
      <c r="G247" s="4"/>
      <c r="H247" s="4"/>
      <c r="I247" s="4"/>
      <c r="J247" s="4"/>
      <c r="K247" s="4"/>
      <c r="L247" s="4"/>
      <c r="M247" s="4"/>
      <c r="N247" s="4"/>
      <c r="O247" s="4"/>
      <c r="P247" s="4"/>
      <c r="Q247" s="4"/>
      <c r="R247" s="4"/>
      <c r="S247" s="4"/>
      <c r="T247" s="4"/>
      <c r="U247" s="4"/>
      <c r="V247" s="4"/>
      <c r="W247" s="4"/>
      <c r="X247" s="4"/>
      <c r="Y247" s="4"/>
      <c r="Z247" s="4"/>
      <c r="AA247" s="21"/>
    </row>
    <row r="248">
      <c r="A248" s="4"/>
      <c r="B248" s="4"/>
      <c r="C248" s="4"/>
      <c r="D248" s="26"/>
      <c r="E248" s="4"/>
      <c r="F248" s="4"/>
      <c r="G248" s="4"/>
      <c r="H248" s="4"/>
      <c r="I248" s="4"/>
      <c r="J248" s="4"/>
      <c r="K248" s="4"/>
      <c r="L248" s="4"/>
      <c r="M248" s="4"/>
      <c r="N248" s="4"/>
      <c r="O248" s="4"/>
      <c r="P248" s="4"/>
      <c r="Q248" s="4"/>
      <c r="R248" s="4"/>
      <c r="S248" s="4"/>
      <c r="T248" s="4"/>
      <c r="U248" s="4"/>
      <c r="V248" s="4"/>
      <c r="W248" s="4"/>
      <c r="X248" s="4"/>
      <c r="Y248" s="4"/>
      <c r="Z248" s="4"/>
      <c r="AA248" s="21"/>
    </row>
    <row r="249">
      <c r="A249" s="4"/>
      <c r="B249" s="4"/>
      <c r="C249" s="4"/>
      <c r="D249" s="26"/>
      <c r="E249" s="4"/>
      <c r="F249" s="4"/>
      <c r="G249" s="4"/>
      <c r="H249" s="4"/>
      <c r="I249" s="4"/>
      <c r="J249" s="4"/>
      <c r="K249" s="4"/>
      <c r="L249" s="4"/>
      <c r="M249" s="4"/>
      <c r="N249" s="4"/>
      <c r="O249" s="4"/>
      <c r="P249" s="4"/>
      <c r="Q249" s="4"/>
      <c r="R249" s="4"/>
      <c r="S249" s="4"/>
      <c r="T249" s="4"/>
      <c r="U249" s="4"/>
      <c r="V249" s="4"/>
      <c r="W249" s="4"/>
      <c r="X249" s="4"/>
      <c r="Y249" s="4"/>
      <c r="Z249" s="4"/>
      <c r="AA249" s="21"/>
    </row>
    <row r="250">
      <c r="A250" s="4"/>
      <c r="B250" s="4"/>
      <c r="C250" s="4"/>
      <c r="D250" s="26"/>
      <c r="E250" s="4"/>
      <c r="F250" s="4"/>
      <c r="G250" s="4"/>
      <c r="H250" s="4"/>
      <c r="I250" s="4"/>
      <c r="J250" s="4"/>
      <c r="K250" s="4"/>
      <c r="L250" s="4"/>
      <c r="M250" s="4"/>
      <c r="N250" s="4"/>
      <c r="O250" s="4"/>
      <c r="P250" s="4"/>
      <c r="Q250" s="4"/>
      <c r="R250" s="4"/>
      <c r="S250" s="4"/>
      <c r="T250" s="4"/>
      <c r="U250" s="4"/>
      <c r="V250" s="4"/>
      <c r="W250" s="4"/>
      <c r="X250" s="4"/>
      <c r="Y250" s="4"/>
      <c r="Z250" s="4"/>
      <c r="AA250" s="21"/>
    </row>
    <row r="251">
      <c r="A251" s="4"/>
      <c r="B251" s="4"/>
      <c r="C251" s="4"/>
      <c r="D251" s="26"/>
      <c r="E251" s="4"/>
      <c r="F251" s="4"/>
      <c r="G251" s="4"/>
      <c r="H251" s="4"/>
      <c r="I251" s="4"/>
      <c r="J251" s="4"/>
      <c r="K251" s="4"/>
      <c r="L251" s="4"/>
      <c r="M251" s="4"/>
      <c r="N251" s="4"/>
      <c r="O251" s="4"/>
      <c r="P251" s="4"/>
      <c r="Q251" s="4"/>
      <c r="R251" s="4"/>
      <c r="S251" s="4"/>
      <c r="T251" s="4"/>
      <c r="U251" s="4"/>
      <c r="V251" s="4"/>
      <c r="W251" s="4"/>
      <c r="X251" s="4"/>
      <c r="Y251" s="4"/>
      <c r="Z251" s="4"/>
      <c r="AA251" s="21"/>
    </row>
    <row r="252">
      <c r="A252" s="4"/>
      <c r="B252" s="4"/>
      <c r="C252" s="4"/>
      <c r="D252" s="26"/>
      <c r="E252" s="4"/>
      <c r="F252" s="4"/>
      <c r="G252" s="4"/>
      <c r="H252" s="4"/>
      <c r="I252" s="4"/>
      <c r="J252" s="4"/>
      <c r="K252" s="4"/>
      <c r="L252" s="4"/>
      <c r="M252" s="4"/>
      <c r="N252" s="4"/>
      <c r="O252" s="4"/>
      <c r="P252" s="4"/>
      <c r="Q252" s="4"/>
      <c r="R252" s="4"/>
      <c r="S252" s="4"/>
      <c r="T252" s="4"/>
      <c r="U252" s="4"/>
      <c r="V252" s="4"/>
      <c r="W252" s="4"/>
      <c r="X252" s="4"/>
      <c r="Y252" s="4"/>
      <c r="Z252" s="4"/>
      <c r="AA252" s="21"/>
    </row>
    <row r="253">
      <c r="A253" s="4"/>
      <c r="B253" s="4"/>
      <c r="C253" s="4"/>
      <c r="D253" s="26"/>
      <c r="E253" s="4"/>
      <c r="F253" s="4"/>
      <c r="G253" s="4"/>
      <c r="H253" s="4"/>
      <c r="I253" s="4"/>
      <c r="J253" s="4"/>
      <c r="K253" s="4"/>
      <c r="L253" s="4"/>
      <c r="M253" s="4"/>
      <c r="N253" s="4"/>
      <c r="O253" s="4"/>
      <c r="P253" s="4"/>
      <c r="Q253" s="4"/>
      <c r="R253" s="4"/>
      <c r="S253" s="4"/>
      <c r="T253" s="4"/>
      <c r="U253" s="4"/>
      <c r="V253" s="4"/>
      <c r="W253" s="4"/>
      <c r="X253" s="4"/>
      <c r="Y253" s="4"/>
      <c r="Z253" s="4"/>
      <c r="AA253" s="21"/>
    </row>
    <row r="254">
      <c r="A254" s="4"/>
      <c r="B254" s="4"/>
      <c r="C254" s="4"/>
      <c r="D254" s="26"/>
      <c r="E254" s="4"/>
      <c r="F254" s="4"/>
      <c r="G254" s="4"/>
      <c r="H254" s="4"/>
      <c r="I254" s="4"/>
      <c r="J254" s="4"/>
      <c r="K254" s="4"/>
      <c r="L254" s="4"/>
      <c r="M254" s="4"/>
      <c r="N254" s="4"/>
      <c r="O254" s="4"/>
      <c r="P254" s="4"/>
      <c r="Q254" s="4"/>
      <c r="R254" s="4"/>
      <c r="S254" s="4"/>
      <c r="T254" s="4"/>
      <c r="U254" s="4"/>
      <c r="V254" s="4"/>
      <c r="W254" s="4"/>
      <c r="X254" s="4"/>
      <c r="Y254" s="4"/>
      <c r="Z254" s="4"/>
      <c r="AA254" s="21"/>
    </row>
    <row r="255">
      <c r="A255" s="4"/>
      <c r="B255" s="4"/>
      <c r="C255" s="4"/>
      <c r="D255" s="26"/>
      <c r="E255" s="4"/>
      <c r="F255" s="4"/>
      <c r="G255" s="4"/>
      <c r="H255" s="4"/>
      <c r="I255" s="4"/>
      <c r="J255" s="4"/>
      <c r="K255" s="4"/>
      <c r="L255" s="4"/>
      <c r="M255" s="4"/>
      <c r="N255" s="4"/>
      <c r="O255" s="4"/>
      <c r="P255" s="4"/>
      <c r="Q255" s="4"/>
      <c r="R255" s="4"/>
      <c r="S255" s="4"/>
      <c r="T255" s="4"/>
      <c r="U255" s="4"/>
      <c r="V255" s="4"/>
      <c r="W255" s="4"/>
      <c r="X255" s="4"/>
      <c r="Y255" s="4"/>
      <c r="Z255" s="4"/>
      <c r="AA255" s="21"/>
    </row>
    <row r="256">
      <c r="A256" s="4"/>
      <c r="B256" s="4"/>
      <c r="C256" s="4"/>
      <c r="D256" s="26"/>
      <c r="E256" s="4"/>
      <c r="F256" s="4"/>
      <c r="G256" s="4"/>
      <c r="H256" s="4"/>
      <c r="I256" s="4"/>
      <c r="J256" s="4"/>
      <c r="K256" s="4"/>
      <c r="L256" s="4"/>
      <c r="M256" s="4"/>
      <c r="N256" s="4"/>
      <c r="O256" s="4"/>
      <c r="P256" s="4"/>
      <c r="Q256" s="4"/>
      <c r="R256" s="4"/>
      <c r="S256" s="4"/>
      <c r="T256" s="4"/>
      <c r="U256" s="4"/>
      <c r="V256" s="4"/>
      <c r="W256" s="4"/>
      <c r="X256" s="4"/>
      <c r="Y256" s="4"/>
      <c r="Z256" s="4"/>
      <c r="AA256" s="21"/>
    </row>
    <row r="257">
      <c r="A257" s="4"/>
      <c r="B257" s="4"/>
      <c r="C257" s="4"/>
      <c r="D257" s="26"/>
      <c r="E257" s="4"/>
      <c r="F257" s="4"/>
      <c r="G257" s="4"/>
      <c r="H257" s="4"/>
      <c r="I257" s="4"/>
      <c r="J257" s="4"/>
      <c r="K257" s="4"/>
      <c r="L257" s="4"/>
      <c r="M257" s="4"/>
      <c r="N257" s="4"/>
      <c r="O257" s="4"/>
      <c r="P257" s="4"/>
      <c r="Q257" s="4"/>
      <c r="R257" s="4"/>
      <c r="S257" s="4"/>
      <c r="T257" s="4"/>
      <c r="U257" s="4"/>
      <c r="V257" s="4"/>
      <c r="W257" s="4"/>
      <c r="X257" s="4"/>
      <c r="Y257" s="4"/>
      <c r="Z257" s="4"/>
      <c r="AA257" s="21"/>
    </row>
    <row r="258">
      <c r="A258" s="4"/>
      <c r="B258" s="4"/>
      <c r="C258" s="4"/>
      <c r="D258" s="26"/>
      <c r="E258" s="4"/>
      <c r="F258" s="4"/>
      <c r="G258" s="4"/>
      <c r="H258" s="4"/>
      <c r="I258" s="4"/>
      <c r="J258" s="4"/>
      <c r="K258" s="4"/>
      <c r="L258" s="4"/>
      <c r="M258" s="4"/>
      <c r="N258" s="4"/>
      <c r="O258" s="4"/>
      <c r="P258" s="4"/>
      <c r="Q258" s="4"/>
      <c r="R258" s="4"/>
      <c r="S258" s="4"/>
      <c r="T258" s="4"/>
      <c r="U258" s="4"/>
      <c r="V258" s="4"/>
      <c r="W258" s="4"/>
      <c r="X258" s="4"/>
      <c r="Y258" s="4"/>
      <c r="Z258" s="4"/>
      <c r="AA258" s="21"/>
    </row>
    <row r="259">
      <c r="A259" s="4"/>
      <c r="B259" s="4"/>
      <c r="C259" s="4"/>
      <c r="D259" s="26"/>
      <c r="E259" s="4"/>
      <c r="F259" s="4"/>
      <c r="G259" s="4"/>
      <c r="H259" s="4"/>
      <c r="I259" s="4"/>
      <c r="J259" s="4"/>
      <c r="K259" s="4"/>
      <c r="L259" s="4"/>
      <c r="M259" s="4"/>
      <c r="N259" s="4"/>
      <c r="O259" s="4"/>
      <c r="P259" s="4"/>
      <c r="Q259" s="4"/>
      <c r="R259" s="4"/>
      <c r="S259" s="4"/>
      <c r="T259" s="4"/>
      <c r="U259" s="4"/>
      <c r="V259" s="4"/>
      <c r="W259" s="4"/>
      <c r="X259" s="4"/>
      <c r="Y259" s="4"/>
      <c r="Z259" s="4"/>
      <c r="AA259" s="21"/>
    </row>
    <row r="260">
      <c r="A260" s="4"/>
      <c r="B260" s="4"/>
      <c r="C260" s="4"/>
      <c r="D260" s="26"/>
      <c r="E260" s="4"/>
      <c r="F260" s="4"/>
      <c r="G260" s="4"/>
      <c r="H260" s="4"/>
      <c r="I260" s="4"/>
      <c r="J260" s="4"/>
      <c r="K260" s="4"/>
      <c r="L260" s="4"/>
      <c r="M260" s="4"/>
      <c r="N260" s="4"/>
      <c r="O260" s="4"/>
      <c r="P260" s="4"/>
      <c r="Q260" s="4"/>
      <c r="R260" s="4"/>
      <c r="S260" s="4"/>
      <c r="T260" s="4"/>
      <c r="U260" s="4"/>
      <c r="V260" s="4"/>
      <c r="W260" s="4"/>
      <c r="X260" s="4"/>
      <c r="Y260" s="4"/>
      <c r="Z260" s="4"/>
      <c r="AA260" s="21"/>
    </row>
    <row r="261">
      <c r="A261" s="4"/>
      <c r="B261" s="4"/>
      <c r="C261" s="4"/>
      <c r="D261" s="26"/>
      <c r="E261" s="4"/>
      <c r="F261" s="4"/>
      <c r="G261" s="4"/>
      <c r="H261" s="4"/>
      <c r="I261" s="4"/>
      <c r="J261" s="4"/>
      <c r="K261" s="4"/>
      <c r="L261" s="4"/>
      <c r="M261" s="4"/>
      <c r="N261" s="4"/>
      <c r="O261" s="4"/>
      <c r="P261" s="4"/>
      <c r="Q261" s="4"/>
      <c r="R261" s="4"/>
      <c r="S261" s="4"/>
      <c r="T261" s="4"/>
      <c r="U261" s="4"/>
      <c r="V261" s="4"/>
      <c r="W261" s="4"/>
      <c r="X261" s="4"/>
      <c r="Y261" s="4"/>
      <c r="Z261" s="4"/>
      <c r="AA261" s="21"/>
    </row>
    <row r="262">
      <c r="A262" s="4"/>
      <c r="B262" s="4"/>
      <c r="C262" s="4"/>
      <c r="D262" s="26"/>
      <c r="E262" s="4"/>
      <c r="F262" s="4"/>
      <c r="G262" s="4"/>
      <c r="H262" s="4"/>
      <c r="I262" s="4"/>
      <c r="J262" s="4"/>
      <c r="K262" s="4"/>
      <c r="L262" s="4"/>
      <c r="M262" s="4"/>
      <c r="N262" s="4"/>
      <c r="O262" s="4"/>
      <c r="P262" s="4"/>
      <c r="Q262" s="4"/>
      <c r="R262" s="4"/>
      <c r="S262" s="4"/>
      <c r="T262" s="4"/>
      <c r="U262" s="4"/>
      <c r="V262" s="4"/>
      <c r="W262" s="4"/>
      <c r="X262" s="4"/>
      <c r="Y262" s="4"/>
      <c r="Z262" s="4"/>
      <c r="AA262" s="21"/>
    </row>
    <row r="263">
      <c r="A263" s="4"/>
      <c r="B263" s="4"/>
      <c r="C263" s="4"/>
      <c r="D263" s="26"/>
      <c r="E263" s="4"/>
      <c r="F263" s="4"/>
      <c r="G263" s="4"/>
      <c r="H263" s="4"/>
      <c r="I263" s="4"/>
      <c r="J263" s="4"/>
      <c r="K263" s="4"/>
      <c r="L263" s="4"/>
      <c r="M263" s="4"/>
      <c r="N263" s="4"/>
      <c r="O263" s="4"/>
      <c r="P263" s="4"/>
      <c r="Q263" s="4"/>
      <c r="R263" s="4"/>
      <c r="S263" s="4"/>
      <c r="T263" s="4"/>
      <c r="U263" s="4"/>
      <c r="V263" s="4"/>
      <c r="W263" s="4"/>
      <c r="X263" s="4"/>
      <c r="Y263" s="4"/>
      <c r="Z263" s="4"/>
      <c r="AA263" s="21"/>
    </row>
    <row r="264">
      <c r="A264" s="4"/>
      <c r="B264" s="4"/>
      <c r="C264" s="4"/>
      <c r="D264" s="26"/>
      <c r="E264" s="4"/>
      <c r="F264" s="4"/>
      <c r="G264" s="4"/>
      <c r="H264" s="4"/>
      <c r="I264" s="4"/>
      <c r="J264" s="4"/>
      <c r="K264" s="4"/>
      <c r="L264" s="4"/>
      <c r="M264" s="4"/>
      <c r="N264" s="4"/>
      <c r="O264" s="4"/>
      <c r="P264" s="4"/>
      <c r="Q264" s="4"/>
      <c r="R264" s="4"/>
      <c r="S264" s="4"/>
      <c r="T264" s="4"/>
      <c r="U264" s="4"/>
      <c r="V264" s="4"/>
      <c r="W264" s="4"/>
      <c r="X264" s="4"/>
      <c r="Y264" s="4"/>
      <c r="Z264" s="4"/>
      <c r="AA264" s="21"/>
    </row>
    <row r="265">
      <c r="A265" s="4"/>
      <c r="B265" s="4"/>
      <c r="C265" s="4"/>
      <c r="D265" s="26"/>
      <c r="E265" s="4"/>
      <c r="F265" s="4"/>
      <c r="G265" s="4"/>
      <c r="H265" s="4"/>
      <c r="I265" s="4"/>
      <c r="J265" s="4"/>
      <c r="K265" s="4"/>
      <c r="L265" s="4"/>
      <c r="M265" s="4"/>
      <c r="N265" s="4"/>
      <c r="O265" s="4"/>
      <c r="P265" s="4"/>
      <c r="Q265" s="4"/>
      <c r="R265" s="4"/>
      <c r="S265" s="4"/>
      <c r="T265" s="4"/>
      <c r="U265" s="4"/>
      <c r="V265" s="4"/>
      <c r="W265" s="4"/>
      <c r="X265" s="4"/>
      <c r="Y265" s="4"/>
      <c r="Z265" s="4"/>
      <c r="AA265" s="21"/>
    </row>
    <row r="266">
      <c r="A266" s="4"/>
      <c r="B266" s="4"/>
      <c r="C266" s="4"/>
      <c r="D266" s="26"/>
      <c r="E266" s="4"/>
      <c r="F266" s="4"/>
      <c r="G266" s="4"/>
      <c r="H266" s="4"/>
      <c r="I266" s="4"/>
      <c r="J266" s="4"/>
      <c r="K266" s="4"/>
      <c r="L266" s="4"/>
      <c r="M266" s="4"/>
      <c r="N266" s="4"/>
      <c r="O266" s="4"/>
      <c r="P266" s="4"/>
      <c r="Q266" s="4"/>
      <c r="R266" s="4"/>
      <c r="S266" s="4"/>
      <c r="T266" s="4"/>
      <c r="U266" s="4"/>
      <c r="V266" s="4"/>
      <c r="W266" s="4"/>
      <c r="X266" s="4"/>
      <c r="Y266" s="4"/>
      <c r="Z266" s="4"/>
      <c r="AA266" s="21"/>
    </row>
    <row r="267">
      <c r="A267" s="4"/>
      <c r="B267" s="4"/>
      <c r="C267" s="4"/>
      <c r="D267" s="26"/>
      <c r="E267" s="4"/>
      <c r="F267" s="4"/>
      <c r="G267" s="4"/>
      <c r="H267" s="4"/>
      <c r="I267" s="4"/>
      <c r="J267" s="4"/>
      <c r="K267" s="4"/>
      <c r="L267" s="4"/>
      <c r="M267" s="4"/>
      <c r="N267" s="4"/>
      <c r="O267" s="4"/>
      <c r="P267" s="4"/>
      <c r="Q267" s="4"/>
      <c r="R267" s="4"/>
      <c r="S267" s="4"/>
      <c r="T267" s="4"/>
      <c r="U267" s="4"/>
      <c r="V267" s="4"/>
      <c r="W267" s="4"/>
      <c r="X267" s="4"/>
      <c r="Y267" s="4"/>
      <c r="Z267" s="4"/>
      <c r="AA267" s="21"/>
    </row>
    <row r="268">
      <c r="A268" s="4"/>
      <c r="B268" s="4"/>
      <c r="C268" s="4"/>
      <c r="D268" s="26"/>
      <c r="E268" s="4"/>
      <c r="F268" s="4"/>
      <c r="G268" s="4"/>
      <c r="H268" s="4"/>
      <c r="I268" s="4"/>
      <c r="J268" s="4"/>
      <c r="K268" s="4"/>
      <c r="L268" s="4"/>
      <c r="M268" s="4"/>
      <c r="N268" s="4"/>
      <c r="O268" s="4"/>
      <c r="P268" s="4"/>
      <c r="Q268" s="4"/>
      <c r="R268" s="4"/>
      <c r="S268" s="4"/>
      <c r="T268" s="4"/>
      <c r="U268" s="4"/>
      <c r="V268" s="4"/>
      <c r="W268" s="4"/>
      <c r="X268" s="4"/>
      <c r="Y268" s="4"/>
      <c r="Z268" s="4"/>
      <c r="AA268" s="21"/>
    </row>
    <row r="269">
      <c r="A269" s="4"/>
      <c r="B269" s="4"/>
      <c r="C269" s="4"/>
      <c r="D269" s="26"/>
      <c r="E269" s="4"/>
      <c r="F269" s="4"/>
      <c r="G269" s="4"/>
      <c r="H269" s="4"/>
      <c r="I269" s="4"/>
      <c r="J269" s="4"/>
      <c r="K269" s="4"/>
      <c r="L269" s="4"/>
      <c r="M269" s="4"/>
      <c r="N269" s="4"/>
      <c r="O269" s="4"/>
      <c r="P269" s="4"/>
      <c r="Q269" s="4"/>
      <c r="R269" s="4"/>
      <c r="S269" s="4"/>
      <c r="T269" s="4"/>
      <c r="U269" s="4"/>
      <c r="V269" s="4"/>
      <c r="W269" s="4"/>
      <c r="X269" s="4"/>
      <c r="Y269" s="4"/>
      <c r="Z269" s="4"/>
      <c r="AA269" s="21"/>
    </row>
    <row r="270">
      <c r="A270" s="4"/>
      <c r="B270" s="4"/>
      <c r="C270" s="4"/>
      <c r="D270" s="26"/>
      <c r="E270" s="4"/>
      <c r="F270" s="4"/>
      <c r="G270" s="4"/>
      <c r="H270" s="4"/>
      <c r="I270" s="4"/>
      <c r="J270" s="4"/>
      <c r="K270" s="4"/>
      <c r="L270" s="4"/>
      <c r="M270" s="4"/>
      <c r="N270" s="4"/>
      <c r="O270" s="4"/>
      <c r="P270" s="4"/>
      <c r="Q270" s="4"/>
      <c r="R270" s="4"/>
      <c r="S270" s="4"/>
      <c r="T270" s="4"/>
      <c r="U270" s="4"/>
      <c r="V270" s="4"/>
      <c r="W270" s="4"/>
      <c r="X270" s="4"/>
      <c r="Y270" s="4"/>
      <c r="Z270" s="4"/>
      <c r="AA270" s="21"/>
    </row>
    <row r="271">
      <c r="A271" s="4"/>
      <c r="B271" s="4"/>
      <c r="C271" s="4"/>
      <c r="D271" s="26"/>
      <c r="E271" s="4"/>
      <c r="F271" s="4"/>
      <c r="G271" s="4"/>
      <c r="H271" s="4"/>
      <c r="I271" s="4"/>
      <c r="J271" s="4"/>
      <c r="K271" s="4"/>
      <c r="L271" s="4"/>
      <c r="M271" s="4"/>
      <c r="N271" s="4"/>
      <c r="O271" s="4"/>
      <c r="P271" s="4"/>
      <c r="Q271" s="4"/>
      <c r="R271" s="4"/>
      <c r="S271" s="4"/>
      <c r="T271" s="4"/>
      <c r="U271" s="4"/>
      <c r="V271" s="4"/>
      <c r="W271" s="4"/>
      <c r="X271" s="4"/>
      <c r="Y271" s="4"/>
      <c r="Z271" s="4"/>
      <c r="AA271" s="21"/>
    </row>
    <row r="272">
      <c r="A272" s="4"/>
      <c r="B272" s="4"/>
      <c r="C272" s="4"/>
      <c r="D272" s="26"/>
      <c r="E272" s="4"/>
      <c r="F272" s="4"/>
      <c r="G272" s="4"/>
      <c r="H272" s="4"/>
      <c r="I272" s="4"/>
      <c r="J272" s="4"/>
      <c r="K272" s="4"/>
      <c r="L272" s="4"/>
      <c r="M272" s="4"/>
      <c r="N272" s="4"/>
      <c r="O272" s="4"/>
      <c r="P272" s="4"/>
      <c r="Q272" s="4"/>
      <c r="R272" s="4"/>
      <c r="S272" s="4"/>
      <c r="T272" s="4"/>
      <c r="U272" s="4"/>
      <c r="V272" s="4"/>
      <c r="W272" s="4"/>
      <c r="X272" s="4"/>
      <c r="Y272" s="4"/>
      <c r="Z272" s="4"/>
      <c r="AA272" s="21"/>
    </row>
    <row r="273">
      <c r="A273" s="4"/>
      <c r="B273" s="4"/>
      <c r="C273" s="4"/>
      <c r="D273" s="26"/>
      <c r="E273" s="4"/>
      <c r="F273" s="4"/>
      <c r="G273" s="4"/>
      <c r="H273" s="4"/>
      <c r="I273" s="4"/>
      <c r="J273" s="4"/>
      <c r="K273" s="4"/>
      <c r="L273" s="4"/>
      <c r="M273" s="4"/>
      <c r="N273" s="4"/>
      <c r="O273" s="4"/>
      <c r="P273" s="4"/>
      <c r="Q273" s="4"/>
      <c r="R273" s="4"/>
      <c r="S273" s="4"/>
      <c r="T273" s="4"/>
      <c r="U273" s="4"/>
      <c r="V273" s="4"/>
      <c r="W273" s="4"/>
      <c r="X273" s="4"/>
      <c r="Y273" s="4"/>
      <c r="Z273" s="4"/>
      <c r="AA273" s="21"/>
    </row>
    <row r="274">
      <c r="A274" s="4"/>
      <c r="B274" s="4"/>
      <c r="C274" s="4"/>
      <c r="D274" s="26"/>
      <c r="E274" s="4"/>
      <c r="F274" s="4"/>
      <c r="G274" s="4"/>
      <c r="H274" s="4"/>
      <c r="I274" s="4"/>
      <c r="J274" s="4"/>
      <c r="K274" s="4"/>
      <c r="L274" s="4"/>
      <c r="M274" s="4"/>
      <c r="N274" s="4"/>
      <c r="O274" s="4"/>
      <c r="P274" s="4"/>
      <c r="Q274" s="4"/>
      <c r="R274" s="4"/>
      <c r="S274" s="4"/>
      <c r="T274" s="4"/>
      <c r="U274" s="4"/>
      <c r="V274" s="4"/>
      <c r="W274" s="4"/>
      <c r="X274" s="4"/>
      <c r="Y274" s="4"/>
      <c r="Z274" s="4"/>
      <c r="AA274" s="21"/>
    </row>
    <row r="275">
      <c r="A275" s="4"/>
      <c r="B275" s="4"/>
      <c r="C275" s="4"/>
      <c r="D275" s="26"/>
      <c r="E275" s="4"/>
      <c r="F275" s="4"/>
      <c r="G275" s="4"/>
      <c r="H275" s="4"/>
      <c r="I275" s="4"/>
      <c r="J275" s="4"/>
      <c r="K275" s="4"/>
      <c r="L275" s="4"/>
      <c r="M275" s="4"/>
      <c r="N275" s="4"/>
      <c r="O275" s="4"/>
      <c r="P275" s="4"/>
      <c r="Q275" s="4"/>
      <c r="R275" s="4"/>
      <c r="S275" s="4"/>
      <c r="T275" s="4"/>
      <c r="U275" s="4"/>
      <c r="V275" s="4"/>
      <c r="W275" s="4"/>
      <c r="X275" s="4"/>
      <c r="Y275" s="4"/>
      <c r="Z275" s="4"/>
      <c r="AA275" s="21"/>
    </row>
    <row r="276">
      <c r="A276" s="4"/>
      <c r="B276" s="4"/>
      <c r="C276" s="4"/>
      <c r="D276" s="26"/>
      <c r="E276" s="4"/>
      <c r="F276" s="4"/>
      <c r="G276" s="4"/>
      <c r="H276" s="4"/>
      <c r="I276" s="4"/>
      <c r="J276" s="4"/>
      <c r="K276" s="4"/>
      <c r="L276" s="4"/>
      <c r="M276" s="4"/>
      <c r="N276" s="4"/>
      <c r="O276" s="4"/>
      <c r="P276" s="4"/>
      <c r="Q276" s="4"/>
      <c r="R276" s="4"/>
      <c r="S276" s="4"/>
      <c r="T276" s="4"/>
      <c r="U276" s="4"/>
      <c r="V276" s="4"/>
      <c r="W276" s="4"/>
      <c r="X276" s="4"/>
      <c r="Y276" s="4"/>
      <c r="Z276" s="4"/>
      <c r="AA276" s="21"/>
    </row>
    <row r="277">
      <c r="A277" s="4"/>
      <c r="B277" s="4"/>
      <c r="C277" s="4"/>
      <c r="D277" s="26"/>
      <c r="E277" s="4"/>
      <c r="F277" s="4"/>
      <c r="G277" s="4"/>
      <c r="H277" s="4"/>
      <c r="I277" s="4"/>
      <c r="J277" s="4"/>
      <c r="K277" s="4"/>
      <c r="L277" s="4"/>
      <c r="M277" s="4"/>
      <c r="N277" s="4"/>
      <c r="O277" s="4"/>
      <c r="P277" s="4"/>
      <c r="Q277" s="4"/>
      <c r="R277" s="4"/>
      <c r="S277" s="4"/>
      <c r="T277" s="4"/>
      <c r="U277" s="4"/>
      <c r="V277" s="4"/>
      <c r="W277" s="4"/>
      <c r="X277" s="4"/>
      <c r="Y277" s="4"/>
      <c r="Z277" s="4"/>
      <c r="AA277" s="21"/>
    </row>
    <row r="278">
      <c r="A278" s="4"/>
      <c r="B278" s="4"/>
      <c r="C278" s="4"/>
      <c r="D278" s="26"/>
      <c r="E278" s="4"/>
      <c r="F278" s="4"/>
      <c r="G278" s="4"/>
      <c r="H278" s="4"/>
      <c r="I278" s="4"/>
      <c r="J278" s="4"/>
      <c r="K278" s="4"/>
      <c r="L278" s="4"/>
      <c r="M278" s="4"/>
      <c r="N278" s="4"/>
      <c r="O278" s="4"/>
      <c r="P278" s="4"/>
      <c r="Q278" s="4"/>
      <c r="R278" s="4"/>
      <c r="S278" s="4"/>
      <c r="T278" s="4"/>
      <c r="U278" s="4"/>
      <c r="V278" s="4"/>
      <c r="W278" s="4"/>
      <c r="X278" s="4"/>
      <c r="Y278" s="4"/>
      <c r="Z278" s="4"/>
      <c r="AA278" s="21"/>
    </row>
    <row r="279">
      <c r="A279" s="4"/>
      <c r="B279" s="4"/>
      <c r="C279" s="4"/>
      <c r="D279" s="26"/>
      <c r="E279" s="4"/>
      <c r="F279" s="4"/>
      <c r="G279" s="4"/>
      <c r="H279" s="4"/>
      <c r="I279" s="4"/>
      <c r="J279" s="4"/>
      <c r="K279" s="4"/>
      <c r="L279" s="4"/>
      <c r="M279" s="4"/>
      <c r="N279" s="4"/>
      <c r="O279" s="4"/>
      <c r="P279" s="4"/>
      <c r="Q279" s="4"/>
      <c r="R279" s="4"/>
      <c r="S279" s="4"/>
      <c r="T279" s="4"/>
      <c r="U279" s="4"/>
      <c r="V279" s="4"/>
      <c r="W279" s="4"/>
      <c r="X279" s="4"/>
      <c r="Y279" s="4"/>
      <c r="Z279" s="4"/>
      <c r="AA279" s="21"/>
    </row>
    <row r="280">
      <c r="A280" s="4"/>
      <c r="B280" s="4"/>
      <c r="C280" s="4"/>
      <c r="D280" s="26"/>
      <c r="E280" s="4"/>
      <c r="F280" s="4"/>
      <c r="G280" s="4"/>
      <c r="H280" s="4"/>
      <c r="I280" s="4"/>
      <c r="J280" s="4"/>
      <c r="K280" s="4"/>
      <c r="L280" s="4"/>
      <c r="M280" s="4"/>
      <c r="N280" s="4"/>
      <c r="O280" s="4"/>
      <c r="P280" s="4"/>
      <c r="Q280" s="4"/>
      <c r="R280" s="4"/>
      <c r="S280" s="4"/>
      <c r="T280" s="4"/>
      <c r="U280" s="4"/>
      <c r="V280" s="4"/>
      <c r="W280" s="4"/>
      <c r="X280" s="4"/>
      <c r="Y280" s="4"/>
      <c r="Z280" s="4"/>
      <c r="AA280" s="21"/>
    </row>
    <row r="281">
      <c r="A281" s="4"/>
      <c r="B281" s="4"/>
      <c r="C281" s="4"/>
      <c r="D281" s="26"/>
      <c r="E281" s="4"/>
      <c r="F281" s="4"/>
      <c r="G281" s="4"/>
      <c r="H281" s="4"/>
      <c r="I281" s="4"/>
      <c r="J281" s="4"/>
      <c r="K281" s="4"/>
      <c r="L281" s="4"/>
      <c r="M281" s="4"/>
      <c r="N281" s="4"/>
      <c r="O281" s="4"/>
      <c r="P281" s="4"/>
      <c r="Q281" s="4"/>
      <c r="R281" s="4"/>
      <c r="S281" s="4"/>
      <c r="T281" s="4"/>
      <c r="U281" s="4"/>
      <c r="V281" s="4"/>
      <c r="W281" s="4"/>
      <c r="X281" s="4"/>
      <c r="Y281" s="4"/>
      <c r="Z281" s="4"/>
      <c r="AA281" s="21"/>
    </row>
    <row r="282">
      <c r="A282" s="4"/>
      <c r="B282" s="4"/>
      <c r="C282" s="4"/>
      <c r="D282" s="26"/>
      <c r="E282" s="4"/>
      <c r="F282" s="4"/>
      <c r="G282" s="4"/>
      <c r="H282" s="4"/>
      <c r="I282" s="4"/>
      <c r="J282" s="4"/>
      <c r="K282" s="4"/>
      <c r="L282" s="4"/>
      <c r="M282" s="4"/>
      <c r="N282" s="4"/>
      <c r="O282" s="4"/>
      <c r="P282" s="4"/>
      <c r="Q282" s="4"/>
      <c r="R282" s="4"/>
      <c r="S282" s="4"/>
      <c r="T282" s="4"/>
      <c r="U282" s="4"/>
      <c r="V282" s="4"/>
      <c r="W282" s="4"/>
      <c r="X282" s="4"/>
      <c r="Y282" s="4"/>
      <c r="Z282" s="4"/>
      <c r="AA282" s="21"/>
    </row>
    <row r="283">
      <c r="A283" s="4"/>
      <c r="B283" s="4"/>
      <c r="C283" s="4"/>
      <c r="D283" s="26"/>
      <c r="E283" s="4"/>
      <c r="F283" s="4"/>
      <c r="G283" s="4"/>
      <c r="H283" s="4"/>
      <c r="I283" s="4"/>
      <c r="J283" s="4"/>
      <c r="K283" s="4"/>
      <c r="L283" s="4"/>
      <c r="M283" s="4"/>
      <c r="N283" s="4"/>
      <c r="O283" s="4"/>
      <c r="P283" s="4"/>
      <c r="Q283" s="4"/>
      <c r="R283" s="4"/>
      <c r="S283" s="4"/>
      <c r="T283" s="4"/>
      <c r="U283" s="4"/>
      <c r="V283" s="4"/>
      <c r="W283" s="4"/>
      <c r="X283" s="4"/>
      <c r="Y283" s="4"/>
      <c r="Z283" s="4"/>
      <c r="AA283" s="21"/>
    </row>
    <row r="284">
      <c r="A284" s="4"/>
      <c r="B284" s="4"/>
      <c r="C284" s="4"/>
      <c r="D284" s="26"/>
      <c r="E284" s="4"/>
      <c r="F284" s="4"/>
      <c r="G284" s="4"/>
      <c r="H284" s="4"/>
      <c r="I284" s="4"/>
      <c r="J284" s="4"/>
      <c r="K284" s="4"/>
      <c r="L284" s="4"/>
      <c r="M284" s="4"/>
      <c r="N284" s="4"/>
      <c r="O284" s="4"/>
      <c r="P284" s="4"/>
      <c r="Q284" s="4"/>
      <c r="R284" s="4"/>
      <c r="S284" s="4"/>
      <c r="T284" s="4"/>
      <c r="U284" s="4"/>
      <c r="V284" s="4"/>
      <c r="W284" s="4"/>
      <c r="X284" s="4"/>
      <c r="Y284" s="4"/>
      <c r="Z284" s="4"/>
      <c r="AA284" s="21"/>
    </row>
    <row r="285">
      <c r="A285" s="4"/>
      <c r="B285" s="4"/>
      <c r="C285" s="4"/>
      <c r="D285" s="26"/>
      <c r="E285" s="4"/>
      <c r="F285" s="4"/>
      <c r="G285" s="4"/>
      <c r="H285" s="4"/>
      <c r="I285" s="4"/>
      <c r="J285" s="4"/>
      <c r="K285" s="4"/>
      <c r="L285" s="4"/>
      <c r="M285" s="4"/>
      <c r="N285" s="4"/>
      <c r="O285" s="4"/>
      <c r="P285" s="4"/>
      <c r="Q285" s="4"/>
      <c r="R285" s="4"/>
      <c r="S285" s="4"/>
      <c r="T285" s="4"/>
      <c r="U285" s="4"/>
      <c r="V285" s="4"/>
      <c r="W285" s="4"/>
      <c r="X285" s="4"/>
      <c r="Y285" s="4"/>
      <c r="Z285" s="4"/>
      <c r="AA285" s="21"/>
    </row>
    <row r="286">
      <c r="A286" s="4"/>
      <c r="B286" s="4"/>
      <c r="C286" s="4"/>
      <c r="D286" s="26"/>
      <c r="E286" s="4"/>
      <c r="F286" s="4"/>
      <c r="G286" s="4"/>
      <c r="H286" s="4"/>
      <c r="I286" s="4"/>
      <c r="J286" s="4"/>
      <c r="K286" s="4"/>
      <c r="L286" s="4"/>
      <c r="M286" s="4"/>
      <c r="N286" s="4"/>
      <c r="O286" s="4"/>
      <c r="P286" s="4"/>
      <c r="Q286" s="4"/>
      <c r="R286" s="4"/>
      <c r="S286" s="4"/>
      <c r="T286" s="4"/>
      <c r="U286" s="4"/>
      <c r="V286" s="4"/>
      <c r="W286" s="4"/>
      <c r="X286" s="4"/>
      <c r="Y286" s="4"/>
      <c r="Z286" s="4"/>
      <c r="AA286" s="21"/>
    </row>
    <row r="287">
      <c r="A287" s="4"/>
      <c r="B287" s="4"/>
      <c r="C287" s="4"/>
      <c r="D287" s="26"/>
      <c r="E287" s="4"/>
      <c r="F287" s="4"/>
      <c r="G287" s="4"/>
      <c r="H287" s="4"/>
      <c r="I287" s="4"/>
      <c r="J287" s="4"/>
      <c r="K287" s="4"/>
      <c r="L287" s="4"/>
      <c r="M287" s="4"/>
      <c r="N287" s="4"/>
      <c r="O287" s="4"/>
      <c r="P287" s="4"/>
      <c r="Q287" s="4"/>
      <c r="R287" s="4"/>
      <c r="S287" s="4"/>
      <c r="T287" s="4"/>
      <c r="U287" s="4"/>
      <c r="V287" s="4"/>
      <c r="W287" s="4"/>
      <c r="X287" s="4"/>
      <c r="Y287" s="4"/>
      <c r="Z287" s="4"/>
      <c r="AA287" s="21"/>
    </row>
    <row r="288">
      <c r="A288" s="4"/>
      <c r="B288" s="4"/>
      <c r="C288" s="4"/>
      <c r="D288" s="26"/>
      <c r="E288" s="4"/>
      <c r="F288" s="4"/>
      <c r="G288" s="4"/>
      <c r="H288" s="4"/>
      <c r="I288" s="4"/>
      <c r="J288" s="4"/>
      <c r="K288" s="4"/>
      <c r="L288" s="4"/>
      <c r="M288" s="4"/>
      <c r="N288" s="4"/>
      <c r="O288" s="4"/>
      <c r="P288" s="4"/>
      <c r="Q288" s="4"/>
      <c r="R288" s="4"/>
      <c r="S288" s="4"/>
      <c r="T288" s="4"/>
      <c r="U288" s="4"/>
      <c r="V288" s="4"/>
      <c r="W288" s="4"/>
      <c r="X288" s="4"/>
      <c r="Y288" s="4"/>
      <c r="Z288" s="4"/>
      <c r="AA288" s="21"/>
    </row>
    <row r="289">
      <c r="A289" s="4"/>
      <c r="B289" s="4"/>
      <c r="C289" s="4"/>
      <c r="D289" s="26"/>
      <c r="E289" s="4"/>
      <c r="F289" s="4"/>
      <c r="G289" s="4"/>
      <c r="H289" s="4"/>
      <c r="I289" s="4"/>
      <c r="J289" s="4"/>
      <c r="K289" s="4"/>
      <c r="L289" s="4"/>
      <c r="M289" s="4"/>
      <c r="N289" s="4"/>
      <c r="O289" s="4"/>
      <c r="P289" s="4"/>
      <c r="Q289" s="4"/>
      <c r="R289" s="4"/>
      <c r="S289" s="4"/>
      <c r="T289" s="4"/>
      <c r="U289" s="4"/>
      <c r="V289" s="4"/>
      <c r="W289" s="4"/>
      <c r="X289" s="4"/>
      <c r="Y289" s="4"/>
      <c r="Z289" s="4"/>
      <c r="AA289" s="21"/>
    </row>
    <row r="290">
      <c r="A290" s="4"/>
      <c r="B290" s="4"/>
      <c r="C290" s="4"/>
      <c r="D290" s="26"/>
      <c r="E290" s="4"/>
      <c r="F290" s="4"/>
      <c r="G290" s="4"/>
      <c r="H290" s="4"/>
      <c r="I290" s="4"/>
      <c r="J290" s="4"/>
      <c r="K290" s="4"/>
      <c r="L290" s="4"/>
      <c r="M290" s="4"/>
      <c r="N290" s="4"/>
      <c r="O290" s="4"/>
      <c r="P290" s="4"/>
      <c r="Q290" s="4"/>
      <c r="R290" s="4"/>
      <c r="S290" s="4"/>
      <c r="T290" s="4"/>
      <c r="U290" s="4"/>
      <c r="V290" s="4"/>
      <c r="W290" s="4"/>
      <c r="X290" s="4"/>
      <c r="Y290" s="4"/>
      <c r="Z290" s="4"/>
      <c r="AA290" s="21"/>
    </row>
    <row r="291">
      <c r="A291" s="4"/>
      <c r="B291" s="4"/>
      <c r="C291" s="4"/>
      <c r="D291" s="26"/>
      <c r="E291" s="4"/>
      <c r="F291" s="4"/>
      <c r="G291" s="4"/>
      <c r="H291" s="4"/>
      <c r="I291" s="4"/>
      <c r="J291" s="4"/>
      <c r="K291" s="4"/>
      <c r="L291" s="4"/>
      <c r="M291" s="4"/>
      <c r="N291" s="4"/>
      <c r="O291" s="4"/>
      <c r="P291" s="4"/>
      <c r="Q291" s="4"/>
      <c r="R291" s="4"/>
      <c r="S291" s="4"/>
      <c r="T291" s="4"/>
      <c r="U291" s="4"/>
      <c r="V291" s="4"/>
      <c r="W291" s="4"/>
      <c r="X291" s="4"/>
      <c r="Y291" s="4"/>
      <c r="Z291" s="4"/>
      <c r="AA291" s="21"/>
    </row>
    <row r="292">
      <c r="A292" s="4"/>
      <c r="B292" s="4"/>
      <c r="C292" s="4"/>
      <c r="D292" s="26"/>
      <c r="E292" s="4"/>
      <c r="F292" s="4"/>
      <c r="G292" s="4"/>
      <c r="H292" s="4"/>
      <c r="I292" s="4"/>
      <c r="J292" s="4"/>
      <c r="K292" s="4"/>
      <c r="L292" s="4"/>
      <c r="M292" s="4"/>
      <c r="N292" s="4"/>
      <c r="O292" s="4"/>
      <c r="P292" s="4"/>
      <c r="Q292" s="4"/>
      <c r="R292" s="4"/>
      <c r="S292" s="4"/>
      <c r="T292" s="4"/>
      <c r="U292" s="4"/>
      <c r="V292" s="4"/>
      <c r="W292" s="4"/>
      <c r="X292" s="4"/>
      <c r="Y292" s="4"/>
      <c r="Z292" s="4"/>
      <c r="AA292" s="21"/>
    </row>
    <row r="293">
      <c r="A293" s="4"/>
      <c r="B293" s="4"/>
      <c r="C293" s="4"/>
      <c r="D293" s="26"/>
      <c r="E293" s="4"/>
      <c r="F293" s="4"/>
      <c r="G293" s="4"/>
      <c r="H293" s="4"/>
      <c r="I293" s="4"/>
      <c r="J293" s="4"/>
      <c r="K293" s="4"/>
      <c r="L293" s="4"/>
      <c r="M293" s="4"/>
      <c r="N293" s="4"/>
      <c r="O293" s="4"/>
      <c r="P293" s="4"/>
      <c r="Q293" s="4"/>
      <c r="R293" s="4"/>
      <c r="S293" s="4"/>
      <c r="T293" s="4"/>
      <c r="U293" s="4"/>
      <c r="V293" s="4"/>
      <c r="W293" s="4"/>
      <c r="X293" s="4"/>
      <c r="Y293" s="4"/>
      <c r="Z293" s="4"/>
      <c r="AA293" s="21"/>
    </row>
    <row r="294">
      <c r="A294" s="4"/>
      <c r="B294" s="4"/>
      <c r="C294" s="4"/>
      <c r="D294" s="26"/>
      <c r="E294" s="4"/>
      <c r="F294" s="4"/>
      <c r="G294" s="4"/>
      <c r="H294" s="4"/>
      <c r="I294" s="4"/>
      <c r="J294" s="4"/>
      <c r="K294" s="4"/>
      <c r="L294" s="4"/>
      <c r="M294" s="4"/>
      <c r="N294" s="4"/>
      <c r="O294" s="4"/>
      <c r="P294" s="4"/>
      <c r="Q294" s="4"/>
      <c r="R294" s="4"/>
      <c r="S294" s="4"/>
      <c r="T294" s="4"/>
      <c r="U294" s="4"/>
      <c r="V294" s="4"/>
      <c r="W294" s="4"/>
      <c r="X294" s="4"/>
      <c r="Y294" s="4"/>
      <c r="Z294" s="4"/>
      <c r="AA294" s="21"/>
    </row>
    <row r="295">
      <c r="A295" s="4"/>
      <c r="B295" s="4"/>
      <c r="C295" s="4"/>
      <c r="D295" s="26"/>
      <c r="E295" s="4"/>
      <c r="F295" s="4"/>
      <c r="G295" s="4"/>
      <c r="H295" s="4"/>
      <c r="I295" s="4"/>
      <c r="J295" s="4"/>
      <c r="K295" s="4"/>
      <c r="L295" s="4"/>
      <c r="M295" s="4"/>
      <c r="N295" s="4"/>
      <c r="O295" s="4"/>
      <c r="P295" s="4"/>
      <c r="Q295" s="4"/>
      <c r="R295" s="4"/>
      <c r="S295" s="4"/>
      <c r="T295" s="4"/>
      <c r="U295" s="4"/>
      <c r="V295" s="4"/>
      <c r="W295" s="4"/>
      <c r="X295" s="4"/>
      <c r="Y295" s="4"/>
      <c r="Z295" s="4"/>
      <c r="AA295" s="21"/>
    </row>
    <row r="296">
      <c r="A296" s="4"/>
      <c r="B296" s="4"/>
      <c r="C296" s="4"/>
      <c r="D296" s="26"/>
      <c r="E296" s="4"/>
      <c r="F296" s="4"/>
      <c r="G296" s="4"/>
      <c r="H296" s="4"/>
      <c r="I296" s="4"/>
      <c r="J296" s="4"/>
      <c r="K296" s="4"/>
      <c r="L296" s="4"/>
      <c r="M296" s="4"/>
      <c r="N296" s="4"/>
      <c r="O296" s="4"/>
      <c r="P296" s="4"/>
      <c r="Q296" s="4"/>
      <c r="R296" s="4"/>
      <c r="S296" s="4"/>
      <c r="T296" s="4"/>
      <c r="U296" s="4"/>
      <c r="V296" s="4"/>
      <c r="W296" s="4"/>
      <c r="X296" s="4"/>
      <c r="Y296" s="4"/>
      <c r="Z296" s="4"/>
      <c r="AA296" s="21"/>
    </row>
    <row r="297">
      <c r="A297" s="4"/>
      <c r="B297" s="4"/>
      <c r="C297" s="4"/>
      <c r="D297" s="26"/>
      <c r="E297" s="4"/>
      <c r="F297" s="4"/>
      <c r="G297" s="4"/>
      <c r="H297" s="4"/>
      <c r="I297" s="4"/>
      <c r="J297" s="4"/>
      <c r="K297" s="4"/>
      <c r="L297" s="4"/>
      <c r="M297" s="4"/>
      <c r="N297" s="4"/>
      <c r="O297" s="4"/>
      <c r="P297" s="4"/>
      <c r="Q297" s="4"/>
      <c r="R297" s="4"/>
      <c r="S297" s="4"/>
      <c r="T297" s="4"/>
      <c r="U297" s="4"/>
      <c r="V297" s="4"/>
      <c r="W297" s="4"/>
      <c r="X297" s="4"/>
      <c r="Y297" s="4"/>
      <c r="Z297" s="4"/>
      <c r="AA297" s="21"/>
    </row>
    <row r="298">
      <c r="A298" s="4"/>
      <c r="B298" s="4"/>
      <c r="C298" s="4"/>
      <c r="D298" s="26"/>
      <c r="E298" s="4"/>
      <c r="F298" s="4"/>
      <c r="G298" s="4"/>
      <c r="H298" s="4"/>
      <c r="I298" s="4"/>
      <c r="J298" s="4"/>
      <c r="K298" s="4"/>
      <c r="L298" s="4"/>
      <c r="M298" s="4"/>
      <c r="N298" s="4"/>
      <c r="O298" s="4"/>
      <c r="P298" s="4"/>
      <c r="Q298" s="4"/>
      <c r="R298" s="4"/>
      <c r="S298" s="4"/>
      <c r="T298" s="4"/>
      <c r="U298" s="4"/>
      <c r="V298" s="4"/>
      <c r="W298" s="4"/>
      <c r="X298" s="4"/>
      <c r="Y298" s="4"/>
      <c r="Z298" s="4"/>
      <c r="AA298" s="21"/>
    </row>
    <row r="299">
      <c r="A299" s="4"/>
      <c r="B299" s="4"/>
      <c r="C299" s="4"/>
      <c r="D299" s="26"/>
      <c r="E299" s="4"/>
      <c r="F299" s="4"/>
      <c r="G299" s="4"/>
      <c r="H299" s="4"/>
      <c r="I299" s="4"/>
      <c r="J299" s="4"/>
      <c r="K299" s="4"/>
      <c r="L299" s="4"/>
      <c r="M299" s="4"/>
      <c r="N299" s="4"/>
      <c r="O299" s="4"/>
      <c r="P299" s="4"/>
      <c r="Q299" s="4"/>
      <c r="R299" s="4"/>
      <c r="S299" s="4"/>
      <c r="T299" s="4"/>
      <c r="U299" s="4"/>
      <c r="V299" s="4"/>
      <c r="W299" s="4"/>
      <c r="X299" s="4"/>
      <c r="Y299" s="4"/>
      <c r="Z299" s="4"/>
      <c r="AA299" s="21"/>
    </row>
    <row r="300">
      <c r="A300" s="4"/>
      <c r="B300" s="4"/>
      <c r="C300" s="4"/>
      <c r="D300" s="26"/>
      <c r="E300" s="4"/>
      <c r="F300" s="4"/>
      <c r="G300" s="4"/>
      <c r="H300" s="4"/>
      <c r="I300" s="4"/>
      <c r="J300" s="4"/>
      <c r="K300" s="4"/>
      <c r="L300" s="4"/>
      <c r="M300" s="4"/>
      <c r="N300" s="4"/>
      <c r="O300" s="4"/>
      <c r="P300" s="4"/>
      <c r="Q300" s="4"/>
      <c r="R300" s="4"/>
      <c r="S300" s="4"/>
      <c r="T300" s="4"/>
      <c r="U300" s="4"/>
      <c r="V300" s="4"/>
      <c r="W300" s="4"/>
      <c r="X300" s="4"/>
      <c r="Y300" s="4"/>
      <c r="Z300" s="4"/>
      <c r="AA300" s="21"/>
    </row>
    <row r="301">
      <c r="A301" s="4"/>
      <c r="B301" s="4"/>
      <c r="C301" s="4"/>
      <c r="D301" s="26"/>
      <c r="E301" s="4"/>
      <c r="F301" s="4"/>
      <c r="G301" s="4"/>
      <c r="H301" s="4"/>
      <c r="I301" s="4"/>
      <c r="J301" s="4"/>
      <c r="K301" s="4"/>
      <c r="L301" s="4"/>
      <c r="M301" s="4"/>
      <c r="N301" s="4"/>
      <c r="O301" s="4"/>
      <c r="P301" s="4"/>
      <c r="Q301" s="4"/>
      <c r="R301" s="4"/>
      <c r="S301" s="4"/>
      <c r="T301" s="4"/>
      <c r="U301" s="4"/>
      <c r="V301" s="4"/>
      <c r="W301" s="4"/>
      <c r="X301" s="4"/>
      <c r="Y301" s="4"/>
      <c r="Z301" s="4"/>
      <c r="AA301" s="21"/>
    </row>
    <row r="302">
      <c r="A302" s="4"/>
      <c r="B302" s="4"/>
      <c r="C302" s="4"/>
      <c r="D302" s="26"/>
      <c r="E302" s="4"/>
      <c r="F302" s="4"/>
      <c r="G302" s="4"/>
      <c r="H302" s="4"/>
      <c r="I302" s="4"/>
      <c r="J302" s="4"/>
      <c r="K302" s="4"/>
      <c r="L302" s="4"/>
      <c r="M302" s="4"/>
      <c r="N302" s="4"/>
      <c r="O302" s="4"/>
      <c r="P302" s="4"/>
      <c r="Q302" s="4"/>
      <c r="R302" s="4"/>
      <c r="S302" s="4"/>
      <c r="T302" s="4"/>
      <c r="U302" s="4"/>
      <c r="V302" s="4"/>
      <c r="W302" s="4"/>
      <c r="X302" s="4"/>
      <c r="Y302" s="4"/>
      <c r="Z302" s="4"/>
      <c r="AA302" s="21"/>
    </row>
    <row r="303">
      <c r="A303" s="4"/>
      <c r="B303" s="4"/>
      <c r="C303" s="4"/>
      <c r="D303" s="26"/>
      <c r="E303" s="4"/>
      <c r="F303" s="4"/>
      <c r="G303" s="4"/>
      <c r="H303" s="4"/>
      <c r="I303" s="4"/>
      <c r="J303" s="4"/>
      <c r="K303" s="4"/>
      <c r="L303" s="4"/>
      <c r="M303" s="4"/>
      <c r="N303" s="4"/>
      <c r="O303" s="4"/>
      <c r="P303" s="4"/>
      <c r="Q303" s="4"/>
      <c r="R303" s="4"/>
      <c r="S303" s="4"/>
      <c r="T303" s="4"/>
      <c r="U303" s="4"/>
      <c r="V303" s="4"/>
      <c r="W303" s="4"/>
      <c r="X303" s="4"/>
      <c r="Y303" s="4"/>
      <c r="Z303" s="4"/>
      <c r="AA303" s="21"/>
    </row>
    <row r="304">
      <c r="A304" s="4"/>
      <c r="B304" s="4"/>
      <c r="C304" s="4"/>
      <c r="D304" s="26"/>
      <c r="E304" s="4"/>
      <c r="F304" s="4"/>
      <c r="G304" s="4"/>
      <c r="H304" s="4"/>
      <c r="I304" s="4"/>
      <c r="J304" s="4"/>
      <c r="K304" s="4"/>
      <c r="L304" s="4"/>
      <c r="M304" s="4"/>
      <c r="N304" s="4"/>
      <c r="O304" s="4"/>
      <c r="P304" s="4"/>
      <c r="Q304" s="4"/>
      <c r="R304" s="4"/>
      <c r="S304" s="4"/>
      <c r="T304" s="4"/>
      <c r="U304" s="4"/>
      <c r="V304" s="4"/>
      <c r="W304" s="4"/>
      <c r="X304" s="4"/>
      <c r="Y304" s="4"/>
      <c r="Z304" s="4"/>
      <c r="AA304" s="21"/>
    </row>
    <row r="305">
      <c r="A305" s="4"/>
      <c r="B305" s="4"/>
      <c r="C305" s="4"/>
      <c r="D305" s="26"/>
      <c r="E305" s="4"/>
      <c r="F305" s="4"/>
      <c r="G305" s="4"/>
      <c r="H305" s="4"/>
      <c r="I305" s="4"/>
      <c r="J305" s="4"/>
      <c r="K305" s="4"/>
      <c r="L305" s="4"/>
      <c r="M305" s="4"/>
      <c r="N305" s="4"/>
      <c r="O305" s="4"/>
      <c r="P305" s="4"/>
      <c r="Q305" s="4"/>
      <c r="R305" s="4"/>
      <c r="S305" s="4"/>
      <c r="T305" s="4"/>
      <c r="U305" s="4"/>
      <c r="V305" s="4"/>
      <c r="W305" s="4"/>
      <c r="X305" s="4"/>
      <c r="Y305" s="4"/>
      <c r="Z305" s="4"/>
      <c r="AA305" s="21"/>
    </row>
    <row r="306">
      <c r="A306" s="4"/>
      <c r="B306" s="4"/>
      <c r="C306" s="4"/>
      <c r="D306" s="26"/>
      <c r="E306" s="4"/>
      <c r="F306" s="4"/>
      <c r="G306" s="4"/>
      <c r="H306" s="4"/>
      <c r="I306" s="4"/>
      <c r="J306" s="4"/>
      <c r="K306" s="4"/>
      <c r="L306" s="4"/>
      <c r="M306" s="4"/>
      <c r="N306" s="4"/>
      <c r="O306" s="4"/>
      <c r="P306" s="4"/>
      <c r="Q306" s="4"/>
      <c r="R306" s="4"/>
      <c r="S306" s="4"/>
      <c r="T306" s="4"/>
      <c r="U306" s="4"/>
      <c r="V306" s="4"/>
      <c r="W306" s="4"/>
      <c r="X306" s="4"/>
      <c r="Y306" s="4"/>
      <c r="Z306" s="4"/>
      <c r="AA306" s="21"/>
    </row>
    <row r="307">
      <c r="A307" s="4"/>
      <c r="B307" s="4"/>
      <c r="C307" s="4"/>
      <c r="D307" s="26"/>
      <c r="E307" s="4"/>
      <c r="F307" s="4"/>
      <c r="G307" s="4"/>
      <c r="H307" s="4"/>
      <c r="I307" s="4"/>
      <c r="J307" s="4"/>
      <c r="K307" s="4"/>
      <c r="L307" s="4"/>
      <c r="M307" s="4"/>
      <c r="N307" s="4"/>
      <c r="O307" s="4"/>
      <c r="P307" s="4"/>
      <c r="Q307" s="4"/>
      <c r="R307" s="4"/>
      <c r="S307" s="4"/>
      <c r="T307" s="4"/>
      <c r="U307" s="4"/>
      <c r="V307" s="4"/>
      <c r="W307" s="4"/>
      <c r="X307" s="4"/>
      <c r="Y307" s="4"/>
      <c r="Z307" s="4"/>
      <c r="AA307" s="21"/>
    </row>
    <row r="308">
      <c r="A308" s="4"/>
      <c r="B308" s="4"/>
      <c r="C308" s="4"/>
      <c r="D308" s="26"/>
      <c r="E308" s="4"/>
      <c r="F308" s="4"/>
      <c r="G308" s="4"/>
      <c r="H308" s="4"/>
      <c r="I308" s="4"/>
      <c r="J308" s="4"/>
      <c r="K308" s="4"/>
      <c r="L308" s="4"/>
      <c r="M308" s="4"/>
      <c r="N308" s="4"/>
      <c r="O308" s="4"/>
      <c r="P308" s="4"/>
      <c r="Q308" s="4"/>
      <c r="R308" s="4"/>
      <c r="S308" s="4"/>
      <c r="T308" s="4"/>
      <c r="U308" s="4"/>
      <c r="V308" s="4"/>
      <c r="W308" s="4"/>
      <c r="X308" s="4"/>
      <c r="Y308" s="4"/>
      <c r="Z308" s="4"/>
      <c r="AA308" s="21"/>
    </row>
    <row r="309">
      <c r="A309" s="4"/>
      <c r="B309" s="4"/>
      <c r="C309" s="4"/>
      <c r="D309" s="26"/>
      <c r="E309" s="4"/>
      <c r="F309" s="4"/>
      <c r="G309" s="4"/>
      <c r="H309" s="4"/>
      <c r="I309" s="4"/>
      <c r="J309" s="4"/>
      <c r="K309" s="4"/>
      <c r="L309" s="4"/>
      <c r="M309" s="4"/>
      <c r="N309" s="4"/>
      <c r="O309" s="4"/>
      <c r="P309" s="4"/>
      <c r="Q309" s="4"/>
      <c r="R309" s="4"/>
      <c r="S309" s="4"/>
      <c r="T309" s="4"/>
      <c r="U309" s="4"/>
      <c r="V309" s="4"/>
      <c r="W309" s="4"/>
      <c r="X309" s="4"/>
      <c r="Y309" s="4"/>
      <c r="Z309" s="4"/>
      <c r="AA309" s="21"/>
    </row>
    <row r="310">
      <c r="A310" s="4"/>
      <c r="B310" s="4"/>
      <c r="C310" s="4"/>
      <c r="D310" s="26"/>
      <c r="E310" s="4"/>
      <c r="F310" s="4"/>
      <c r="G310" s="4"/>
      <c r="H310" s="4"/>
      <c r="I310" s="4"/>
      <c r="J310" s="4"/>
      <c r="K310" s="4"/>
      <c r="L310" s="4"/>
      <c r="M310" s="4"/>
      <c r="N310" s="4"/>
      <c r="O310" s="4"/>
      <c r="P310" s="4"/>
      <c r="Q310" s="4"/>
      <c r="R310" s="4"/>
      <c r="S310" s="4"/>
      <c r="T310" s="4"/>
      <c r="U310" s="4"/>
      <c r="V310" s="4"/>
      <c r="W310" s="4"/>
      <c r="X310" s="4"/>
      <c r="Y310" s="4"/>
      <c r="Z310" s="4"/>
      <c r="AA310" s="21"/>
    </row>
    <row r="311">
      <c r="A311" s="4"/>
      <c r="B311" s="4"/>
      <c r="C311" s="4"/>
      <c r="D311" s="26"/>
      <c r="E311" s="4"/>
      <c r="F311" s="4"/>
      <c r="G311" s="4"/>
      <c r="H311" s="4"/>
      <c r="I311" s="4"/>
      <c r="J311" s="4"/>
      <c r="K311" s="4"/>
      <c r="L311" s="4"/>
      <c r="M311" s="4"/>
      <c r="N311" s="4"/>
      <c r="O311" s="4"/>
      <c r="P311" s="4"/>
      <c r="Q311" s="4"/>
      <c r="R311" s="4"/>
      <c r="S311" s="4"/>
      <c r="T311" s="4"/>
      <c r="U311" s="4"/>
      <c r="V311" s="4"/>
      <c r="W311" s="4"/>
      <c r="X311" s="4"/>
      <c r="Y311" s="4"/>
      <c r="Z311" s="4"/>
      <c r="AA311" s="21"/>
    </row>
    <row r="312">
      <c r="A312" s="4"/>
      <c r="B312" s="4"/>
      <c r="C312" s="4"/>
      <c r="D312" s="26"/>
      <c r="E312" s="4"/>
      <c r="F312" s="4"/>
      <c r="G312" s="4"/>
      <c r="H312" s="4"/>
      <c r="I312" s="4"/>
      <c r="J312" s="4"/>
      <c r="K312" s="4"/>
      <c r="L312" s="4"/>
      <c r="M312" s="4"/>
      <c r="N312" s="4"/>
      <c r="O312" s="4"/>
      <c r="P312" s="4"/>
      <c r="Q312" s="4"/>
      <c r="R312" s="4"/>
      <c r="S312" s="4"/>
      <c r="T312" s="4"/>
      <c r="U312" s="4"/>
      <c r="V312" s="4"/>
      <c r="W312" s="4"/>
      <c r="X312" s="4"/>
      <c r="Y312" s="4"/>
      <c r="Z312" s="4"/>
      <c r="AA312" s="21"/>
    </row>
    <row r="313">
      <c r="A313" s="4"/>
      <c r="B313" s="4"/>
      <c r="C313" s="4"/>
      <c r="D313" s="26"/>
      <c r="E313" s="4"/>
      <c r="F313" s="4"/>
      <c r="G313" s="4"/>
      <c r="H313" s="4"/>
      <c r="I313" s="4"/>
      <c r="J313" s="4"/>
      <c r="K313" s="4"/>
      <c r="L313" s="4"/>
      <c r="M313" s="4"/>
      <c r="N313" s="4"/>
      <c r="O313" s="4"/>
      <c r="P313" s="4"/>
      <c r="Q313" s="4"/>
      <c r="R313" s="4"/>
      <c r="S313" s="4"/>
      <c r="T313" s="4"/>
      <c r="U313" s="4"/>
      <c r="V313" s="4"/>
      <c r="W313" s="4"/>
      <c r="X313" s="4"/>
      <c r="Y313" s="4"/>
      <c r="Z313" s="4"/>
      <c r="AA313" s="21"/>
    </row>
    <row r="314">
      <c r="A314" s="4"/>
      <c r="B314" s="4"/>
      <c r="C314" s="4"/>
      <c r="D314" s="26"/>
      <c r="E314" s="4"/>
      <c r="F314" s="4"/>
      <c r="G314" s="4"/>
      <c r="H314" s="4"/>
      <c r="I314" s="4"/>
      <c r="J314" s="4"/>
      <c r="K314" s="4"/>
      <c r="L314" s="4"/>
      <c r="M314" s="4"/>
      <c r="N314" s="4"/>
      <c r="O314" s="4"/>
      <c r="P314" s="4"/>
      <c r="Q314" s="4"/>
      <c r="R314" s="4"/>
      <c r="S314" s="4"/>
      <c r="T314" s="4"/>
      <c r="U314" s="4"/>
      <c r="V314" s="4"/>
      <c r="W314" s="4"/>
      <c r="X314" s="4"/>
      <c r="Y314" s="4"/>
      <c r="Z314" s="4"/>
      <c r="AA314" s="21"/>
    </row>
    <row r="315">
      <c r="A315" s="4"/>
      <c r="B315" s="4"/>
      <c r="C315" s="4"/>
      <c r="D315" s="26"/>
      <c r="E315" s="4"/>
      <c r="F315" s="4"/>
      <c r="G315" s="4"/>
      <c r="H315" s="4"/>
      <c r="I315" s="4"/>
      <c r="J315" s="4"/>
      <c r="K315" s="4"/>
      <c r="L315" s="4"/>
      <c r="M315" s="4"/>
      <c r="N315" s="4"/>
      <c r="O315" s="4"/>
      <c r="P315" s="4"/>
      <c r="Q315" s="4"/>
      <c r="R315" s="4"/>
      <c r="S315" s="4"/>
      <c r="T315" s="4"/>
      <c r="U315" s="4"/>
      <c r="V315" s="4"/>
      <c r="W315" s="4"/>
      <c r="X315" s="4"/>
      <c r="Y315" s="4"/>
      <c r="Z315" s="4"/>
      <c r="AA315" s="21"/>
    </row>
    <row r="316">
      <c r="A316" s="4"/>
      <c r="B316" s="4"/>
      <c r="C316" s="4"/>
      <c r="D316" s="26"/>
      <c r="E316" s="4"/>
      <c r="F316" s="4"/>
      <c r="G316" s="4"/>
      <c r="H316" s="4"/>
      <c r="I316" s="4"/>
      <c r="J316" s="4"/>
      <c r="K316" s="4"/>
      <c r="L316" s="4"/>
      <c r="M316" s="4"/>
      <c r="N316" s="4"/>
      <c r="O316" s="4"/>
      <c r="P316" s="4"/>
      <c r="Q316" s="4"/>
      <c r="R316" s="4"/>
      <c r="S316" s="4"/>
      <c r="T316" s="4"/>
      <c r="U316" s="4"/>
      <c r="V316" s="4"/>
      <c r="W316" s="4"/>
      <c r="X316" s="4"/>
      <c r="Y316" s="4"/>
      <c r="Z316" s="4"/>
      <c r="AA316" s="21"/>
    </row>
    <row r="317">
      <c r="A317" s="4"/>
      <c r="B317" s="4"/>
      <c r="C317" s="4"/>
      <c r="D317" s="26"/>
      <c r="E317" s="4"/>
      <c r="F317" s="4"/>
      <c r="G317" s="4"/>
      <c r="H317" s="4"/>
      <c r="I317" s="4"/>
      <c r="J317" s="4"/>
      <c r="K317" s="4"/>
      <c r="L317" s="4"/>
      <c r="M317" s="4"/>
      <c r="N317" s="4"/>
      <c r="O317" s="4"/>
      <c r="P317" s="4"/>
      <c r="Q317" s="4"/>
      <c r="R317" s="4"/>
      <c r="S317" s="4"/>
      <c r="T317" s="4"/>
      <c r="U317" s="4"/>
      <c r="V317" s="4"/>
      <c r="W317" s="4"/>
      <c r="X317" s="4"/>
      <c r="Y317" s="4"/>
      <c r="Z317" s="4"/>
      <c r="AA317" s="21"/>
    </row>
    <row r="318">
      <c r="A318" s="4"/>
      <c r="B318" s="4"/>
      <c r="C318" s="4"/>
      <c r="D318" s="26"/>
      <c r="E318" s="4"/>
      <c r="F318" s="4"/>
      <c r="G318" s="4"/>
      <c r="H318" s="4"/>
      <c r="I318" s="4"/>
      <c r="J318" s="4"/>
      <c r="K318" s="4"/>
      <c r="L318" s="4"/>
      <c r="M318" s="4"/>
      <c r="N318" s="4"/>
      <c r="O318" s="4"/>
      <c r="P318" s="4"/>
      <c r="Q318" s="4"/>
      <c r="R318" s="4"/>
      <c r="S318" s="4"/>
      <c r="T318" s="4"/>
      <c r="U318" s="4"/>
      <c r="V318" s="4"/>
      <c r="W318" s="4"/>
      <c r="X318" s="4"/>
      <c r="Y318" s="4"/>
      <c r="Z318" s="4"/>
      <c r="AA318" s="21"/>
    </row>
    <row r="319">
      <c r="A319" s="4"/>
      <c r="B319" s="4"/>
      <c r="C319" s="4"/>
      <c r="D319" s="26"/>
      <c r="E319" s="4"/>
      <c r="F319" s="4"/>
      <c r="G319" s="4"/>
      <c r="H319" s="4"/>
      <c r="I319" s="4"/>
      <c r="J319" s="4"/>
      <c r="K319" s="4"/>
      <c r="L319" s="4"/>
      <c r="M319" s="4"/>
      <c r="N319" s="4"/>
      <c r="O319" s="4"/>
      <c r="P319" s="4"/>
      <c r="Q319" s="4"/>
      <c r="R319" s="4"/>
      <c r="S319" s="4"/>
      <c r="T319" s="4"/>
      <c r="U319" s="4"/>
      <c r="V319" s="4"/>
      <c r="W319" s="4"/>
      <c r="X319" s="4"/>
      <c r="Y319" s="4"/>
      <c r="Z319" s="4"/>
      <c r="AA319" s="21"/>
    </row>
    <row r="320">
      <c r="A320" s="4"/>
      <c r="B320" s="4"/>
      <c r="C320" s="4"/>
      <c r="D320" s="26"/>
      <c r="E320" s="4"/>
      <c r="F320" s="4"/>
      <c r="G320" s="4"/>
      <c r="H320" s="4"/>
      <c r="I320" s="4"/>
      <c r="J320" s="4"/>
      <c r="K320" s="4"/>
      <c r="L320" s="4"/>
      <c r="M320" s="4"/>
      <c r="N320" s="4"/>
      <c r="O320" s="4"/>
      <c r="P320" s="4"/>
      <c r="Q320" s="4"/>
      <c r="R320" s="4"/>
      <c r="S320" s="4"/>
      <c r="T320" s="4"/>
      <c r="U320" s="4"/>
      <c r="V320" s="4"/>
      <c r="W320" s="4"/>
      <c r="X320" s="4"/>
      <c r="Y320" s="4"/>
      <c r="Z320" s="4"/>
      <c r="AA320" s="21"/>
    </row>
    <row r="321">
      <c r="A321" s="4"/>
      <c r="B321" s="4"/>
      <c r="C321" s="4"/>
      <c r="D321" s="26"/>
      <c r="E321" s="4"/>
      <c r="F321" s="4"/>
      <c r="G321" s="4"/>
      <c r="H321" s="4"/>
      <c r="I321" s="4"/>
      <c r="J321" s="4"/>
      <c r="K321" s="4"/>
      <c r="L321" s="4"/>
      <c r="M321" s="4"/>
      <c r="N321" s="4"/>
      <c r="O321" s="4"/>
      <c r="P321" s="4"/>
      <c r="Q321" s="4"/>
      <c r="R321" s="4"/>
      <c r="S321" s="4"/>
      <c r="T321" s="4"/>
      <c r="U321" s="4"/>
      <c r="V321" s="4"/>
      <c r="W321" s="4"/>
      <c r="X321" s="4"/>
      <c r="Y321" s="4"/>
      <c r="Z321" s="4"/>
      <c r="AA321" s="21"/>
    </row>
    <row r="322">
      <c r="A322" s="4"/>
      <c r="B322" s="4"/>
      <c r="C322" s="4"/>
      <c r="D322" s="26"/>
      <c r="E322" s="4"/>
      <c r="F322" s="4"/>
      <c r="G322" s="4"/>
      <c r="H322" s="4"/>
      <c r="I322" s="4"/>
      <c r="J322" s="4"/>
      <c r="K322" s="4"/>
      <c r="L322" s="4"/>
      <c r="M322" s="4"/>
      <c r="N322" s="4"/>
      <c r="O322" s="4"/>
      <c r="P322" s="4"/>
      <c r="Q322" s="4"/>
      <c r="R322" s="4"/>
      <c r="S322" s="4"/>
      <c r="T322" s="4"/>
      <c r="U322" s="4"/>
      <c r="V322" s="4"/>
      <c r="W322" s="4"/>
      <c r="X322" s="4"/>
      <c r="Y322" s="4"/>
      <c r="Z322" s="4"/>
      <c r="AA322" s="21"/>
    </row>
    <row r="323">
      <c r="A323" s="4"/>
      <c r="B323" s="4"/>
      <c r="C323" s="4"/>
      <c r="D323" s="26"/>
      <c r="E323" s="4"/>
      <c r="F323" s="4"/>
      <c r="G323" s="4"/>
      <c r="H323" s="4"/>
      <c r="I323" s="4"/>
      <c r="J323" s="4"/>
      <c r="K323" s="4"/>
      <c r="L323" s="4"/>
      <c r="M323" s="4"/>
      <c r="N323" s="4"/>
      <c r="O323" s="4"/>
      <c r="P323" s="4"/>
      <c r="Q323" s="4"/>
      <c r="R323" s="4"/>
      <c r="S323" s="4"/>
      <c r="T323" s="4"/>
      <c r="U323" s="4"/>
      <c r="V323" s="4"/>
      <c r="W323" s="4"/>
      <c r="X323" s="4"/>
      <c r="Y323" s="4"/>
      <c r="Z323" s="4"/>
      <c r="AA323" s="21"/>
    </row>
    <row r="324">
      <c r="A324" s="4"/>
      <c r="B324" s="4"/>
      <c r="C324" s="4"/>
      <c r="D324" s="26"/>
      <c r="E324" s="4"/>
      <c r="F324" s="4"/>
      <c r="G324" s="4"/>
      <c r="H324" s="4"/>
      <c r="I324" s="4"/>
      <c r="J324" s="4"/>
      <c r="K324" s="4"/>
      <c r="L324" s="4"/>
      <c r="M324" s="4"/>
      <c r="N324" s="4"/>
      <c r="O324" s="4"/>
      <c r="P324" s="4"/>
      <c r="Q324" s="4"/>
      <c r="R324" s="4"/>
      <c r="S324" s="4"/>
      <c r="T324" s="4"/>
      <c r="U324" s="4"/>
      <c r="V324" s="4"/>
      <c r="W324" s="4"/>
      <c r="X324" s="4"/>
      <c r="Y324" s="4"/>
      <c r="Z324" s="4"/>
      <c r="AA324" s="21"/>
    </row>
    <row r="325">
      <c r="A325" s="4"/>
      <c r="B325" s="4"/>
      <c r="C325" s="4"/>
      <c r="D325" s="26"/>
      <c r="E325" s="4"/>
      <c r="F325" s="4"/>
      <c r="G325" s="4"/>
      <c r="H325" s="4"/>
      <c r="I325" s="4"/>
      <c r="J325" s="4"/>
      <c r="K325" s="4"/>
      <c r="L325" s="4"/>
      <c r="M325" s="4"/>
      <c r="N325" s="4"/>
      <c r="O325" s="4"/>
      <c r="P325" s="4"/>
      <c r="Q325" s="4"/>
      <c r="R325" s="4"/>
      <c r="S325" s="4"/>
      <c r="T325" s="4"/>
      <c r="U325" s="4"/>
      <c r="V325" s="4"/>
      <c r="W325" s="4"/>
      <c r="X325" s="4"/>
      <c r="Y325" s="4"/>
      <c r="Z325" s="4"/>
      <c r="AA325" s="21"/>
    </row>
    <row r="326">
      <c r="A326" s="4"/>
      <c r="B326" s="4"/>
      <c r="C326" s="4"/>
      <c r="D326" s="26"/>
      <c r="E326" s="4"/>
      <c r="F326" s="4"/>
      <c r="G326" s="4"/>
      <c r="H326" s="4"/>
      <c r="I326" s="4"/>
      <c r="J326" s="4"/>
      <c r="K326" s="4"/>
      <c r="L326" s="4"/>
      <c r="M326" s="4"/>
      <c r="N326" s="4"/>
      <c r="O326" s="4"/>
      <c r="P326" s="4"/>
      <c r="Q326" s="4"/>
      <c r="R326" s="4"/>
      <c r="S326" s="4"/>
      <c r="T326" s="4"/>
      <c r="U326" s="4"/>
      <c r="V326" s="4"/>
      <c r="W326" s="4"/>
      <c r="X326" s="4"/>
      <c r="Y326" s="4"/>
      <c r="Z326" s="4"/>
      <c r="AA326" s="21"/>
    </row>
    <row r="327">
      <c r="A327" s="4"/>
      <c r="B327" s="4"/>
      <c r="C327" s="4"/>
      <c r="D327" s="26"/>
      <c r="E327" s="4"/>
      <c r="F327" s="4"/>
      <c r="G327" s="4"/>
      <c r="H327" s="4"/>
      <c r="I327" s="4"/>
      <c r="J327" s="4"/>
      <c r="K327" s="4"/>
      <c r="L327" s="4"/>
      <c r="M327" s="4"/>
      <c r="N327" s="4"/>
      <c r="O327" s="4"/>
      <c r="P327" s="4"/>
      <c r="Q327" s="4"/>
      <c r="R327" s="4"/>
      <c r="S327" s="4"/>
      <c r="T327" s="4"/>
      <c r="U327" s="4"/>
      <c r="V327" s="4"/>
      <c r="W327" s="4"/>
      <c r="X327" s="4"/>
      <c r="Y327" s="4"/>
      <c r="Z327" s="4"/>
      <c r="AA327" s="21"/>
    </row>
    <row r="328">
      <c r="A328" s="4"/>
      <c r="B328" s="4"/>
      <c r="C328" s="4"/>
      <c r="D328" s="26"/>
      <c r="E328" s="4"/>
      <c r="F328" s="4"/>
      <c r="G328" s="4"/>
      <c r="H328" s="4"/>
      <c r="I328" s="4"/>
      <c r="J328" s="4"/>
      <c r="K328" s="4"/>
      <c r="L328" s="4"/>
      <c r="M328" s="4"/>
      <c r="N328" s="4"/>
      <c r="O328" s="4"/>
      <c r="P328" s="4"/>
      <c r="Q328" s="4"/>
      <c r="R328" s="4"/>
      <c r="S328" s="4"/>
      <c r="T328" s="4"/>
      <c r="U328" s="4"/>
      <c r="V328" s="4"/>
      <c r="W328" s="4"/>
      <c r="X328" s="4"/>
      <c r="Y328" s="4"/>
      <c r="Z328" s="4"/>
      <c r="AA328" s="21"/>
    </row>
    <row r="329">
      <c r="A329" s="4"/>
      <c r="B329" s="4"/>
      <c r="C329" s="4"/>
      <c r="D329" s="26"/>
      <c r="E329" s="4"/>
      <c r="F329" s="4"/>
      <c r="G329" s="4"/>
      <c r="H329" s="4"/>
      <c r="I329" s="4"/>
      <c r="J329" s="4"/>
      <c r="K329" s="4"/>
      <c r="L329" s="4"/>
      <c r="M329" s="4"/>
      <c r="N329" s="4"/>
      <c r="O329" s="4"/>
      <c r="P329" s="4"/>
      <c r="Q329" s="4"/>
      <c r="R329" s="4"/>
      <c r="S329" s="4"/>
      <c r="T329" s="4"/>
      <c r="U329" s="4"/>
      <c r="V329" s="4"/>
      <c r="W329" s="4"/>
      <c r="X329" s="4"/>
      <c r="Y329" s="4"/>
      <c r="Z329" s="4"/>
      <c r="AA329" s="21"/>
    </row>
    <row r="330">
      <c r="A330" s="4"/>
      <c r="B330" s="4"/>
      <c r="C330" s="4"/>
      <c r="D330" s="26"/>
      <c r="E330" s="4"/>
      <c r="F330" s="4"/>
      <c r="G330" s="4"/>
      <c r="H330" s="4"/>
      <c r="I330" s="4"/>
      <c r="J330" s="4"/>
      <c r="K330" s="4"/>
      <c r="L330" s="4"/>
      <c r="M330" s="4"/>
      <c r="N330" s="4"/>
      <c r="O330" s="4"/>
      <c r="P330" s="4"/>
      <c r="Q330" s="4"/>
      <c r="R330" s="4"/>
      <c r="S330" s="4"/>
      <c r="T330" s="4"/>
      <c r="U330" s="4"/>
      <c r="V330" s="4"/>
      <c r="W330" s="4"/>
      <c r="X330" s="4"/>
      <c r="Y330" s="4"/>
      <c r="Z330" s="4"/>
      <c r="AA330" s="21"/>
    </row>
    <row r="331">
      <c r="A331" s="4"/>
      <c r="B331" s="4"/>
      <c r="C331" s="4"/>
      <c r="D331" s="26"/>
      <c r="E331" s="4"/>
      <c r="F331" s="4"/>
      <c r="G331" s="4"/>
      <c r="H331" s="4"/>
      <c r="I331" s="4"/>
      <c r="J331" s="4"/>
      <c r="K331" s="4"/>
      <c r="L331" s="4"/>
      <c r="M331" s="4"/>
      <c r="N331" s="4"/>
      <c r="O331" s="4"/>
      <c r="P331" s="4"/>
      <c r="Q331" s="4"/>
      <c r="R331" s="4"/>
      <c r="S331" s="4"/>
      <c r="T331" s="4"/>
      <c r="U331" s="4"/>
      <c r="V331" s="4"/>
      <c r="W331" s="4"/>
      <c r="X331" s="4"/>
      <c r="Y331" s="4"/>
      <c r="Z331" s="4"/>
      <c r="AA331" s="21"/>
    </row>
    <row r="332">
      <c r="A332" s="4"/>
      <c r="B332" s="4"/>
      <c r="C332" s="4"/>
      <c r="D332" s="26"/>
      <c r="E332" s="4"/>
      <c r="F332" s="4"/>
      <c r="G332" s="4"/>
      <c r="H332" s="4"/>
      <c r="I332" s="4"/>
      <c r="J332" s="4"/>
      <c r="K332" s="4"/>
      <c r="L332" s="4"/>
      <c r="M332" s="4"/>
      <c r="N332" s="4"/>
      <c r="O332" s="4"/>
      <c r="P332" s="4"/>
      <c r="Q332" s="4"/>
      <c r="R332" s="4"/>
      <c r="S332" s="4"/>
      <c r="T332" s="4"/>
      <c r="U332" s="4"/>
      <c r="V332" s="4"/>
      <c r="W332" s="4"/>
      <c r="X332" s="4"/>
      <c r="Y332" s="4"/>
      <c r="Z332" s="4"/>
      <c r="AA332" s="21"/>
    </row>
    <row r="333">
      <c r="A333" s="4"/>
      <c r="B333" s="4"/>
      <c r="C333" s="4"/>
      <c r="D333" s="26"/>
      <c r="E333" s="4"/>
      <c r="F333" s="4"/>
      <c r="G333" s="4"/>
      <c r="H333" s="4"/>
      <c r="I333" s="4"/>
      <c r="J333" s="4"/>
      <c r="K333" s="4"/>
      <c r="L333" s="4"/>
      <c r="M333" s="4"/>
      <c r="N333" s="4"/>
      <c r="O333" s="4"/>
      <c r="P333" s="4"/>
      <c r="Q333" s="4"/>
      <c r="R333" s="4"/>
      <c r="S333" s="4"/>
      <c r="T333" s="4"/>
      <c r="U333" s="4"/>
      <c r="V333" s="4"/>
      <c r="W333" s="4"/>
      <c r="X333" s="4"/>
      <c r="Y333" s="4"/>
      <c r="Z333" s="4"/>
      <c r="AA333" s="21"/>
    </row>
    <row r="334">
      <c r="A334" s="4"/>
      <c r="B334" s="4"/>
      <c r="C334" s="4"/>
      <c r="D334" s="26"/>
      <c r="E334" s="4"/>
      <c r="F334" s="4"/>
      <c r="G334" s="4"/>
      <c r="H334" s="4"/>
      <c r="I334" s="4"/>
      <c r="J334" s="4"/>
      <c r="K334" s="4"/>
      <c r="L334" s="4"/>
      <c r="M334" s="4"/>
      <c r="N334" s="4"/>
      <c r="O334" s="4"/>
      <c r="P334" s="4"/>
      <c r="Q334" s="4"/>
      <c r="R334" s="4"/>
      <c r="S334" s="4"/>
      <c r="T334" s="4"/>
      <c r="U334" s="4"/>
      <c r="V334" s="4"/>
      <c r="W334" s="4"/>
      <c r="X334" s="4"/>
      <c r="Y334" s="4"/>
      <c r="Z334" s="4"/>
      <c r="AA334" s="21"/>
    </row>
    <row r="335">
      <c r="A335" s="4"/>
      <c r="B335" s="4"/>
      <c r="C335" s="4"/>
      <c r="D335" s="26"/>
      <c r="E335" s="4"/>
      <c r="F335" s="4"/>
      <c r="G335" s="4"/>
      <c r="H335" s="4"/>
      <c r="I335" s="4"/>
      <c r="J335" s="4"/>
      <c r="K335" s="4"/>
      <c r="L335" s="4"/>
      <c r="M335" s="4"/>
      <c r="N335" s="4"/>
      <c r="O335" s="4"/>
      <c r="P335" s="4"/>
      <c r="Q335" s="4"/>
      <c r="R335" s="4"/>
      <c r="S335" s="4"/>
      <c r="T335" s="4"/>
      <c r="U335" s="4"/>
      <c r="V335" s="4"/>
      <c r="W335" s="4"/>
      <c r="X335" s="4"/>
      <c r="Y335" s="4"/>
      <c r="Z335" s="4"/>
      <c r="AA335" s="21"/>
    </row>
    <row r="336">
      <c r="A336" s="4"/>
      <c r="B336" s="4"/>
      <c r="C336" s="4"/>
      <c r="D336" s="26"/>
      <c r="E336" s="4"/>
      <c r="F336" s="4"/>
      <c r="G336" s="4"/>
      <c r="H336" s="4"/>
      <c r="I336" s="4"/>
      <c r="J336" s="4"/>
      <c r="K336" s="4"/>
      <c r="L336" s="4"/>
      <c r="M336" s="4"/>
      <c r="N336" s="4"/>
      <c r="O336" s="4"/>
      <c r="P336" s="4"/>
      <c r="Q336" s="4"/>
      <c r="R336" s="4"/>
      <c r="S336" s="4"/>
      <c r="T336" s="4"/>
      <c r="U336" s="4"/>
      <c r="V336" s="4"/>
      <c r="W336" s="4"/>
      <c r="X336" s="4"/>
      <c r="Y336" s="4"/>
      <c r="Z336" s="4"/>
      <c r="AA336" s="21"/>
    </row>
    <row r="337">
      <c r="A337" s="4"/>
      <c r="B337" s="4"/>
      <c r="C337" s="4"/>
      <c r="D337" s="26"/>
      <c r="E337" s="4"/>
      <c r="F337" s="4"/>
      <c r="G337" s="4"/>
      <c r="H337" s="4"/>
      <c r="I337" s="4"/>
      <c r="J337" s="4"/>
      <c r="K337" s="4"/>
      <c r="L337" s="4"/>
      <c r="M337" s="4"/>
      <c r="N337" s="4"/>
      <c r="O337" s="4"/>
      <c r="P337" s="4"/>
      <c r="Q337" s="4"/>
      <c r="R337" s="4"/>
      <c r="S337" s="4"/>
      <c r="T337" s="4"/>
      <c r="U337" s="4"/>
      <c r="V337" s="4"/>
      <c r="W337" s="4"/>
      <c r="X337" s="4"/>
      <c r="Y337" s="4"/>
      <c r="Z337" s="4"/>
      <c r="AA337" s="21"/>
    </row>
    <row r="338">
      <c r="A338" s="4"/>
      <c r="B338" s="4"/>
      <c r="C338" s="4"/>
      <c r="D338" s="26"/>
      <c r="E338" s="4"/>
      <c r="F338" s="4"/>
      <c r="G338" s="4"/>
      <c r="H338" s="4"/>
      <c r="I338" s="4"/>
      <c r="J338" s="4"/>
      <c r="K338" s="4"/>
      <c r="L338" s="4"/>
      <c r="M338" s="4"/>
      <c r="N338" s="4"/>
      <c r="O338" s="4"/>
      <c r="P338" s="4"/>
      <c r="Q338" s="4"/>
      <c r="R338" s="4"/>
      <c r="S338" s="4"/>
      <c r="T338" s="4"/>
      <c r="U338" s="4"/>
      <c r="V338" s="4"/>
      <c r="W338" s="4"/>
      <c r="X338" s="4"/>
      <c r="Y338" s="4"/>
      <c r="Z338" s="4"/>
      <c r="AA338" s="21"/>
    </row>
    <row r="339">
      <c r="A339" s="4"/>
      <c r="B339" s="4"/>
      <c r="C339" s="4"/>
      <c r="D339" s="26"/>
      <c r="E339" s="4"/>
      <c r="F339" s="4"/>
      <c r="G339" s="4"/>
      <c r="H339" s="4"/>
      <c r="I339" s="4"/>
      <c r="J339" s="4"/>
      <c r="K339" s="4"/>
      <c r="L339" s="4"/>
      <c r="M339" s="4"/>
      <c r="N339" s="4"/>
      <c r="O339" s="4"/>
      <c r="P339" s="4"/>
      <c r="Q339" s="4"/>
      <c r="R339" s="4"/>
      <c r="S339" s="4"/>
      <c r="T339" s="4"/>
      <c r="U339" s="4"/>
      <c r="V339" s="4"/>
      <c r="W339" s="4"/>
      <c r="X339" s="4"/>
      <c r="Y339" s="4"/>
      <c r="Z339" s="4"/>
      <c r="AA339" s="21"/>
    </row>
    <row r="340">
      <c r="A340" s="4"/>
      <c r="B340" s="4"/>
      <c r="C340" s="4"/>
      <c r="D340" s="26"/>
      <c r="E340" s="4"/>
      <c r="F340" s="4"/>
      <c r="G340" s="4"/>
      <c r="H340" s="4"/>
      <c r="I340" s="4"/>
      <c r="J340" s="4"/>
      <c r="K340" s="4"/>
      <c r="L340" s="4"/>
      <c r="M340" s="4"/>
      <c r="N340" s="4"/>
      <c r="O340" s="4"/>
      <c r="P340" s="4"/>
      <c r="Q340" s="4"/>
      <c r="R340" s="4"/>
      <c r="S340" s="4"/>
      <c r="T340" s="4"/>
      <c r="U340" s="4"/>
      <c r="V340" s="4"/>
      <c r="W340" s="4"/>
      <c r="X340" s="4"/>
      <c r="Y340" s="4"/>
      <c r="Z340" s="4"/>
      <c r="AA340" s="21"/>
    </row>
    <row r="341">
      <c r="A341" s="4"/>
      <c r="B341" s="4"/>
      <c r="C341" s="4"/>
      <c r="D341" s="26"/>
      <c r="E341" s="4"/>
      <c r="F341" s="4"/>
      <c r="G341" s="4"/>
      <c r="H341" s="4"/>
      <c r="I341" s="4"/>
      <c r="J341" s="4"/>
      <c r="K341" s="4"/>
      <c r="L341" s="4"/>
      <c r="M341" s="4"/>
      <c r="N341" s="4"/>
      <c r="O341" s="4"/>
      <c r="P341" s="4"/>
      <c r="Q341" s="4"/>
      <c r="R341" s="4"/>
      <c r="S341" s="4"/>
      <c r="T341" s="4"/>
      <c r="U341" s="4"/>
      <c r="V341" s="4"/>
      <c r="W341" s="4"/>
      <c r="X341" s="4"/>
      <c r="Y341" s="4"/>
      <c r="Z341" s="4"/>
      <c r="AA341" s="21"/>
    </row>
    <row r="342">
      <c r="A342" s="4"/>
      <c r="B342" s="4"/>
      <c r="C342" s="4"/>
      <c r="D342" s="26"/>
      <c r="E342" s="4"/>
      <c r="F342" s="4"/>
      <c r="G342" s="4"/>
      <c r="H342" s="4"/>
      <c r="I342" s="4"/>
      <c r="J342" s="4"/>
      <c r="K342" s="4"/>
      <c r="L342" s="4"/>
      <c r="M342" s="4"/>
      <c r="N342" s="4"/>
      <c r="O342" s="4"/>
      <c r="P342" s="4"/>
      <c r="Q342" s="4"/>
      <c r="R342" s="4"/>
      <c r="S342" s="4"/>
      <c r="T342" s="4"/>
      <c r="U342" s="4"/>
      <c r="V342" s="4"/>
      <c r="W342" s="4"/>
      <c r="X342" s="4"/>
      <c r="Y342" s="4"/>
      <c r="Z342" s="4"/>
      <c r="AA342" s="21"/>
    </row>
    <row r="343">
      <c r="A343" s="4"/>
      <c r="B343" s="4"/>
      <c r="C343" s="4"/>
      <c r="D343" s="26"/>
      <c r="E343" s="4"/>
      <c r="F343" s="4"/>
      <c r="G343" s="4"/>
      <c r="H343" s="4"/>
      <c r="I343" s="4"/>
      <c r="J343" s="4"/>
      <c r="K343" s="4"/>
      <c r="L343" s="4"/>
      <c r="M343" s="4"/>
      <c r="N343" s="4"/>
      <c r="O343" s="4"/>
      <c r="P343" s="4"/>
      <c r="Q343" s="4"/>
      <c r="R343" s="4"/>
      <c r="S343" s="4"/>
      <c r="T343" s="4"/>
      <c r="U343" s="4"/>
      <c r="V343" s="4"/>
      <c r="W343" s="4"/>
      <c r="X343" s="4"/>
      <c r="Y343" s="4"/>
      <c r="Z343" s="4"/>
      <c r="AA343" s="21"/>
    </row>
    <row r="344">
      <c r="A344" s="4"/>
      <c r="B344" s="4"/>
      <c r="C344" s="4"/>
      <c r="D344" s="26"/>
      <c r="E344" s="4"/>
      <c r="F344" s="4"/>
      <c r="G344" s="4"/>
      <c r="H344" s="4"/>
      <c r="I344" s="4"/>
      <c r="J344" s="4"/>
      <c r="K344" s="4"/>
      <c r="L344" s="4"/>
      <c r="M344" s="4"/>
      <c r="N344" s="4"/>
      <c r="O344" s="4"/>
      <c r="P344" s="4"/>
      <c r="Q344" s="4"/>
      <c r="R344" s="4"/>
      <c r="S344" s="4"/>
      <c r="T344" s="4"/>
      <c r="U344" s="4"/>
      <c r="V344" s="4"/>
      <c r="W344" s="4"/>
      <c r="X344" s="4"/>
      <c r="Y344" s="4"/>
      <c r="Z344" s="4"/>
      <c r="AA344" s="21"/>
    </row>
    <row r="345">
      <c r="A345" s="4"/>
      <c r="B345" s="4"/>
      <c r="C345" s="4"/>
      <c r="D345" s="26"/>
      <c r="E345" s="4"/>
      <c r="F345" s="4"/>
      <c r="G345" s="4"/>
      <c r="H345" s="4"/>
      <c r="I345" s="4"/>
      <c r="J345" s="4"/>
      <c r="K345" s="4"/>
      <c r="L345" s="4"/>
      <c r="M345" s="4"/>
      <c r="N345" s="4"/>
      <c r="O345" s="4"/>
      <c r="P345" s="4"/>
      <c r="Q345" s="4"/>
      <c r="R345" s="4"/>
      <c r="S345" s="4"/>
      <c r="T345" s="4"/>
      <c r="U345" s="4"/>
      <c r="V345" s="4"/>
      <c r="W345" s="4"/>
      <c r="X345" s="4"/>
      <c r="Y345" s="4"/>
      <c r="Z345" s="4"/>
      <c r="AA345" s="21"/>
    </row>
    <row r="346">
      <c r="A346" s="4"/>
      <c r="B346" s="4"/>
      <c r="C346" s="4"/>
      <c r="D346" s="26"/>
      <c r="E346" s="4"/>
      <c r="F346" s="4"/>
      <c r="G346" s="4"/>
      <c r="H346" s="4"/>
      <c r="I346" s="4"/>
      <c r="J346" s="4"/>
      <c r="K346" s="4"/>
      <c r="L346" s="4"/>
      <c r="M346" s="4"/>
      <c r="N346" s="4"/>
      <c r="O346" s="4"/>
      <c r="P346" s="4"/>
      <c r="Q346" s="4"/>
      <c r="R346" s="4"/>
      <c r="S346" s="4"/>
      <c r="T346" s="4"/>
      <c r="U346" s="4"/>
      <c r="V346" s="4"/>
      <c r="W346" s="4"/>
      <c r="X346" s="4"/>
      <c r="Y346" s="4"/>
      <c r="Z346" s="4"/>
      <c r="AA346" s="21"/>
    </row>
    <row r="347">
      <c r="A347" s="4"/>
      <c r="B347" s="4"/>
      <c r="C347" s="4"/>
      <c r="D347" s="26"/>
      <c r="E347" s="4"/>
      <c r="F347" s="4"/>
      <c r="G347" s="4"/>
      <c r="H347" s="4"/>
      <c r="I347" s="4"/>
      <c r="J347" s="4"/>
      <c r="K347" s="4"/>
      <c r="L347" s="4"/>
      <c r="M347" s="4"/>
      <c r="N347" s="4"/>
      <c r="O347" s="4"/>
      <c r="P347" s="4"/>
      <c r="Q347" s="4"/>
      <c r="R347" s="4"/>
      <c r="S347" s="4"/>
      <c r="T347" s="4"/>
      <c r="U347" s="4"/>
      <c r="V347" s="4"/>
      <c r="W347" s="4"/>
      <c r="X347" s="4"/>
      <c r="Y347" s="4"/>
      <c r="Z347" s="4"/>
      <c r="AA347" s="21"/>
    </row>
    <row r="348">
      <c r="A348" s="4"/>
      <c r="B348" s="4"/>
      <c r="C348" s="4"/>
      <c r="D348" s="26"/>
      <c r="E348" s="4"/>
      <c r="F348" s="4"/>
      <c r="G348" s="4"/>
      <c r="H348" s="4"/>
      <c r="I348" s="4"/>
      <c r="J348" s="4"/>
      <c r="K348" s="4"/>
      <c r="L348" s="4"/>
      <c r="M348" s="4"/>
      <c r="N348" s="4"/>
      <c r="O348" s="4"/>
      <c r="P348" s="4"/>
      <c r="Q348" s="4"/>
      <c r="R348" s="4"/>
      <c r="S348" s="4"/>
      <c r="T348" s="4"/>
      <c r="U348" s="4"/>
      <c r="V348" s="4"/>
      <c r="W348" s="4"/>
      <c r="X348" s="4"/>
      <c r="Y348" s="4"/>
      <c r="Z348" s="4"/>
      <c r="AA348" s="21"/>
    </row>
    <row r="349">
      <c r="A349" s="4"/>
      <c r="B349" s="4"/>
      <c r="C349" s="4"/>
      <c r="D349" s="26"/>
      <c r="E349" s="4"/>
      <c r="F349" s="4"/>
      <c r="G349" s="4"/>
      <c r="H349" s="4"/>
      <c r="I349" s="4"/>
      <c r="J349" s="4"/>
      <c r="K349" s="4"/>
      <c r="L349" s="4"/>
      <c r="M349" s="4"/>
      <c r="N349" s="4"/>
      <c r="O349" s="4"/>
      <c r="P349" s="4"/>
      <c r="Q349" s="4"/>
      <c r="R349" s="4"/>
      <c r="S349" s="4"/>
      <c r="T349" s="4"/>
      <c r="U349" s="4"/>
      <c r="V349" s="4"/>
      <c r="W349" s="4"/>
      <c r="X349" s="4"/>
      <c r="Y349" s="4"/>
      <c r="Z349" s="4"/>
      <c r="AA349" s="21"/>
    </row>
    <row r="350">
      <c r="A350" s="4"/>
      <c r="B350" s="4"/>
      <c r="C350" s="4"/>
      <c r="D350" s="26"/>
      <c r="E350" s="4"/>
      <c r="F350" s="4"/>
      <c r="G350" s="4"/>
      <c r="H350" s="4"/>
      <c r="I350" s="4"/>
      <c r="J350" s="4"/>
      <c r="K350" s="4"/>
      <c r="L350" s="4"/>
      <c r="M350" s="4"/>
      <c r="N350" s="4"/>
      <c r="O350" s="4"/>
      <c r="P350" s="4"/>
      <c r="Q350" s="4"/>
      <c r="R350" s="4"/>
      <c r="S350" s="4"/>
      <c r="T350" s="4"/>
      <c r="U350" s="4"/>
      <c r="V350" s="4"/>
      <c r="W350" s="4"/>
      <c r="X350" s="4"/>
      <c r="Y350" s="4"/>
      <c r="Z350" s="4"/>
      <c r="AA350" s="21"/>
    </row>
    <row r="351">
      <c r="A351" s="4"/>
      <c r="B351" s="4"/>
      <c r="C351" s="4"/>
      <c r="D351" s="26"/>
      <c r="E351" s="4"/>
      <c r="F351" s="4"/>
      <c r="G351" s="4"/>
      <c r="H351" s="4"/>
      <c r="I351" s="4"/>
      <c r="J351" s="4"/>
      <c r="K351" s="4"/>
      <c r="L351" s="4"/>
      <c r="M351" s="4"/>
      <c r="N351" s="4"/>
      <c r="O351" s="4"/>
      <c r="P351" s="4"/>
      <c r="Q351" s="4"/>
      <c r="R351" s="4"/>
      <c r="S351" s="4"/>
      <c r="T351" s="4"/>
      <c r="U351" s="4"/>
      <c r="V351" s="4"/>
      <c r="W351" s="4"/>
      <c r="X351" s="4"/>
      <c r="Y351" s="4"/>
      <c r="Z351" s="4"/>
      <c r="AA351" s="21"/>
    </row>
    <row r="352">
      <c r="A352" s="4"/>
      <c r="B352" s="4"/>
      <c r="C352" s="4"/>
      <c r="D352" s="26"/>
      <c r="E352" s="4"/>
      <c r="F352" s="4"/>
      <c r="G352" s="4"/>
      <c r="H352" s="4"/>
      <c r="I352" s="4"/>
      <c r="J352" s="4"/>
      <c r="K352" s="4"/>
      <c r="L352" s="4"/>
      <c r="M352" s="4"/>
      <c r="N352" s="4"/>
      <c r="O352" s="4"/>
      <c r="P352" s="4"/>
      <c r="Q352" s="4"/>
      <c r="R352" s="4"/>
      <c r="S352" s="4"/>
      <c r="T352" s="4"/>
      <c r="U352" s="4"/>
      <c r="V352" s="4"/>
      <c r="W352" s="4"/>
      <c r="X352" s="4"/>
      <c r="Y352" s="4"/>
      <c r="Z352" s="4"/>
      <c r="AA352" s="21"/>
    </row>
    <row r="353">
      <c r="A353" s="4"/>
      <c r="B353" s="4"/>
      <c r="C353" s="4"/>
      <c r="D353" s="26"/>
      <c r="E353" s="4"/>
      <c r="F353" s="4"/>
      <c r="G353" s="4"/>
      <c r="H353" s="4"/>
      <c r="I353" s="4"/>
      <c r="J353" s="4"/>
      <c r="K353" s="4"/>
      <c r="L353" s="4"/>
      <c r="M353" s="4"/>
      <c r="N353" s="4"/>
      <c r="O353" s="4"/>
      <c r="P353" s="4"/>
      <c r="Q353" s="4"/>
      <c r="R353" s="4"/>
      <c r="S353" s="4"/>
      <c r="T353" s="4"/>
      <c r="U353" s="4"/>
      <c r="V353" s="4"/>
      <c r="W353" s="4"/>
      <c r="X353" s="4"/>
      <c r="Y353" s="4"/>
      <c r="Z353" s="4"/>
      <c r="AA353" s="21"/>
    </row>
    <row r="354">
      <c r="A354" s="4"/>
      <c r="B354" s="4"/>
      <c r="C354" s="4"/>
      <c r="D354" s="26"/>
      <c r="E354" s="4"/>
      <c r="F354" s="4"/>
      <c r="G354" s="4"/>
      <c r="H354" s="4"/>
      <c r="I354" s="4"/>
      <c r="J354" s="4"/>
      <c r="K354" s="4"/>
      <c r="L354" s="4"/>
      <c r="M354" s="4"/>
      <c r="N354" s="4"/>
      <c r="O354" s="4"/>
      <c r="P354" s="4"/>
      <c r="Q354" s="4"/>
      <c r="R354" s="4"/>
      <c r="S354" s="4"/>
      <c r="T354" s="4"/>
      <c r="U354" s="4"/>
      <c r="V354" s="4"/>
      <c r="W354" s="4"/>
      <c r="X354" s="4"/>
      <c r="Y354" s="4"/>
      <c r="Z354" s="4"/>
      <c r="AA354" s="21"/>
    </row>
    <row r="355">
      <c r="A355" s="4"/>
      <c r="B355" s="4"/>
      <c r="C355" s="4"/>
      <c r="D355" s="26"/>
      <c r="E355" s="4"/>
      <c r="F355" s="4"/>
      <c r="G355" s="4"/>
      <c r="H355" s="4"/>
      <c r="I355" s="4"/>
      <c r="J355" s="4"/>
      <c r="K355" s="4"/>
      <c r="L355" s="4"/>
      <c r="M355" s="4"/>
      <c r="N355" s="4"/>
      <c r="O355" s="4"/>
      <c r="P355" s="4"/>
      <c r="Q355" s="4"/>
      <c r="R355" s="4"/>
      <c r="S355" s="4"/>
      <c r="T355" s="4"/>
      <c r="U355" s="4"/>
      <c r="V355" s="4"/>
      <c r="W355" s="4"/>
      <c r="X355" s="4"/>
      <c r="Y355" s="4"/>
      <c r="Z355" s="4"/>
      <c r="AA355" s="21"/>
    </row>
    <row r="356">
      <c r="A356" s="4"/>
      <c r="B356" s="4"/>
      <c r="C356" s="4"/>
      <c r="D356" s="26"/>
      <c r="E356" s="4"/>
      <c r="F356" s="4"/>
      <c r="G356" s="4"/>
      <c r="H356" s="4"/>
      <c r="I356" s="4"/>
      <c r="J356" s="4"/>
      <c r="K356" s="4"/>
      <c r="L356" s="4"/>
      <c r="M356" s="4"/>
      <c r="N356" s="4"/>
      <c r="O356" s="4"/>
      <c r="P356" s="4"/>
      <c r="Q356" s="4"/>
      <c r="R356" s="4"/>
      <c r="S356" s="4"/>
      <c r="T356" s="4"/>
      <c r="U356" s="4"/>
      <c r="V356" s="4"/>
      <c r="W356" s="4"/>
      <c r="X356" s="4"/>
      <c r="Y356" s="4"/>
      <c r="Z356" s="4"/>
      <c r="AA356" s="21"/>
    </row>
    <row r="357">
      <c r="A357" s="4"/>
      <c r="B357" s="4"/>
      <c r="C357" s="4"/>
      <c r="D357" s="26"/>
      <c r="E357" s="4"/>
      <c r="F357" s="4"/>
      <c r="G357" s="4"/>
      <c r="H357" s="4"/>
      <c r="I357" s="4"/>
      <c r="J357" s="4"/>
      <c r="K357" s="4"/>
      <c r="L357" s="4"/>
      <c r="M357" s="4"/>
      <c r="N357" s="4"/>
      <c r="O357" s="4"/>
      <c r="P357" s="4"/>
      <c r="Q357" s="4"/>
      <c r="R357" s="4"/>
      <c r="S357" s="4"/>
      <c r="T357" s="4"/>
      <c r="U357" s="4"/>
      <c r="V357" s="4"/>
      <c r="W357" s="4"/>
      <c r="X357" s="4"/>
      <c r="Y357" s="4"/>
      <c r="Z357" s="4"/>
      <c r="AA357" s="21"/>
    </row>
    <row r="358">
      <c r="A358" s="4"/>
      <c r="B358" s="4"/>
      <c r="C358" s="4"/>
      <c r="D358" s="26"/>
      <c r="E358" s="4"/>
      <c r="F358" s="4"/>
      <c r="G358" s="4"/>
      <c r="H358" s="4"/>
      <c r="I358" s="4"/>
      <c r="J358" s="4"/>
      <c r="K358" s="4"/>
      <c r="L358" s="4"/>
      <c r="M358" s="4"/>
      <c r="N358" s="4"/>
      <c r="O358" s="4"/>
      <c r="P358" s="4"/>
      <c r="Q358" s="4"/>
      <c r="R358" s="4"/>
      <c r="S358" s="4"/>
      <c r="T358" s="4"/>
      <c r="U358" s="4"/>
      <c r="V358" s="4"/>
      <c r="W358" s="4"/>
      <c r="X358" s="4"/>
      <c r="Y358" s="4"/>
      <c r="Z358" s="4"/>
      <c r="AA358" s="21"/>
    </row>
    <row r="359">
      <c r="A359" s="4"/>
      <c r="B359" s="4"/>
      <c r="C359" s="4"/>
      <c r="D359" s="26"/>
      <c r="E359" s="4"/>
      <c r="F359" s="4"/>
      <c r="G359" s="4"/>
      <c r="H359" s="4"/>
      <c r="I359" s="4"/>
      <c r="J359" s="4"/>
      <c r="K359" s="4"/>
      <c r="L359" s="4"/>
      <c r="M359" s="4"/>
      <c r="N359" s="4"/>
      <c r="O359" s="4"/>
      <c r="P359" s="4"/>
      <c r="Q359" s="4"/>
      <c r="R359" s="4"/>
      <c r="S359" s="4"/>
      <c r="T359" s="4"/>
      <c r="U359" s="4"/>
      <c r="V359" s="4"/>
      <c r="W359" s="4"/>
      <c r="X359" s="4"/>
      <c r="Y359" s="4"/>
      <c r="Z359" s="4"/>
      <c r="AA359" s="21"/>
    </row>
    <row r="360">
      <c r="A360" s="4"/>
      <c r="B360" s="4"/>
      <c r="C360" s="4"/>
      <c r="D360" s="26"/>
      <c r="E360" s="4"/>
      <c r="F360" s="4"/>
      <c r="G360" s="4"/>
      <c r="H360" s="4"/>
      <c r="I360" s="4"/>
      <c r="J360" s="4"/>
      <c r="K360" s="4"/>
      <c r="L360" s="4"/>
      <c r="M360" s="4"/>
      <c r="N360" s="4"/>
      <c r="O360" s="4"/>
      <c r="P360" s="4"/>
      <c r="Q360" s="4"/>
      <c r="R360" s="4"/>
      <c r="S360" s="4"/>
      <c r="T360" s="4"/>
      <c r="U360" s="4"/>
      <c r="V360" s="4"/>
      <c r="W360" s="4"/>
      <c r="X360" s="4"/>
      <c r="Y360" s="4"/>
      <c r="Z360" s="4"/>
      <c r="AA360" s="21"/>
    </row>
    <row r="361">
      <c r="A361" s="4"/>
      <c r="B361" s="4"/>
      <c r="C361" s="4"/>
      <c r="D361" s="26"/>
      <c r="E361" s="4"/>
      <c r="F361" s="4"/>
      <c r="G361" s="4"/>
      <c r="H361" s="4"/>
      <c r="I361" s="4"/>
      <c r="J361" s="4"/>
      <c r="K361" s="4"/>
      <c r="L361" s="4"/>
      <c r="M361" s="4"/>
      <c r="N361" s="4"/>
      <c r="O361" s="4"/>
      <c r="P361" s="4"/>
      <c r="Q361" s="4"/>
      <c r="R361" s="4"/>
      <c r="S361" s="4"/>
      <c r="T361" s="4"/>
      <c r="U361" s="4"/>
      <c r="V361" s="4"/>
      <c r="W361" s="4"/>
      <c r="X361" s="4"/>
      <c r="Y361" s="4"/>
      <c r="Z361" s="4"/>
      <c r="AA361" s="21"/>
    </row>
    <row r="362">
      <c r="A362" s="4"/>
      <c r="B362" s="4"/>
      <c r="C362" s="4"/>
      <c r="D362" s="26"/>
      <c r="E362" s="4"/>
      <c r="F362" s="4"/>
      <c r="G362" s="4"/>
      <c r="H362" s="4"/>
      <c r="I362" s="4"/>
      <c r="J362" s="4"/>
      <c r="K362" s="4"/>
      <c r="L362" s="4"/>
      <c r="M362" s="4"/>
      <c r="N362" s="4"/>
      <c r="O362" s="4"/>
      <c r="P362" s="4"/>
      <c r="Q362" s="4"/>
      <c r="R362" s="4"/>
      <c r="S362" s="4"/>
      <c r="T362" s="4"/>
      <c r="U362" s="4"/>
      <c r="V362" s="4"/>
      <c r="W362" s="4"/>
      <c r="X362" s="4"/>
      <c r="Y362" s="4"/>
      <c r="Z362" s="4"/>
      <c r="AA362" s="21"/>
    </row>
    <row r="363">
      <c r="A363" s="4"/>
      <c r="B363" s="4"/>
      <c r="C363" s="4"/>
      <c r="D363" s="26"/>
      <c r="E363" s="4"/>
      <c r="F363" s="4"/>
      <c r="G363" s="4"/>
      <c r="H363" s="4"/>
      <c r="I363" s="4"/>
      <c r="J363" s="4"/>
      <c r="K363" s="4"/>
      <c r="L363" s="4"/>
      <c r="M363" s="4"/>
      <c r="N363" s="4"/>
      <c r="O363" s="4"/>
      <c r="P363" s="4"/>
      <c r="Q363" s="4"/>
      <c r="R363" s="4"/>
      <c r="S363" s="4"/>
      <c r="T363" s="4"/>
      <c r="U363" s="4"/>
      <c r="V363" s="4"/>
      <c r="W363" s="4"/>
      <c r="X363" s="4"/>
      <c r="Y363" s="4"/>
      <c r="Z363" s="4"/>
      <c r="AA363" s="21"/>
    </row>
    <row r="364">
      <c r="A364" s="4"/>
      <c r="B364" s="4"/>
      <c r="C364" s="4"/>
      <c r="D364" s="26"/>
      <c r="E364" s="4"/>
      <c r="F364" s="4"/>
      <c r="G364" s="4"/>
      <c r="H364" s="4"/>
      <c r="I364" s="4"/>
      <c r="J364" s="4"/>
      <c r="K364" s="4"/>
      <c r="L364" s="4"/>
      <c r="M364" s="4"/>
      <c r="N364" s="4"/>
      <c r="O364" s="4"/>
      <c r="P364" s="4"/>
      <c r="Q364" s="4"/>
      <c r="R364" s="4"/>
      <c r="S364" s="4"/>
      <c r="T364" s="4"/>
      <c r="U364" s="4"/>
      <c r="V364" s="4"/>
      <c r="W364" s="4"/>
      <c r="X364" s="4"/>
      <c r="Y364" s="4"/>
      <c r="Z364" s="4"/>
      <c r="AA364" s="21"/>
    </row>
    <row r="365">
      <c r="A365" s="4"/>
      <c r="B365" s="4"/>
      <c r="C365" s="4"/>
      <c r="D365" s="26"/>
      <c r="E365" s="4"/>
      <c r="F365" s="4"/>
      <c r="G365" s="4"/>
      <c r="H365" s="4"/>
      <c r="I365" s="4"/>
      <c r="J365" s="4"/>
      <c r="K365" s="4"/>
      <c r="L365" s="4"/>
      <c r="M365" s="4"/>
      <c r="N365" s="4"/>
      <c r="O365" s="4"/>
      <c r="P365" s="4"/>
      <c r="Q365" s="4"/>
      <c r="R365" s="4"/>
      <c r="S365" s="4"/>
      <c r="T365" s="4"/>
      <c r="U365" s="4"/>
      <c r="V365" s="4"/>
      <c r="W365" s="4"/>
      <c r="X365" s="4"/>
      <c r="Y365" s="4"/>
      <c r="Z365" s="4"/>
      <c r="AA365" s="21"/>
    </row>
    <row r="366">
      <c r="A366" s="4"/>
      <c r="B366" s="4"/>
      <c r="C366" s="4"/>
      <c r="D366" s="26"/>
      <c r="E366" s="4"/>
      <c r="F366" s="4"/>
      <c r="G366" s="4"/>
      <c r="H366" s="4"/>
      <c r="I366" s="4"/>
      <c r="J366" s="4"/>
      <c r="K366" s="4"/>
      <c r="L366" s="4"/>
      <c r="M366" s="4"/>
      <c r="N366" s="4"/>
      <c r="O366" s="4"/>
      <c r="P366" s="4"/>
      <c r="Q366" s="4"/>
      <c r="R366" s="4"/>
      <c r="S366" s="4"/>
      <c r="T366" s="4"/>
      <c r="U366" s="4"/>
      <c r="V366" s="4"/>
      <c r="W366" s="4"/>
      <c r="X366" s="4"/>
      <c r="Y366" s="4"/>
      <c r="Z366" s="4"/>
      <c r="AA366" s="21"/>
    </row>
    <row r="367">
      <c r="A367" s="4"/>
      <c r="B367" s="4"/>
      <c r="C367" s="4"/>
      <c r="D367" s="26"/>
      <c r="E367" s="4"/>
      <c r="F367" s="4"/>
      <c r="G367" s="4"/>
      <c r="H367" s="4"/>
      <c r="I367" s="4"/>
      <c r="J367" s="4"/>
      <c r="K367" s="4"/>
      <c r="L367" s="4"/>
      <c r="M367" s="4"/>
      <c r="N367" s="4"/>
      <c r="O367" s="4"/>
      <c r="P367" s="4"/>
      <c r="Q367" s="4"/>
      <c r="R367" s="4"/>
      <c r="S367" s="4"/>
      <c r="T367" s="4"/>
      <c r="U367" s="4"/>
      <c r="V367" s="4"/>
      <c r="W367" s="4"/>
      <c r="X367" s="4"/>
      <c r="Y367" s="4"/>
      <c r="Z367" s="4"/>
      <c r="AA367" s="21"/>
    </row>
    <row r="368">
      <c r="A368" s="4"/>
      <c r="B368" s="4"/>
      <c r="C368" s="4"/>
      <c r="D368" s="26"/>
      <c r="E368" s="4"/>
      <c r="F368" s="4"/>
      <c r="G368" s="4"/>
      <c r="H368" s="4"/>
      <c r="I368" s="4"/>
      <c r="J368" s="4"/>
      <c r="K368" s="4"/>
      <c r="L368" s="4"/>
      <c r="M368" s="4"/>
      <c r="N368" s="4"/>
      <c r="O368" s="4"/>
      <c r="P368" s="4"/>
      <c r="Q368" s="4"/>
      <c r="R368" s="4"/>
      <c r="S368" s="4"/>
      <c r="T368" s="4"/>
      <c r="U368" s="4"/>
      <c r="V368" s="4"/>
      <c r="W368" s="4"/>
      <c r="X368" s="4"/>
      <c r="Y368" s="4"/>
      <c r="Z368" s="4"/>
      <c r="AA368" s="21"/>
    </row>
    <row r="369">
      <c r="A369" s="4"/>
      <c r="B369" s="4"/>
      <c r="C369" s="4"/>
      <c r="D369" s="26"/>
      <c r="E369" s="4"/>
      <c r="F369" s="4"/>
      <c r="G369" s="4"/>
      <c r="H369" s="4"/>
      <c r="I369" s="4"/>
      <c r="J369" s="4"/>
      <c r="K369" s="4"/>
      <c r="L369" s="4"/>
      <c r="M369" s="4"/>
      <c r="N369" s="4"/>
      <c r="O369" s="4"/>
      <c r="P369" s="4"/>
      <c r="Q369" s="4"/>
      <c r="R369" s="4"/>
      <c r="S369" s="4"/>
      <c r="T369" s="4"/>
      <c r="U369" s="4"/>
      <c r="V369" s="4"/>
      <c r="W369" s="4"/>
      <c r="X369" s="4"/>
      <c r="Y369" s="4"/>
      <c r="Z369" s="4"/>
      <c r="AA369" s="21"/>
    </row>
    <row r="370">
      <c r="A370" s="4"/>
      <c r="B370" s="4"/>
      <c r="C370" s="4"/>
      <c r="D370" s="26"/>
      <c r="E370" s="4"/>
      <c r="F370" s="4"/>
      <c r="G370" s="4"/>
      <c r="H370" s="4"/>
      <c r="I370" s="4"/>
      <c r="J370" s="4"/>
      <c r="K370" s="4"/>
      <c r="L370" s="4"/>
      <c r="M370" s="4"/>
      <c r="N370" s="4"/>
      <c r="O370" s="4"/>
      <c r="P370" s="4"/>
      <c r="Q370" s="4"/>
      <c r="R370" s="4"/>
      <c r="S370" s="4"/>
      <c r="T370" s="4"/>
      <c r="U370" s="4"/>
      <c r="V370" s="4"/>
      <c r="W370" s="4"/>
      <c r="X370" s="4"/>
      <c r="Y370" s="4"/>
      <c r="Z370" s="4"/>
      <c r="AA370" s="21"/>
    </row>
    <row r="371">
      <c r="A371" s="4"/>
      <c r="B371" s="4"/>
      <c r="C371" s="4"/>
      <c r="D371" s="26"/>
      <c r="E371" s="4"/>
      <c r="F371" s="4"/>
      <c r="G371" s="4"/>
      <c r="H371" s="4"/>
      <c r="I371" s="4"/>
      <c r="J371" s="4"/>
      <c r="K371" s="4"/>
      <c r="L371" s="4"/>
      <c r="M371" s="4"/>
      <c r="N371" s="4"/>
      <c r="O371" s="4"/>
      <c r="P371" s="4"/>
      <c r="Q371" s="4"/>
      <c r="R371" s="4"/>
      <c r="S371" s="4"/>
      <c r="T371" s="4"/>
      <c r="U371" s="4"/>
      <c r="V371" s="4"/>
      <c r="W371" s="4"/>
      <c r="X371" s="4"/>
      <c r="Y371" s="4"/>
      <c r="Z371" s="4"/>
      <c r="AA371" s="21"/>
    </row>
    <row r="372">
      <c r="A372" s="4"/>
      <c r="B372" s="4"/>
      <c r="C372" s="4"/>
      <c r="D372" s="26"/>
      <c r="E372" s="4"/>
      <c r="F372" s="4"/>
      <c r="G372" s="4"/>
      <c r="H372" s="4"/>
      <c r="I372" s="4"/>
      <c r="J372" s="4"/>
      <c r="K372" s="4"/>
      <c r="L372" s="4"/>
      <c r="M372" s="4"/>
      <c r="N372" s="4"/>
      <c r="O372" s="4"/>
      <c r="P372" s="4"/>
      <c r="Q372" s="4"/>
      <c r="R372" s="4"/>
      <c r="S372" s="4"/>
      <c r="T372" s="4"/>
      <c r="U372" s="4"/>
      <c r="V372" s="4"/>
      <c r="W372" s="4"/>
      <c r="X372" s="4"/>
      <c r="Y372" s="4"/>
      <c r="Z372" s="4"/>
      <c r="AA372" s="21"/>
    </row>
    <row r="373">
      <c r="A373" s="4"/>
      <c r="B373" s="4"/>
      <c r="C373" s="4"/>
      <c r="D373" s="26"/>
      <c r="E373" s="4"/>
      <c r="F373" s="4"/>
      <c r="G373" s="4"/>
      <c r="H373" s="4"/>
      <c r="I373" s="4"/>
      <c r="J373" s="4"/>
      <c r="K373" s="4"/>
      <c r="L373" s="4"/>
      <c r="M373" s="4"/>
      <c r="N373" s="4"/>
      <c r="O373" s="4"/>
      <c r="P373" s="4"/>
      <c r="Q373" s="4"/>
      <c r="R373" s="4"/>
      <c r="S373" s="4"/>
      <c r="T373" s="4"/>
      <c r="U373" s="4"/>
      <c r="V373" s="4"/>
      <c r="W373" s="4"/>
      <c r="X373" s="4"/>
      <c r="Y373" s="4"/>
      <c r="Z373" s="4"/>
      <c r="AA373" s="21"/>
    </row>
    <row r="374">
      <c r="A374" s="4"/>
      <c r="B374" s="4"/>
      <c r="C374" s="4"/>
      <c r="D374" s="26"/>
      <c r="E374" s="4"/>
      <c r="F374" s="4"/>
      <c r="G374" s="4"/>
      <c r="H374" s="4"/>
      <c r="I374" s="4"/>
      <c r="J374" s="4"/>
      <c r="K374" s="4"/>
      <c r="L374" s="4"/>
      <c r="M374" s="4"/>
      <c r="N374" s="4"/>
      <c r="O374" s="4"/>
      <c r="P374" s="4"/>
      <c r="Q374" s="4"/>
      <c r="R374" s="4"/>
      <c r="S374" s="4"/>
      <c r="T374" s="4"/>
      <c r="U374" s="4"/>
      <c r="V374" s="4"/>
      <c r="W374" s="4"/>
      <c r="X374" s="4"/>
      <c r="Y374" s="4"/>
      <c r="Z374" s="4"/>
      <c r="AA374" s="21"/>
    </row>
    <row r="375">
      <c r="A375" s="4"/>
      <c r="B375" s="4"/>
      <c r="C375" s="4"/>
      <c r="D375" s="26"/>
      <c r="E375" s="4"/>
      <c r="F375" s="4"/>
      <c r="G375" s="4"/>
      <c r="H375" s="4"/>
      <c r="I375" s="4"/>
      <c r="J375" s="4"/>
      <c r="K375" s="4"/>
      <c r="L375" s="4"/>
      <c r="M375" s="4"/>
      <c r="N375" s="4"/>
      <c r="O375" s="4"/>
      <c r="P375" s="4"/>
      <c r="Q375" s="4"/>
      <c r="R375" s="4"/>
      <c r="S375" s="4"/>
      <c r="T375" s="4"/>
      <c r="U375" s="4"/>
      <c r="V375" s="4"/>
      <c r="W375" s="4"/>
      <c r="X375" s="4"/>
      <c r="Y375" s="4"/>
      <c r="Z375" s="4"/>
      <c r="AA375" s="21"/>
    </row>
    <row r="376">
      <c r="A376" s="4"/>
      <c r="B376" s="4"/>
      <c r="C376" s="4"/>
      <c r="D376" s="26"/>
      <c r="E376" s="4"/>
      <c r="F376" s="4"/>
      <c r="G376" s="4"/>
      <c r="H376" s="4"/>
      <c r="I376" s="4"/>
      <c r="J376" s="4"/>
      <c r="K376" s="4"/>
      <c r="L376" s="4"/>
      <c r="M376" s="4"/>
      <c r="N376" s="4"/>
      <c r="O376" s="4"/>
      <c r="P376" s="4"/>
      <c r="Q376" s="4"/>
      <c r="R376" s="4"/>
      <c r="S376" s="4"/>
      <c r="T376" s="4"/>
      <c r="U376" s="4"/>
      <c r="V376" s="4"/>
      <c r="W376" s="4"/>
      <c r="X376" s="4"/>
      <c r="Y376" s="4"/>
      <c r="Z376" s="4"/>
      <c r="AA376" s="21"/>
    </row>
    <row r="377">
      <c r="A377" s="4"/>
      <c r="B377" s="4"/>
      <c r="C377" s="4"/>
      <c r="D377" s="26"/>
      <c r="E377" s="4"/>
      <c r="F377" s="4"/>
      <c r="G377" s="4"/>
      <c r="H377" s="4"/>
      <c r="I377" s="4"/>
      <c r="J377" s="4"/>
      <c r="K377" s="4"/>
      <c r="L377" s="4"/>
      <c r="M377" s="4"/>
      <c r="N377" s="4"/>
      <c r="O377" s="4"/>
      <c r="P377" s="4"/>
      <c r="Q377" s="4"/>
      <c r="R377" s="4"/>
      <c r="S377" s="4"/>
      <c r="T377" s="4"/>
      <c r="U377" s="4"/>
      <c r="V377" s="4"/>
      <c r="W377" s="4"/>
      <c r="X377" s="4"/>
      <c r="Y377" s="4"/>
      <c r="Z377" s="4"/>
      <c r="AA377" s="21"/>
    </row>
    <row r="378">
      <c r="A378" s="4"/>
      <c r="B378" s="4"/>
      <c r="C378" s="4"/>
      <c r="D378" s="26"/>
      <c r="E378" s="4"/>
      <c r="F378" s="4"/>
      <c r="G378" s="4"/>
      <c r="H378" s="4"/>
      <c r="I378" s="4"/>
      <c r="J378" s="4"/>
      <c r="K378" s="4"/>
      <c r="L378" s="4"/>
      <c r="M378" s="4"/>
      <c r="N378" s="4"/>
      <c r="O378" s="4"/>
      <c r="P378" s="4"/>
      <c r="Q378" s="4"/>
      <c r="R378" s="4"/>
      <c r="S378" s="4"/>
      <c r="T378" s="4"/>
      <c r="U378" s="4"/>
      <c r="V378" s="4"/>
      <c r="W378" s="4"/>
      <c r="X378" s="4"/>
      <c r="Y378" s="4"/>
      <c r="Z378" s="4"/>
      <c r="AA378" s="21"/>
    </row>
    <row r="379">
      <c r="A379" s="4"/>
      <c r="B379" s="4"/>
      <c r="C379" s="4"/>
      <c r="D379" s="26"/>
      <c r="E379" s="4"/>
      <c r="F379" s="4"/>
      <c r="G379" s="4"/>
      <c r="H379" s="4"/>
      <c r="I379" s="4"/>
      <c r="J379" s="4"/>
      <c r="K379" s="4"/>
      <c r="L379" s="4"/>
      <c r="M379" s="4"/>
      <c r="N379" s="4"/>
      <c r="O379" s="4"/>
      <c r="P379" s="4"/>
      <c r="Q379" s="4"/>
      <c r="R379" s="4"/>
      <c r="S379" s="4"/>
      <c r="T379" s="4"/>
      <c r="U379" s="4"/>
      <c r="V379" s="4"/>
      <c r="W379" s="4"/>
      <c r="X379" s="4"/>
      <c r="Y379" s="4"/>
      <c r="Z379" s="4"/>
      <c r="AA379" s="21"/>
    </row>
    <row r="380">
      <c r="A380" s="4"/>
      <c r="B380" s="4"/>
      <c r="C380" s="4"/>
      <c r="D380" s="26"/>
      <c r="E380" s="4"/>
      <c r="F380" s="4"/>
      <c r="G380" s="4"/>
      <c r="H380" s="4"/>
      <c r="I380" s="4"/>
      <c r="J380" s="4"/>
      <c r="K380" s="4"/>
      <c r="L380" s="4"/>
      <c r="M380" s="4"/>
      <c r="N380" s="4"/>
      <c r="O380" s="4"/>
      <c r="P380" s="4"/>
      <c r="Q380" s="4"/>
      <c r="R380" s="4"/>
      <c r="S380" s="4"/>
      <c r="T380" s="4"/>
      <c r="U380" s="4"/>
      <c r="V380" s="4"/>
      <c r="W380" s="4"/>
      <c r="X380" s="4"/>
      <c r="Y380" s="4"/>
      <c r="Z380" s="4"/>
      <c r="AA380" s="21"/>
    </row>
    <row r="381">
      <c r="A381" s="4"/>
      <c r="B381" s="4"/>
      <c r="C381" s="4"/>
      <c r="D381" s="26"/>
      <c r="E381" s="4"/>
      <c r="F381" s="4"/>
      <c r="G381" s="4"/>
      <c r="H381" s="4"/>
      <c r="I381" s="4"/>
      <c r="J381" s="4"/>
      <c r="K381" s="4"/>
      <c r="L381" s="4"/>
      <c r="M381" s="4"/>
      <c r="N381" s="4"/>
      <c r="O381" s="4"/>
      <c r="P381" s="4"/>
      <c r="Q381" s="4"/>
      <c r="R381" s="4"/>
      <c r="S381" s="4"/>
      <c r="T381" s="4"/>
      <c r="U381" s="4"/>
      <c r="V381" s="4"/>
      <c r="W381" s="4"/>
      <c r="X381" s="4"/>
      <c r="Y381" s="4"/>
      <c r="Z381" s="4"/>
      <c r="AA381" s="21"/>
    </row>
    <row r="382">
      <c r="A382" s="4"/>
      <c r="B382" s="4"/>
      <c r="C382" s="4"/>
      <c r="D382" s="26"/>
      <c r="E382" s="4"/>
      <c r="F382" s="4"/>
      <c r="G382" s="4"/>
      <c r="H382" s="4"/>
      <c r="I382" s="4"/>
      <c r="J382" s="4"/>
      <c r="K382" s="4"/>
      <c r="L382" s="4"/>
      <c r="M382" s="4"/>
      <c r="N382" s="4"/>
      <c r="O382" s="4"/>
      <c r="P382" s="4"/>
      <c r="Q382" s="4"/>
      <c r="R382" s="4"/>
      <c r="S382" s="4"/>
      <c r="T382" s="4"/>
      <c r="U382" s="4"/>
      <c r="V382" s="4"/>
      <c r="W382" s="4"/>
      <c r="X382" s="4"/>
      <c r="Y382" s="4"/>
      <c r="Z382" s="4"/>
      <c r="AA382" s="21"/>
    </row>
    <row r="383">
      <c r="A383" s="4"/>
      <c r="B383" s="4"/>
      <c r="C383" s="4"/>
      <c r="D383" s="26"/>
      <c r="E383" s="4"/>
      <c r="F383" s="4"/>
      <c r="G383" s="4"/>
      <c r="H383" s="4"/>
      <c r="I383" s="4"/>
      <c r="J383" s="4"/>
      <c r="K383" s="4"/>
      <c r="L383" s="4"/>
      <c r="M383" s="4"/>
      <c r="N383" s="4"/>
      <c r="O383" s="4"/>
      <c r="P383" s="4"/>
      <c r="Q383" s="4"/>
      <c r="R383" s="4"/>
      <c r="S383" s="4"/>
      <c r="T383" s="4"/>
      <c r="U383" s="4"/>
      <c r="V383" s="4"/>
      <c r="W383" s="4"/>
      <c r="X383" s="4"/>
      <c r="Y383" s="4"/>
      <c r="Z383" s="4"/>
      <c r="AA383" s="21"/>
    </row>
    <row r="384">
      <c r="A384" s="4"/>
      <c r="B384" s="4"/>
      <c r="C384" s="4"/>
      <c r="D384" s="26"/>
      <c r="E384" s="4"/>
      <c r="F384" s="4"/>
      <c r="G384" s="4"/>
      <c r="H384" s="4"/>
      <c r="I384" s="4"/>
      <c r="J384" s="4"/>
      <c r="K384" s="4"/>
      <c r="L384" s="4"/>
      <c r="M384" s="4"/>
      <c r="N384" s="4"/>
      <c r="O384" s="4"/>
      <c r="P384" s="4"/>
      <c r="Q384" s="4"/>
      <c r="R384" s="4"/>
      <c r="S384" s="4"/>
      <c r="T384" s="4"/>
      <c r="U384" s="4"/>
      <c r="V384" s="4"/>
      <c r="W384" s="4"/>
      <c r="X384" s="4"/>
      <c r="Y384" s="4"/>
      <c r="Z384" s="4"/>
      <c r="AA384" s="21"/>
    </row>
    <row r="385">
      <c r="A385" s="4"/>
      <c r="B385" s="4"/>
      <c r="C385" s="4"/>
      <c r="D385" s="26"/>
      <c r="E385" s="4"/>
      <c r="F385" s="4"/>
      <c r="G385" s="4"/>
      <c r="H385" s="4"/>
      <c r="I385" s="4"/>
      <c r="J385" s="4"/>
      <c r="K385" s="4"/>
      <c r="L385" s="4"/>
      <c r="M385" s="4"/>
      <c r="N385" s="4"/>
      <c r="O385" s="4"/>
      <c r="P385" s="4"/>
      <c r="Q385" s="4"/>
      <c r="R385" s="4"/>
      <c r="S385" s="4"/>
      <c r="T385" s="4"/>
      <c r="U385" s="4"/>
      <c r="V385" s="4"/>
      <c r="W385" s="4"/>
      <c r="X385" s="4"/>
      <c r="Y385" s="4"/>
      <c r="Z385" s="4"/>
      <c r="AA385" s="21"/>
    </row>
    <row r="386">
      <c r="A386" s="4"/>
      <c r="B386" s="4"/>
      <c r="C386" s="4"/>
      <c r="D386" s="26"/>
      <c r="E386" s="4"/>
      <c r="F386" s="4"/>
      <c r="G386" s="4"/>
      <c r="H386" s="4"/>
      <c r="I386" s="4"/>
      <c r="J386" s="4"/>
      <c r="K386" s="4"/>
      <c r="L386" s="4"/>
      <c r="M386" s="4"/>
      <c r="N386" s="4"/>
      <c r="O386" s="4"/>
      <c r="P386" s="4"/>
      <c r="Q386" s="4"/>
      <c r="R386" s="4"/>
      <c r="S386" s="4"/>
      <c r="T386" s="4"/>
      <c r="U386" s="4"/>
      <c r="V386" s="4"/>
      <c r="W386" s="4"/>
      <c r="X386" s="4"/>
      <c r="Y386" s="4"/>
      <c r="Z386" s="4"/>
      <c r="AA386" s="21"/>
    </row>
    <row r="387">
      <c r="A387" s="4"/>
      <c r="B387" s="4"/>
      <c r="C387" s="4"/>
      <c r="D387" s="26"/>
      <c r="E387" s="4"/>
      <c r="F387" s="4"/>
      <c r="G387" s="4"/>
      <c r="H387" s="4"/>
      <c r="I387" s="4"/>
      <c r="J387" s="4"/>
      <c r="K387" s="4"/>
      <c r="L387" s="4"/>
      <c r="M387" s="4"/>
      <c r="N387" s="4"/>
      <c r="O387" s="4"/>
      <c r="P387" s="4"/>
      <c r="Q387" s="4"/>
      <c r="R387" s="4"/>
      <c r="S387" s="4"/>
      <c r="T387" s="4"/>
      <c r="U387" s="4"/>
      <c r="V387" s="4"/>
      <c r="W387" s="4"/>
      <c r="X387" s="4"/>
      <c r="Y387" s="4"/>
      <c r="Z387" s="4"/>
      <c r="AA387" s="21"/>
    </row>
    <row r="388">
      <c r="A388" s="4"/>
      <c r="B388" s="4"/>
      <c r="C388" s="4"/>
      <c r="D388" s="26"/>
      <c r="E388" s="4"/>
      <c r="F388" s="4"/>
      <c r="G388" s="4"/>
      <c r="H388" s="4"/>
      <c r="I388" s="4"/>
      <c r="J388" s="4"/>
      <c r="K388" s="4"/>
      <c r="L388" s="4"/>
      <c r="M388" s="4"/>
      <c r="N388" s="4"/>
      <c r="O388" s="4"/>
      <c r="P388" s="4"/>
      <c r="Q388" s="4"/>
      <c r="R388" s="4"/>
      <c r="S388" s="4"/>
      <c r="T388" s="4"/>
      <c r="U388" s="4"/>
      <c r="V388" s="4"/>
      <c r="W388" s="4"/>
      <c r="X388" s="4"/>
      <c r="Y388" s="4"/>
      <c r="Z388" s="4"/>
      <c r="AA388" s="21"/>
    </row>
    <row r="389">
      <c r="A389" s="4"/>
      <c r="B389" s="4"/>
      <c r="C389" s="4"/>
      <c r="D389" s="26"/>
      <c r="E389" s="4"/>
      <c r="F389" s="4"/>
      <c r="G389" s="4"/>
      <c r="H389" s="4"/>
      <c r="I389" s="4"/>
      <c r="J389" s="4"/>
      <c r="K389" s="4"/>
      <c r="L389" s="4"/>
      <c r="M389" s="4"/>
      <c r="N389" s="4"/>
      <c r="O389" s="4"/>
      <c r="P389" s="4"/>
      <c r="Q389" s="4"/>
      <c r="R389" s="4"/>
      <c r="S389" s="4"/>
      <c r="T389" s="4"/>
      <c r="U389" s="4"/>
      <c r="V389" s="4"/>
      <c r="W389" s="4"/>
      <c r="X389" s="4"/>
      <c r="Y389" s="4"/>
      <c r="Z389" s="4"/>
      <c r="AA389" s="21"/>
    </row>
    <row r="390">
      <c r="A390" s="4"/>
      <c r="B390" s="4"/>
      <c r="C390" s="4"/>
      <c r="D390" s="26"/>
      <c r="E390" s="4"/>
      <c r="F390" s="4"/>
      <c r="G390" s="4"/>
      <c r="H390" s="4"/>
      <c r="I390" s="4"/>
      <c r="J390" s="4"/>
      <c r="K390" s="4"/>
      <c r="L390" s="4"/>
      <c r="M390" s="4"/>
      <c r="N390" s="4"/>
      <c r="O390" s="4"/>
      <c r="P390" s="4"/>
      <c r="Q390" s="4"/>
      <c r="R390" s="4"/>
      <c r="S390" s="4"/>
      <c r="T390" s="4"/>
      <c r="U390" s="4"/>
      <c r="V390" s="4"/>
      <c r="W390" s="4"/>
      <c r="X390" s="4"/>
      <c r="Y390" s="4"/>
      <c r="Z390" s="4"/>
      <c r="AA390" s="21"/>
    </row>
    <row r="391">
      <c r="A391" s="4"/>
      <c r="B391" s="4"/>
      <c r="C391" s="4"/>
      <c r="D391" s="26"/>
      <c r="E391" s="4"/>
      <c r="F391" s="4"/>
      <c r="G391" s="4"/>
      <c r="H391" s="4"/>
      <c r="I391" s="4"/>
      <c r="J391" s="4"/>
      <c r="K391" s="4"/>
      <c r="L391" s="4"/>
      <c r="M391" s="4"/>
      <c r="N391" s="4"/>
      <c r="O391" s="4"/>
      <c r="P391" s="4"/>
      <c r="Q391" s="4"/>
      <c r="R391" s="4"/>
      <c r="S391" s="4"/>
      <c r="T391" s="4"/>
      <c r="U391" s="4"/>
      <c r="V391" s="4"/>
      <c r="W391" s="4"/>
      <c r="X391" s="4"/>
      <c r="Y391" s="4"/>
      <c r="Z391" s="4"/>
      <c r="AA391" s="21"/>
    </row>
    <row r="392">
      <c r="A392" s="4"/>
      <c r="B392" s="4"/>
      <c r="C392" s="4"/>
      <c r="D392" s="26"/>
      <c r="E392" s="4"/>
      <c r="F392" s="4"/>
      <c r="G392" s="4"/>
      <c r="H392" s="4"/>
      <c r="I392" s="4"/>
      <c r="J392" s="4"/>
      <c r="K392" s="4"/>
      <c r="L392" s="4"/>
      <c r="M392" s="4"/>
      <c r="N392" s="4"/>
      <c r="O392" s="4"/>
      <c r="P392" s="4"/>
      <c r="Q392" s="4"/>
      <c r="R392" s="4"/>
      <c r="S392" s="4"/>
      <c r="T392" s="4"/>
      <c r="U392" s="4"/>
      <c r="V392" s="4"/>
      <c r="W392" s="4"/>
      <c r="X392" s="4"/>
      <c r="Y392" s="4"/>
      <c r="Z392" s="4"/>
      <c r="AA392" s="21"/>
    </row>
    <row r="393">
      <c r="A393" s="4"/>
      <c r="B393" s="4"/>
      <c r="C393" s="4"/>
      <c r="D393" s="26"/>
      <c r="E393" s="4"/>
      <c r="F393" s="4"/>
      <c r="G393" s="4"/>
      <c r="H393" s="4"/>
      <c r="I393" s="4"/>
      <c r="J393" s="4"/>
      <c r="K393" s="4"/>
      <c r="L393" s="4"/>
      <c r="M393" s="4"/>
      <c r="N393" s="4"/>
      <c r="O393" s="4"/>
      <c r="P393" s="4"/>
      <c r="Q393" s="4"/>
      <c r="R393" s="4"/>
      <c r="S393" s="4"/>
      <c r="T393" s="4"/>
      <c r="U393" s="4"/>
      <c r="V393" s="4"/>
      <c r="W393" s="4"/>
      <c r="X393" s="4"/>
      <c r="Y393" s="4"/>
      <c r="Z393" s="4"/>
      <c r="AA393" s="21"/>
    </row>
    <row r="394">
      <c r="A394" s="4"/>
      <c r="B394" s="4"/>
      <c r="C394" s="4"/>
      <c r="D394" s="26"/>
      <c r="E394" s="4"/>
      <c r="F394" s="4"/>
      <c r="G394" s="4"/>
      <c r="H394" s="4"/>
      <c r="I394" s="4"/>
      <c r="J394" s="4"/>
      <c r="K394" s="4"/>
      <c r="L394" s="4"/>
      <c r="M394" s="4"/>
      <c r="N394" s="4"/>
      <c r="O394" s="4"/>
      <c r="P394" s="4"/>
      <c r="Q394" s="4"/>
      <c r="R394" s="4"/>
      <c r="S394" s="4"/>
      <c r="T394" s="4"/>
      <c r="U394" s="4"/>
      <c r="V394" s="4"/>
      <c r="W394" s="4"/>
      <c r="X394" s="4"/>
      <c r="Y394" s="4"/>
      <c r="Z394" s="4"/>
      <c r="AA394" s="21"/>
    </row>
    <row r="395">
      <c r="A395" s="4"/>
      <c r="B395" s="4"/>
      <c r="C395" s="4"/>
      <c r="D395" s="26"/>
      <c r="E395" s="4"/>
      <c r="F395" s="4"/>
      <c r="G395" s="4"/>
      <c r="H395" s="4"/>
      <c r="I395" s="4"/>
      <c r="J395" s="4"/>
      <c r="K395" s="4"/>
      <c r="L395" s="4"/>
      <c r="M395" s="4"/>
      <c r="N395" s="4"/>
      <c r="O395" s="4"/>
      <c r="P395" s="4"/>
      <c r="Q395" s="4"/>
      <c r="R395" s="4"/>
      <c r="S395" s="4"/>
      <c r="T395" s="4"/>
      <c r="U395" s="4"/>
      <c r="V395" s="4"/>
      <c r="W395" s="4"/>
      <c r="X395" s="4"/>
      <c r="Y395" s="4"/>
      <c r="Z395" s="4"/>
      <c r="AA395" s="21"/>
    </row>
    <row r="396">
      <c r="A396" s="4"/>
      <c r="B396" s="4"/>
      <c r="C396" s="4"/>
      <c r="D396" s="26"/>
      <c r="E396" s="4"/>
      <c r="F396" s="4"/>
      <c r="G396" s="4"/>
      <c r="H396" s="4"/>
      <c r="I396" s="4"/>
      <c r="J396" s="4"/>
      <c r="K396" s="4"/>
      <c r="L396" s="4"/>
      <c r="M396" s="4"/>
      <c r="N396" s="4"/>
      <c r="O396" s="4"/>
      <c r="P396" s="4"/>
      <c r="Q396" s="4"/>
      <c r="R396" s="4"/>
      <c r="S396" s="4"/>
      <c r="T396" s="4"/>
      <c r="U396" s="4"/>
      <c r="V396" s="4"/>
      <c r="W396" s="4"/>
      <c r="X396" s="4"/>
      <c r="Y396" s="4"/>
      <c r="Z396" s="4"/>
      <c r="AA396" s="21"/>
    </row>
    <row r="397">
      <c r="A397" s="4"/>
      <c r="B397" s="4"/>
      <c r="C397" s="4"/>
      <c r="D397" s="26"/>
      <c r="E397" s="4"/>
      <c r="F397" s="4"/>
      <c r="G397" s="4"/>
      <c r="H397" s="4"/>
      <c r="I397" s="4"/>
      <c r="J397" s="4"/>
      <c r="K397" s="4"/>
      <c r="L397" s="4"/>
      <c r="M397" s="4"/>
      <c r="N397" s="4"/>
      <c r="O397" s="4"/>
      <c r="P397" s="4"/>
      <c r="Q397" s="4"/>
      <c r="R397" s="4"/>
      <c r="S397" s="4"/>
      <c r="T397" s="4"/>
      <c r="U397" s="4"/>
      <c r="V397" s="4"/>
      <c r="W397" s="4"/>
      <c r="X397" s="4"/>
      <c r="Y397" s="4"/>
      <c r="Z397" s="4"/>
      <c r="AA397" s="21"/>
    </row>
    <row r="398">
      <c r="A398" s="4"/>
      <c r="B398" s="4"/>
      <c r="C398" s="4"/>
      <c r="D398" s="26"/>
      <c r="E398" s="4"/>
      <c r="F398" s="4"/>
      <c r="G398" s="4"/>
      <c r="H398" s="4"/>
      <c r="I398" s="4"/>
      <c r="J398" s="4"/>
      <c r="K398" s="4"/>
      <c r="L398" s="4"/>
      <c r="M398" s="4"/>
      <c r="N398" s="4"/>
      <c r="O398" s="4"/>
      <c r="P398" s="4"/>
      <c r="Q398" s="4"/>
      <c r="R398" s="4"/>
      <c r="S398" s="4"/>
      <c r="T398" s="4"/>
      <c r="U398" s="4"/>
      <c r="V398" s="4"/>
      <c r="W398" s="4"/>
      <c r="X398" s="4"/>
      <c r="Y398" s="4"/>
      <c r="Z398" s="4"/>
      <c r="AA398" s="21"/>
    </row>
    <row r="399">
      <c r="A399" s="4"/>
      <c r="B399" s="4"/>
      <c r="C399" s="4"/>
      <c r="D399" s="26"/>
      <c r="E399" s="4"/>
      <c r="F399" s="4"/>
      <c r="G399" s="4"/>
      <c r="H399" s="4"/>
      <c r="I399" s="4"/>
      <c r="J399" s="4"/>
      <c r="K399" s="4"/>
      <c r="L399" s="4"/>
      <c r="M399" s="4"/>
      <c r="N399" s="4"/>
      <c r="O399" s="4"/>
      <c r="P399" s="4"/>
      <c r="Q399" s="4"/>
      <c r="R399" s="4"/>
      <c r="S399" s="4"/>
      <c r="T399" s="4"/>
      <c r="U399" s="4"/>
      <c r="V399" s="4"/>
      <c r="W399" s="4"/>
      <c r="X399" s="4"/>
      <c r="Y399" s="4"/>
      <c r="Z399" s="4"/>
      <c r="AA399" s="21"/>
    </row>
    <row r="400">
      <c r="A400" s="4"/>
      <c r="B400" s="4"/>
      <c r="C400" s="4"/>
      <c r="D400" s="26"/>
      <c r="E400" s="4"/>
      <c r="F400" s="4"/>
      <c r="G400" s="4"/>
      <c r="H400" s="4"/>
      <c r="I400" s="4"/>
      <c r="J400" s="4"/>
      <c r="K400" s="4"/>
      <c r="L400" s="4"/>
      <c r="M400" s="4"/>
      <c r="N400" s="4"/>
      <c r="O400" s="4"/>
      <c r="P400" s="4"/>
      <c r="Q400" s="4"/>
      <c r="R400" s="4"/>
      <c r="S400" s="4"/>
      <c r="T400" s="4"/>
      <c r="U400" s="4"/>
      <c r="V400" s="4"/>
      <c r="W400" s="4"/>
      <c r="X400" s="4"/>
      <c r="Y400" s="4"/>
      <c r="Z400" s="4"/>
      <c r="AA400" s="21"/>
    </row>
    <row r="401">
      <c r="A401" s="4"/>
      <c r="B401" s="4"/>
      <c r="C401" s="4"/>
      <c r="D401" s="26"/>
      <c r="E401" s="4"/>
      <c r="F401" s="4"/>
      <c r="G401" s="4"/>
      <c r="H401" s="4"/>
      <c r="I401" s="4"/>
      <c r="J401" s="4"/>
      <c r="K401" s="4"/>
      <c r="L401" s="4"/>
      <c r="M401" s="4"/>
      <c r="N401" s="4"/>
      <c r="O401" s="4"/>
      <c r="P401" s="4"/>
      <c r="Q401" s="4"/>
      <c r="R401" s="4"/>
      <c r="S401" s="4"/>
      <c r="T401" s="4"/>
      <c r="U401" s="4"/>
      <c r="V401" s="4"/>
      <c r="W401" s="4"/>
      <c r="X401" s="4"/>
      <c r="Y401" s="4"/>
      <c r="Z401" s="4"/>
      <c r="AA401" s="21"/>
    </row>
    <row r="402">
      <c r="A402" s="4"/>
      <c r="B402" s="4"/>
      <c r="C402" s="4"/>
      <c r="D402" s="26"/>
      <c r="E402" s="4"/>
      <c r="F402" s="4"/>
      <c r="G402" s="4"/>
      <c r="H402" s="4"/>
      <c r="I402" s="4"/>
      <c r="J402" s="4"/>
      <c r="K402" s="4"/>
      <c r="L402" s="4"/>
      <c r="M402" s="4"/>
      <c r="N402" s="4"/>
      <c r="O402" s="4"/>
      <c r="P402" s="4"/>
      <c r="Q402" s="4"/>
      <c r="R402" s="4"/>
      <c r="S402" s="4"/>
      <c r="T402" s="4"/>
      <c r="U402" s="4"/>
      <c r="V402" s="4"/>
      <c r="W402" s="4"/>
      <c r="X402" s="4"/>
      <c r="Y402" s="4"/>
      <c r="Z402" s="4"/>
      <c r="AA402" s="21"/>
    </row>
    <row r="403">
      <c r="A403" s="4"/>
      <c r="B403" s="4"/>
      <c r="C403" s="4"/>
      <c r="D403" s="26"/>
      <c r="E403" s="4"/>
      <c r="F403" s="4"/>
      <c r="G403" s="4"/>
      <c r="H403" s="4"/>
      <c r="I403" s="4"/>
      <c r="J403" s="4"/>
      <c r="K403" s="4"/>
      <c r="L403" s="4"/>
      <c r="M403" s="4"/>
      <c r="N403" s="4"/>
      <c r="O403" s="4"/>
      <c r="P403" s="4"/>
      <c r="Q403" s="4"/>
      <c r="R403" s="4"/>
      <c r="S403" s="4"/>
      <c r="T403" s="4"/>
      <c r="U403" s="4"/>
      <c r="V403" s="4"/>
      <c r="W403" s="4"/>
      <c r="X403" s="4"/>
      <c r="Y403" s="4"/>
      <c r="Z403" s="4"/>
      <c r="AA403" s="21"/>
    </row>
    <row r="404">
      <c r="A404" s="4"/>
      <c r="B404" s="4"/>
      <c r="C404" s="4"/>
      <c r="D404" s="26"/>
      <c r="E404" s="4"/>
      <c r="F404" s="4"/>
      <c r="G404" s="4"/>
      <c r="H404" s="4"/>
      <c r="I404" s="4"/>
      <c r="J404" s="4"/>
      <c r="K404" s="4"/>
      <c r="L404" s="4"/>
      <c r="M404" s="4"/>
      <c r="N404" s="4"/>
      <c r="O404" s="4"/>
      <c r="P404" s="4"/>
      <c r="Q404" s="4"/>
      <c r="R404" s="4"/>
      <c r="S404" s="4"/>
      <c r="T404" s="4"/>
      <c r="U404" s="4"/>
      <c r="V404" s="4"/>
      <c r="W404" s="4"/>
      <c r="X404" s="4"/>
      <c r="Y404" s="4"/>
      <c r="Z404" s="4"/>
      <c r="AA404" s="21"/>
    </row>
    <row r="405">
      <c r="A405" s="4"/>
      <c r="B405" s="4"/>
      <c r="C405" s="4"/>
      <c r="D405" s="26"/>
      <c r="E405" s="4"/>
      <c r="F405" s="4"/>
      <c r="G405" s="4"/>
      <c r="H405" s="4"/>
      <c r="I405" s="4"/>
      <c r="J405" s="4"/>
      <c r="K405" s="4"/>
      <c r="L405" s="4"/>
      <c r="M405" s="4"/>
      <c r="N405" s="4"/>
      <c r="O405" s="4"/>
      <c r="P405" s="4"/>
      <c r="Q405" s="4"/>
      <c r="R405" s="4"/>
      <c r="S405" s="4"/>
      <c r="T405" s="4"/>
      <c r="U405" s="4"/>
      <c r="V405" s="4"/>
      <c r="W405" s="4"/>
      <c r="X405" s="4"/>
      <c r="Y405" s="4"/>
      <c r="Z405" s="4"/>
      <c r="AA405" s="21"/>
    </row>
    <row r="406">
      <c r="A406" s="4"/>
      <c r="B406" s="4"/>
      <c r="C406" s="4"/>
      <c r="D406" s="26"/>
      <c r="E406" s="4"/>
      <c r="F406" s="4"/>
      <c r="G406" s="4"/>
      <c r="H406" s="4"/>
      <c r="I406" s="4"/>
      <c r="J406" s="4"/>
      <c r="K406" s="4"/>
      <c r="L406" s="4"/>
      <c r="M406" s="4"/>
      <c r="N406" s="4"/>
      <c r="O406" s="4"/>
      <c r="P406" s="4"/>
      <c r="Q406" s="4"/>
      <c r="R406" s="4"/>
      <c r="S406" s="4"/>
      <c r="T406" s="4"/>
      <c r="U406" s="4"/>
      <c r="V406" s="4"/>
      <c r="W406" s="4"/>
      <c r="X406" s="4"/>
      <c r="Y406" s="4"/>
      <c r="Z406" s="4"/>
      <c r="AA406" s="21"/>
    </row>
    <row r="407">
      <c r="A407" s="4"/>
      <c r="B407" s="4"/>
      <c r="C407" s="4"/>
      <c r="D407" s="26"/>
      <c r="E407" s="4"/>
      <c r="F407" s="4"/>
      <c r="G407" s="4"/>
      <c r="H407" s="4"/>
      <c r="I407" s="4"/>
      <c r="J407" s="4"/>
      <c r="K407" s="4"/>
      <c r="L407" s="4"/>
      <c r="M407" s="4"/>
      <c r="N407" s="4"/>
      <c r="O407" s="4"/>
      <c r="P407" s="4"/>
      <c r="Q407" s="4"/>
      <c r="R407" s="4"/>
      <c r="S407" s="4"/>
      <c r="T407" s="4"/>
      <c r="U407" s="4"/>
      <c r="V407" s="4"/>
      <c r="W407" s="4"/>
      <c r="X407" s="4"/>
      <c r="Y407" s="4"/>
      <c r="Z407" s="4"/>
      <c r="AA407" s="21"/>
    </row>
    <row r="408">
      <c r="A408" s="4"/>
      <c r="B408" s="4"/>
      <c r="C408" s="4"/>
      <c r="D408" s="26"/>
      <c r="E408" s="4"/>
      <c r="F408" s="4"/>
      <c r="G408" s="4"/>
      <c r="H408" s="4"/>
      <c r="I408" s="4"/>
      <c r="J408" s="4"/>
      <c r="K408" s="4"/>
      <c r="L408" s="4"/>
      <c r="M408" s="4"/>
      <c r="N408" s="4"/>
      <c r="O408" s="4"/>
      <c r="P408" s="4"/>
      <c r="Q408" s="4"/>
      <c r="R408" s="4"/>
      <c r="S408" s="4"/>
      <c r="T408" s="4"/>
      <c r="U408" s="4"/>
      <c r="V408" s="4"/>
      <c r="W408" s="4"/>
      <c r="X408" s="4"/>
      <c r="Y408" s="4"/>
      <c r="Z408" s="4"/>
      <c r="AA408" s="21"/>
    </row>
    <row r="409">
      <c r="A409" s="4"/>
      <c r="B409" s="4"/>
      <c r="C409" s="4"/>
      <c r="D409" s="26"/>
      <c r="E409" s="4"/>
      <c r="F409" s="4"/>
      <c r="G409" s="4"/>
      <c r="H409" s="4"/>
      <c r="I409" s="4"/>
      <c r="J409" s="4"/>
      <c r="K409" s="4"/>
      <c r="L409" s="4"/>
      <c r="M409" s="4"/>
      <c r="N409" s="4"/>
      <c r="O409" s="4"/>
      <c r="P409" s="4"/>
      <c r="Q409" s="4"/>
      <c r="R409" s="4"/>
      <c r="S409" s="4"/>
      <c r="T409" s="4"/>
      <c r="U409" s="4"/>
      <c r="V409" s="4"/>
      <c r="W409" s="4"/>
      <c r="X409" s="4"/>
      <c r="Y409" s="4"/>
      <c r="Z409" s="4"/>
      <c r="AA409" s="21"/>
    </row>
    <row r="410">
      <c r="A410" s="4"/>
      <c r="B410" s="4"/>
      <c r="C410" s="4"/>
      <c r="D410" s="26"/>
      <c r="E410" s="4"/>
      <c r="F410" s="4"/>
      <c r="G410" s="4"/>
      <c r="H410" s="4"/>
      <c r="I410" s="4"/>
      <c r="J410" s="4"/>
      <c r="K410" s="4"/>
      <c r="L410" s="4"/>
      <c r="M410" s="4"/>
      <c r="N410" s="4"/>
      <c r="O410" s="4"/>
      <c r="P410" s="4"/>
      <c r="Q410" s="4"/>
      <c r="R410" s="4"/>
      <c r="S410" s="4"/>
      <c r="T410" s="4"/>
      <c r="U410" s="4"/>
      <c r="V410" s="4"/>
      <c r="W410" s="4"/>
      <c r="X410" s="4"/>
      <c r="Y410" s="4"/>
      <c r="Z410" s="4"/>
      <c r="AA410" s="21"/>
    </row>
    <row r="411">
      <c r="A411" s="4"/>
      <c r="B411" s="4"/>
      <c r="C411" s="4"/>
      <c r="D411" s="26"/>
      <c r="E411" s="4"/>
      <c r="F411" s="4"/>
      <c r="G411" s="4"/>
      <c r="H411" s="4"/>
      <c r="I411" s="4"/>
      <c r="J411" s="4"/>
      <c r="K411" s="4"/>
      <c r="L411" s="4"/>
      <c r="M411" s="4"/>
      <c r="N411" s="4"/>
      <c r="O411" s="4"/>
      <c r="P411" s="4"/>
      <c r="Q411" s="4"/>
      <c r="R411" s="4"/>
      <c r="S411" s="4"/>
      <c r="T411" s="4"/>
      <c r="U411" s="4"/>
      <c r="V411" s="4"/>
      <c r="W411" s="4"/>
      <c r="X411" s="4"/>
      <c r="Y411" s="4"/>
      <c r="Z411" s="4"/>
      <c r="AA411" s="21"/>
    </row>
    <row r="412">
      <c r="A412" s="4"/>
      <c r="B412" s="4"/>
      <c r="C412" s="4"/>
      <c r="D412" s="26"/>
      <c r="E412" s="4"/>
      <c r="F412" s="4"/>
      <c r="G412" s="4"/>
      <c r="H412" s="4"/>
      <c r="I412" s="4"/>
      <c r="J412" s="4"/>
      <c r="K412" s="4"/>
      <c r="L412" s="4"/>
      <c r="M412" s="4"/>
      <c r="N412" s="4"/>
      <c r="O412" s="4"/>
      <c r="P412" s="4"/>
      <c r="Q412" s="4"/>
      <c r="R412" s="4"/>
      <c r="S412" s="4"/>
      <c r="T412" s="4"/>
      <c r="U412" s="4"/>
      <c r="V412" s="4"/>
      <c r="W412" s="4"/>
      <c r="X412" s="4"/>
      <c r="Y412" s="4"/>
      <c r="Z412" s="4"/>
      <c r="AA412" s="21"/>
    </row>
    <row r="413">
      <c r="A413" s="4"/>
      <c r="B413" s="4"/>
      <c r="C413" s="4"/>
      <c r="D413" s="26"/>
      <c r="E413" s="4"/>
      <c r="F413" s="4"/>
      <c r="G413" s="4"/>
      <c r="H413" s="4"/>
      <c r="I413" s="4"/>
      <c r="J413" s="4"/>
      <c r="K413" s="4"/>
      <c r="L413" s="4"/>
      <c r="M413" s="4"/>
      <c r="N413" s="4"/>
      <c r="O413" s="4"/>
      <c r="P413" s="4"/>
      <c r="Q413" s="4"/>
      <c r="R413" s="4"/>
      <c r="S413" s="4"/>
      <c r="T413" s="4"/>
      <c r="U413" s="4"/>
      <c r="V413" s="4"/>
      <c r="W413" s="4"/>
      <c r="X413" s="4"/>
      <c r="Y413" s="4"/>
      <c r="Z413" s="4"/>
      <c r="AA413" s="21"/>
    </row>
    <row r="414">
      <c r="A414" s="4"/>
      <c r="B414" s="4"/>
      <c r="C414" s="4"/>
      <c r="D414" s="26"/>
      <c r="E414" s="4"/>
      <c r="F414" s="4"/>
      <c r="G414" s="4"/>
      <c r="H414" s="4"/>
      <c r="I414" s="4"/>
      <c r="J414" s="4"/>
      <c r="K414" s="4"/>
      <c r="L414" s="4"/>
      <c r="M414" s="4"/>
      <c r="N414" s="4"/>
      <c r="O414" s="4"/>
      <c r="P414" s="4"/>
      <c r="Q414" s="4"/>
      <c r="R414" s="4"/>
      <c r="S414" s="4"/>
      <c r="T414" s="4"/>
      <c r="U414" s="4"/>
      <c r="V414" s="4"/>
      <c r="W414" s="4"/>
      <c r="X414" s="4"/>
      <c r="Y414" s="4"/>
      <c r="Z414" s="4"/>
      <c r="AA414" s="21"/>
    </row>
    <row r="415">
      <c r="A415" s="4"/>
      <c r="B415" s="4"/>
      <c r="C415" s="4"/>
      <c r="D415" s="26"/>
      <c r="E415" s="4"/>
      <c r="F415" s="4"/>
      <c r="G415" s="4"/>
      <c r="H415" s="4"/>
      <c r="I415" s="4"/>
      <c r="J415" s="4"/>
      <c r="K415" s="4"/>
      <c r="L415" s="4"/>
      <c r="M415" s="4"/>
      <c r="N415" s="4"/>
      <c r="O415" s="4"/>
      <c r="P415" s="4"/>
      <c r="Q415" s="4"/>
      <c r="R415" s="4"/>
      <c r="S415" s="4"/>
      <c r="T415" s="4"/>
      <c r="U415" s="4"/>
      <c r="V415" s="4"/>
      <c r="W415" s="4"/>
      <c r="X415" s="4"/>
      <c r="Y415" s="4"/>
      <c r="Z415" s="4"/>
      <c r="AA415" s="21"/>
    </row>
    <row r="416">
      <c r="A416" s="4"/>
      <c r="B416" s="4"/>
      <c r="C416" s="4"/>
      <c r="D416" s="26"/>
      <c r="E416" s="4"/>
      <c r="F416" s="4"/>
      <c r="G416" s="4"/>
      <c r="H416" s="4"/>
      <c r="I416" s="4"/>
      <c r="J416" s="4"/>
      <c r="K416" s="4"/>
      <c r="L416" s="4"/>
      <c r="M416" s="4"/>
      <c r="N416" s="4"/>
      <c r="O416" s="4"/>
      <c r="P416" s="4"/>
      <c r="Q416" s="4"/>
      <c r="R416" s="4"/>
      <c r="S416" s="4"/>
      <c r="T416" s="4"/>
      <c r="U416" s="4"/>
      <c r="V416" s="4"/>
      <c r="W416" s="4"/>
      <c r="X416" s="4"/>
      <c r="Y416" s="4"/>
      <c r="Z416" s="4"/>
      <c r="AA416" s="21"/>
    </row>
    <row r="417">
      <c r="A417" s="4"/>
      <c r="B417" s="4"/>
      <c r="C417" s="4"/>
      <c r="D417" s="26"/>
      <c r="E417" s="4"/>
      <c r="F417" s="4"/>
      <c r="G417" s="4"/>
      <c r="H417" s="4"/>
      <c r="I417" s="4"/>
      <c r="J417" s="4"/>
      <c r="K417" s="4"/>
      <c r="L417" s="4"/>
      <c r="M417" s="4"/>
      <c r="N417" s="4"/>
      <c r="O417" s="4"/>
      <c r="P417" s="4"/>
      <c r="Q417" s="4"/>
      <c r="R417" s="4"/>
      <c r="S417" s="4"/>
      <c r="T417" s="4"/>
      <c r="U417" s="4"/>
      <c r="V417" s="4"/>
      <c r="W417" s="4"/>
      <c r="X417" s="4"/>
      <c r="Y417" s="4"/>
      <c r="Z417" s="4"/>
      <c r="AA417" s="21"/>
    </row>
    <row r="418">
      <c r="A418" s="4"/>
      <c r="B418" s="4"/>
      <c r="C418" s="4"/>
      <c r="D418" s="26"/>
      <c r="E418" s="4"/>
      <c r="F418" s="4"/>
      <c r="G418" s="4"/>
      <c r="H418" s="4"/>
      <c r="I418" s="4"/>
      <c r="J418" s="4"/>
      <c r="K418" s="4"/>
      <c r="L418" s="4"/>
      <c r="M418" s="4"/>
      <c r="N418" s="4"/>
      <c r="O418" s="4"/>
      <c r="P418" s="4"/>
      <c r="Q418" s="4"/>
      <c r="R418" s="4"/>
      <c r="S418" s="4"/>
      <c r="T418" s="4"/>
      <c r="U418" s="4"/>
      <c r="V418" s="4"/>
      <c r="W418" s="4"/>
      <c r="X418" s="4"/>
      <c r="Y418" s="4"/>
      <c r="Z418" s="4"/>
      <c r="AA418" s="21"/>
    </row>
    <row r="419">
      <c r="A419" s="4"/>
      <c r="B419" s="4"/>
      <c r="C419" s="4"/>
      <c r="D419" s="26"/>
      <c r="E419" s="4"/>
      <c r="F419" s="4"/>
      <c r="G419" s="4"/>
      <c r="H419" s="4"/>
      <c r="I419" s="4"/>
      <c r="J419" s="4"/>
      <c r="K419" s="4"/>
      <c r="L419" s="4"/>
      <c r="M419" s="4"/>
      <c r="N419" s="4"/>
      <c r="O419" s="4"/>
      <c r="P419" s="4"/>
      <c r="Q419" s="4"/>
      <c r="R419" s="4"/>
      <c r="S419" s="4"/>
      <c r="T419" s="4"/>
      <c r="U419" s="4"/>
      <c r="V419" s="4"/>
      <c r="W419" s="4"/>
      <c r="X419" s="4"/>
      <c r="Y419" s="4"/>
      <c r="Z419" s="4"/>
      <c r="AA419" s="21"/>
    </row>
    <row r="420">
      <c r="A420" s="4"/>
      <c r="B420" s="4"/>
      <c r="C420" s="4"/>
      <c r="D420" s="26"/>
      <c r="E420" s="4"/>
      <c r="F420" s="4"/>
      <c r="G420" s="4"/>
      <c r="H420" s="4"/>
      <c r="I420" s="4"/>
      <c r="J420" s="4"/>
      <c r="K420" s="4"/>
      <c r="L420" s="4"/>
      <c r="M420" s="4"/>
      <c r="N420" s="4"/>
      <c r="O420" s="4"/>
      <c r="P420" s="4"/>
      <c r="Q420" s="4"/>
      <c r="R420" s="4"/>
      <c r="S420" s="4"/>
      <c r="T420" s="4"/>
      <c r="U420" s="4"/>
      <c r="V420" s="4"/>
      <c r="W420" s="4"/>
      <c r="X420" s="4"/>
      <c r="Y420" s="4"/>
      <c r="Z420" s="4"/>
      <c r="AA420" s="21"/>
    </row>
    <row r="421">
      <c r="A421" s="4"/>
      <c r="B421" s="4"/>
      <c r="C421" s="4"/>
      <c r="D421" s="26"/>
      <c r="E421" s="4"/>
      <c r="F421" s="4"/>
      <c r="G421" s="4"/>
      <c r="H421" s="4"/>
      <c r="I421" s="4"/>
      <c r="J421" s="4"/>
      <c r="K421" s="4"/>
      <c r="L421" s="4"/>
      <c r="M421" s="4"/>
      <c r="N421" s="4"/>
      <c r="O421" s="4"/>
      <c r="P421" s="4"/>
      <c r="Q421" s="4"/>
      <c r="R421" s="4"/>
      <c r="S421" s="4"/>
      <c r="T421" s="4"/>
      <c r="U421" s="4"/>
      <c r="V421" s="4"/>
      <c r="W421" s="4"/>
      <c r="X421" s="4"/>
      <c r="Y421" s="4"/>
      <c r="Z421" s="4"/>
      <c r="AA421" s="21"/>
    </row>
    <row r="422">
      <c r="A422" s="4"/>
      <c r="B422" s="4"/>
      <c r="C422" s="4"/>
      <c r="D422" s="26"/>
      <c r="E422" s="4"/>
      <c r="F422" s="4"/>
      <c r="G422" s="4"/>
      <c r="H422" s="4"/>
      <c r="I422" s="4"/>
      <c r="J422" s="4"/>
      <c r="K422" s="4"/>
      <c r="L422" s="4"/>
      <c r="M422" s="4"/>
      <c r="N422" s="4"/>
      <c r="O422" s="4"/>
      <c r="P422" s="4"/>
      <c r="Q422" s="4"/>
      <c r="R422" s="4"/>
      <c r="S422" s="4"/>
      <c r="T422" s="4"/>
      <c r="U422" s="4"/>
      <c r="V422" s="4"/>
      <c r="W422" s="4"/>
      <c r="X422" s="4"/>
      <c r="Y422" s="4"/>
      <c r="Z422" s="4"/>
      <c r="AA422" s="21"/>
    </row>
    <row r="423">
      <c r="A423" s="4"/>
      <c r="B423" s="4"/>
      <c r="C423" s="4"/>
      <c r="D423" s="26"/>
      <c r="E423" s="4"/>
      <c r="F423" s="4"/>
      <c r="G423" s="4"/>
      <c r="H423" s="4"/>
      <c r="I423" s="4"/>
      <c r="J423" s="4"/>
      <c r="K423" s="4"/>
      <c r="L423" s="4"/>
      <c r="M423" s="4"/>
      <c r="N423" s="4"/>
      <c r="O423" s="4"/>
      <c r="P423" s="4"/>
      <c r="Q423" s="4"/>
      <c r="R423" s="4"/>
      <c r="S423" s="4"/>
      <c r="T423" s="4"/>
      <c r="U423" s="4"/>
      <c r="V423" s="4"/>
      <c r="W423" s="4"/>
      <c r="X423" s="4"/>
      <c r="Y423" s="4"/>
      <c r="Z423" s="4"/>
      <c r="AA423" s="21"/>
    </row>
    <row r="424">
      <c r="A424" s="4"/>
      <c r="B424" s="4"/>
      <c r="C424" s="4"/>
      <c r="D424" s="26"/>
      <c r="E424" s="4"/>
      <c r="F424" s="4"/>
      <c r="G424" s="4"/>
      <c r="H424" s="4"/>
      <c r="I424" s="4"/>
      <c r="J424" s="4"/>
      <c r="K424" s="4"/>
      <c r="L424" s="4"/>
      <c r="M424" s="4"/>
      <c r="N424" s="4"/>
      <c r="O424" s="4"/>
      <c r="P424" s="4"/>
      <c r="Q424" s="4"/>
      <c r="R424" s="4"/>
      <c r="S424" s="4"/>
      <c r="T424" s="4"/>
      <c r="U424" s="4"/>
      <c r="V424" s="4"/>
      <c r="W424" s="4"/>
      <c r="X424" s="4"/>
      <c r="Y424" s="4"/>
      <c r="Z424" s="4"/>
      <c r="AA424" s="21"/>
    </row>
    <row r="425">
      <c r="A425" s="4"/>
      <c r="B425" s="4"/>
      <c r="C425" s="4"/>
      <c r="D425" s="26"/>
      <c r="E425" s="4"/>
      <c r="F425" s="4"/>
      <c r="G425" s="4"/>
      <c r="H425" s="4"/>
      <c r="I425" s="4"/>
      <c r="J425" s="4"/>
      <c r="K425" s="4"/>
      <c r="L425" s="4"/>
      <c r="M425" s="4"/>
      <c r="N425" s="4"/>
      <c r="O425" s="4"/>
      <c r="P425" s="4"/>
      <c r="Q425" s="4"/>
      <c r="R425" s="4"/>
      <c r="S425" s="4"/>
      <c r="T425" s="4"/>
      <c r="U425" s="4"/>
      <c r="V425" s="4"/>
      <c r="W425" s="4"/>
      <c r="X425" s="4"/>
      <c r="Y425" s="4"/>
      <c r="Z425" s="4"/>
      <c r="AA425" s="21"/>
    </row>
    <row r="426">
      <c r="A426" s="4"/>
      <c r="B426" s="4"/>
      <c r="C426" s="4"/>
      <c r="D426" s="26"/>
      <c r="E426" s="4"/>
      <c r="F426" s="4"/>
      <c r="G426" s="4"/>
      <c r="H426" s="4"/>
      <c r="I426" s="4"/>
      <c r="J426" s="4"/>
      <c r="K426" s="4"/>
      <c r="L426" s="4"/>
      <c r="M426" s="4"/>
      <c r="N426" s="4"/>
      <c r="O426" s="4"/>
      <c r="P426" s="4"/>
      <c r="Q426" s="4"/>
      <c r="R426" s="4"/>
      <c r="S426" s="4"/>
      <c r="T426" s="4"/>
      <c r="U426" s="4"/>
      <c r="V426" s="4"/>
      <c r="W426" s="4"/>
      <c r="X426" s="4"/>
      <c r="Y426" s="4"/>
      <c r="Z426" s="4"/>
      <c r="AA426" s="21"/>
    </row>
    <row r="427">
      <c r="A427" s="4"/>
      <c r="B427" s="4"/>
      <c r="C427" s="4"/>
      <c r="D427" s="26"/>
      <c r="E427" s="4"/>
      <c r="F427" s="4"/>
      <c r="G427" s="4"/>
      <c r="H427" s="4"/>
      <c r="I427" s="4"/>
      <c r="J427" s="4"/>
      <c r="K427" s="4"/>
      <c r="L427" s="4"/>
      <c r="M427" s="4"/>
      <c r="N427" s="4"/>
      <c r="O427" s="4"/>
      <c r="P427" s="4"/>
      <c r="Q427" s="4"/>
      <c r="R427" s="4"/>
      <c r="S427" s="4"/>
      <c r="T427" s="4"/>
      <c r="U427" s="4"/>
      <c r="V427" s="4"/>
      <c r="W427" s="4"/>
      <c r="X427" s="4"/>
      <c r="Y427" s="4"/>
      <c r="Z427" s="4"/>
      <c r="AA427" s="21"/>
    </row>
    <row r="428">
      <c r="A428" s="4"/>
      <c r="B428" s="4"/>
      <c r="C428" s="4"/>
      <c r="D428" s="26"/>
      <c r="E428" s="4"/>
      <c r="F428" s="4"/>
      <c r="G428" s="4"/>
      <c r="H428" s="4"/>
      <c r="I428" s="4"/>
      <c r="J428" s="4"/>
      <c r="K428" s="4"/>
      <c r="L428" s="4"/>
      <c r="M428" s="4"/>
      <c r="N428" s="4"/>
      <c r="O428" s="4"/>
      <c r="P428" s="4"/>
      <c r="Q428" s="4"/>
      <c r="R428" s="4"/>
      <c r="S428" s="4"/>
      <c r="T428" s="4"/>
      <c r="U428" s="4"/>
      <c r="V428" s="4"/>
      <c r="W428" s="4"/>
      <c r="X428" s="4"/>
      <c r="Y428" s="4"/>
      <c r="Z428" s="4"/>
      <c r="AA428" s="21"/>
    </row>
    <row r="429">
      <c r="A429" s="4"/>
      <c r="B429" s="4"/>
      <c r="C429" s="4"/>
      <c r="D429" s="26"/>
      <c r="E429" s="4"/>
      <c r="F429" s="4"/>
      <c r="G429" s="4"/>
      <c r="H429" s="4"/>
      <c r="I429" s="4"/>
      <c r="J429" s="4"/>
      <c r="K429" s="4"/>
      <c r="L429" s="4"/>
      <c r="M429" s="4"/>
      <c r="N429" s="4"/>
      <c r="O429" s="4"/>
      <c r="P429" s="4"/>
      <c r="Q429" s="4"/>
      <c r="R429" s="4"/>
      <c r="S429" s="4"/>
      <c r="T429" s="4"/>
      <c r="U429" s="4"/>
      <c r="V429" s="4"/>
      <c r="W429" s="4"/>
      <c r="X429" s="4"/>
      <c r="Y429" s="4"/>
      <c r="Z429" s="4"/>
      <c r="AA429" s="21"/>
    </row>
    <row r="430">
      <c r="A430" s="4"/>
      <c r="B430" s="4"/>
      <c r="C430" s="4"/>
      <c r="D430" s="26"/>
      <c r="E430" s="4"/>
      <c r="F430" s="4"/>
      <c r="G430" s="4"/>
      <c r="H430" s="4"/>
      <c r="I430" s="4"/>
      <c r="J430" s="4"/>
      <c r="K430" s="4"/>
      <c r="L430" s="4"/>
      <c r="M430" s="4"/>
      <c r="N430" s="4"/>
      <c r="O430" s="4"/>
      <c r="P430" s="4"/>
      <c r="Q430" s="4"/>
      <c r="R430" s="4"/>
      <c r="S430" s="4"/>
      <c r="T430" s="4"/>
      <c r="U430" s="4"/>
      <c r="V430" s="4"/>
      <c r="W430" s="4"/>
      <c r="X430" s="4"/>
      <c r="Y430" s="4"/>
      <c r="Z430" s="4"/>
      <c r="AA430" s="21"/>
    </row>
    <row r="431">
      <c r="A431" s="4"/>
      <c r="B431" s="4"/>
      <c r="C431" s="4"/>
      <c r="D431" s="26"/>
      <c r="E431" s="4"/>
      <c r="F431" s="4"/>
      <c r="G431" s="4"/>
      <c r="H431" s="4"/>
      <c r="I431" s="4"/>
      <c r="J431" s="4"/>
      <c r="K431" s="4"/>
      <c r="L431" s="4"/>
      <c r="M431" s="4"/>
      <c r="N431" s="4"/>
      <c r="O431" s="4"/>
      <c r="P431" s="4"/>
      <c r="Q431" s="4"/>
      <c r="R431" s="4"/>
      <c r="S431" s="4"/>
      <c r="T431" s="4"/>
      <c r="U431" s="4"/>
      <c r="V431" s="4"/>
      <c r="W431" s="4"/>
      <c r="X431" s="4"/>
      <c r="Y431" s="4"/>
      <c r="Z431" s="4"/>
      <c r="AA431" s="21"/>
    </row>
    <row r="432">
      <c r="A432" s="4"/>
      <c r="B432" s="4"/>
      <c r="C432" s="4"/>
      <c r="D432" s="26"/>
      <c r="E432" s="4"/>
      <c r="F432" s="4"/>
      <c r="G432" s="4"/>
      <c r="H432" s="4"/>
      <c r="I432" s="4"/>
      <c r="J432" s="4"/>
      <c r="K432" s="4"/>
      <c r="L432" s="4"/>
      <c r="M432" s="4"/>
      <c r="N432" s="4"/>
      <c r="O432" s="4"/>
      <c r="P432" s="4"/>
      <c r="Q432" s="4"/>
      <c r="R432" s="4"/>
      <c r="S432" s="4"/>
      <c r="T432" s="4"/>
      <c r="U432" s="4"/>
      <c r="V432" s="4"/>
      <c r="W432" s="4"/>
      <c r="X432" s="4"/>
      <c r="Y432" s="4"/>
      <c r="Z432" s="4"/>
      <c r="AA432" s="21"/>
    </row>
    <row r="433">
      <c r="A433" s="4"/>
      <c r="B433" s="4"/>
      <c r="C433" s="4"/>
      <c r="D433" s="26"/>
      <c r="E433" s="4"/>
      <c r="F433" s="4"/>
      <c r="G433" s="4"/>
      <c r="H433" s="4"/>
      <c r="I433" s="4"/>
      <c r="J433" s="4"/>
      <c r="K433" s="4"/>
      <c r="L433" s="4"/>
      <c r="M433" s="4"/>
      <c r="N433" s="4"/>
      <c r="O433" s="4"/>
      <c r="P433" s="4"/>
      <c r="Q433" s="4"/>
      <c r="R433" s="4"/>
      <c r="S433" s="4"/>
      <c r="T433" s="4"/>
      <c r="U433" s="4"/>
      <c r="V433" s="4"/>
      <c r="W433" s="4"/>
      <c r="X433" s="4"/>
      <c r="Y433" s="4"/>
      <c r="Z433" s="4"/>
      <c r="AA433" s="21"/>
    </row>
    <row r="434">
      <c r="A434" s="4"/>
      <c r="B434" s="4"/>
      <c r="C434" s="4"/>
      <c r="D434" s="26"/>
      <c r="E434" s="4"/>
      <c r="F434" s="4"/>
      <c r="G434" s="4"/>
      <c r="H434" s="4"/>
      <c r="I434" s="4"/>
      <c r="J434" s="4"/>
      <c r="K434" s="4"/>
      <c r="L434" s="4"/>
      <c r="M434" s="4"/>
      <c r="N434" s="4"/>
      <c r="O434" s="4"/>
      <c r="P434" s="4"/>
      <c r="Q434" s="4"/>
      <c r="R434" s="4"/>
      <c r="S434" s="4"/>
      <c r="T434" s="4"/>
      <c r="U434" s="4"/>
      <c r="V434" s="4"/>
      <c r="W434" s="4"/>
      <c r="X434" s="4"/>
      <c r="Y434" s="4"/>
      <c r="Z434" s="4"/>
      <c r="AA434" s="21"/>
    </row>
    <row r="435">
      <c r="A435" s="4"/>
      <c r="B435" s="4"/>
      <c r="C435" s="4"/>
      <c r="D435" s="26"/>
      <c r="E435" s="4"/>
      <c r="F435" s="4"/>
      <c r="G435" s="4"/>
      <c r="H435" s="4"/>
      <c r="I435" s="4"/>
      <c r="J435" s="4"/>
      <c r="K435" s="4"/>
      <c r="L435" s="4"/>
      <c r="M435" s="4"/>
      <c r="N435" s="4"/>
      <c r="O435" s="4"/>
      <c r="P435" s="4"/>
      <c r="Q435" s="4"/>
      <c r="R435" s="4"/>
      <c r="S435" s="4"/>
      <c r="T435" s="4"/>
      <c r="U435" s="4"/>
      <c r="V435" s="4"/>
      <c r="W435" s="4"/>
      <c r="X435" s="4"/>
      <c r="Y435" s="4"/>
      <c r="Z435" s="4"/>
      <c r="AA435" s="21"/>
    </row>
    <row r="436">
      <c r="A436" s="4"/>
      <c r="B436" s="4"/>
      <c r="C436" s="4"/>
      <c r="D436" s="26"/>
      <c r="E436" s="4"/>
      <c r="F436" s="4"/>
      <c r="G436" s="4"/>
      <c r="H436" s="4"/>
      <c r="I436" s="4"/>
      <c r="J436" s="4"/>
      <c r="K436" s="4"/>
      <c r="L436" s="4"/>
      <c r="M436" s="4"/>
      <c r="N436" s="4"/>
      <c r="O436" s="4"/>
      <c r="P436" s="4"/>
      <c r="Q436" s="4"/>
      <c r="R436" s="4"/>
      <c r="S436" s="4"/>
      <c r="T436" s="4"/>
      <c r="U436" s="4"/>
      <c r="V436" s="4"/>
      <c r="W436" s="4"/>
      <c r="X436" s="4"/>
      <c r="Y436" s="4"/>
      <c r="Z436" s="4"/>
      <c r="AA436" s="21"/>
    </row>
    <row r="437">
      <c r="A437" s="4"/>
      <c r="B437" s="4"/>
      <c r="C437" s="4"/>
      <c r="D437" s="26"/>
      <c r="E437" s="4"/>
      <c r="F437" s="4"/>
      <c r="G437" s="4"/>
      <c r="H437" s="4"/>
      <c r="I437" s="4"/>
      <c r="J437" s="4"/>
      <c r="K437" s="4"/>
      <c r="L437" s="4"/>
      <c r="M437" s="4"/>
      <c r="N437" s="4"/>
      <c r="O437" s="4"/>
      <c r="P437" s="4"/>
      <c r="Q437" s="4"/>
      <c r="R437" s="4"/>
      <c r="S437" s="4"/>
      <c r="T437" s="4"/>
      <c r="U437" s="4"/>
      <c r="V437" s="4"/>
      <c r="W437" s="4"/>
      <c r="X437" s="4"/>
      <c r="Y437" s="4"/>
      <c r="Z437" s="4"/>
      <c r="AA437" s="21"/>
    </row>
    <row r="438">
      <c r="A438" s="4"/>
      <c r="B438" s="4"/>
      <c r="C438" s="4"/>
      <c r="D438" s="26"/>
      <c r="E438" s="4"/>
      <c r="F438" s="4"/>
      <c r="G438" s="4"/>
      <c r="H438" s="4"/>
      <c r="I438" s="4"/>
      <c r="J438" s="4"/>
      <c r="K438" s="4"/>
      <c r="L438" s="4"/>
      <c r="M438" s="4"/>
      <c r="N438" s="4"/>
      <c r="O438" s="4"/>
      <c r="P438" s="4"/>
      <c r="Q438" s="4"/>
      <c r="R438" s="4"/>
      <c r="S438" s="4"/>
      <c r="T438" s="4"/>
      <c r="U438" s="4"/>
      <c r="V438" s="4"/>
      <c r="W438" s="4"/>
      <c r="X438" s="4"/>
      <c r="Y438" s="4"/>
      <c r="Z438" s="4"/>
      <c r="AA438" s="21"/>
    </row>
    <row r="439">
      <c r="A439" s="4"/>
      <c r="B439" s="4"/>
      <c r="C439" s="4"/>
      <c r="D439" s="26"/>
      <c r="E439" s="4"/>
      <c r="F439" s="4"/>
      <c r="G439" s="4"/>
      <c r="H439" s="4"/>
      <c r="I439" s="4"/>
      <c r="J439" s="4"/>
      <c r="K439" s="4"/>
      <c r="L439" s="4"/>
      <c r="M439" s="4"/>
      <c r="N439" s="4"/>
      <c r="O439" s="4"/>
      <c r="P439" s="4"/>
      <c r="Q439" s="4"/>
      <c r="R439" s="4"/>
      <c r="S439" s="4"/>
      <c r="T439" s="4"/>
      <c r="U439" s="4"/>
      <c r="V439" s="4"/>
      <c r="W439" s="4"/>
      <c r="X439" s="4"/>
      <c r="Y439" s="4"/>
      <c r="Z439" s="4"/>
      <c r="AA439" s="21"/>
    </row>
    <row r="440">
      <c r="A440" s="4"/>
      <c r="B440" s="4"/>
      <c r="C440" s="4"/>
      <c r="D440" s="26"/>
      <c r="E440" s="4"/>
      <c r="F440" s="4"/>
      <c r="G440" s="4"/>
      <c r="H440" s="4"/>
      <c r="I440" s="4"/>
      <c r="J440" s="4"/>
      <c r="K440" s="4"/>
      <c r="L440" s="4"/>
      <c r="M440" s="4"/>
      <c r="N440" s="4"/>
      <c r="O440" s="4"/>
      <c r="P440" s="4"/>
      <c r="Q440" s="4"/>
      <c r="R440" s="4"/>
      <c r="S440" s="4"/>
      <c r="T440" s="4"/>
      <c r="U440" s="4"/>
      <c r="V440" s="4"/>
      <c r="W440" s="4"/>
      <c r="X440" s="4"/>
      <c r="Y440" s="4"/>
      <c r="Z440" s="4"/>
      <c r="AA440" s="21"/>
    </row>
    <row r="441">
      <c r="A441" s="4"/>
      <c r="B441" s="4"/>
      <c r="C441" s="4"/>
      <c r="D441" s="26"/>
      <c r="E441" s="4"/>
      <c r="F441" s="4"/>
      <c r="G441" s="4"/>
      <c r="H441" s="4"/>
      <c r="I441" s="4"/>
      <c r="J441" s="4"/>
      <c r="K441" s="4"/>
      <c r="L441" s="4"/>
      <c r="M441" s="4"/>
      <c r="N441" s="4"/>
      <c r="O441" s="4"/>
      <c r="P441" s="4"/>
      <c r="Q441" s="4"/>
      <c r="R441" s="4"/>
      <c r="S441" s="4"/>
      <c r="T441" s="4"/>
      <c r="U441" s="4"/>
      <c r="V441" s="4"/>
      <c r="W441" s="4"/>
      <c r="X441" s="4"/>
      <c r="Y441" s="4"/>
      <c r="Z441" s="4"/>
      <c r="AA441" s="21"/>
    </row>
    <row r="442">
      <c r="A442" s="4"/>
      <c r="B442" s="4"/>
      <c r="C442" s="4"/>
      <c r="D442" s="26"/>
      <c r="E442" s="4"/>
      <c r="F442" s="4"/>
      <c r="G442" s="4"/>
      <c r="H442" s="4"/>
      <c r="I442" s="4"/>
      <c r="J442" s="4"/>
      <c r="K442" s="4"/>
      <c r="L442" s="4"/>
      <c r="M442" s="4"/>
      <c r="N442" s="4"/>
      <c r="O442" s="4"/>
      <c r="P442" s="4"/>
      <c r="Q442" s="4"/>
      <c r="R442" s="4"/>
      <c r="S442" s="4"/>
      <c r="T442" s="4"/>
      <c r="U442" s="4"/>
      <c r="V442" s="4"/>
      <c r="W442" s="4"/>
      <c r="X442" s="4"/>
      <c r="Y442" s="4"/>
      <c r="Z442" s="4"/>
      <c r="AA442" s="21"/>
    </row>
    <row r="443">
      <c r="A443" s="4"/>
      <c r="B443" s="4"/>
      <c r="C443" s="4"/>
      <c r="D443" s="26"/>
      <c r="E443" s="4"/>
      <c r="F443" s="4"/>
      <c r="G443" s="4"/>
      <c r="H443" s="4"/>
      <c r="I443" s="4"/>
      <c r="J443" s="4"/>
      <c r="K443" s="4"/>
      <c r="L443" s="4"/>
      <c r="M443" s="4"/>
      <c r="N443" s="4"/>
      <c r="O443" s="4"/>
      <c r="P443" s="4"/>
      <c r="Q443" s="4"/>
      <c r="R443" s="4"/>
      <c r="S443" s="4"/>
      <c r="T443" s="4"/>
      <c r="U443" s="4"/>
      <c r="V443" s="4"/>
      <c r="W443" s="4"/>
      <c r="X443" s="4"/>
      <c r="Y443" s="4"/>
      <c r="Z443" s="4"/>
      <c r="AA443" s="21"/>
    </row>
    <row r="444">
      <c r="A444" s="4"/>
      <c r="B444" s="4"/>
      <c r="C444" s="4"/>
      <c r="D444" s="26"/>
      <c r="E444" s="4"/>
      <c r="F444" s="4"/>
      <c r="G444" s="4"/>
      <c r="H444" s="4"/>
      <c r="I444" s="4"/>
      <c r="J444" s="4"/>
      <c r="K444" s="4"/>
      <c r="L444" s="4"/>
      <c r="M444" s="4"/>
      <c r="N444" s="4"/>
      <c r="O444" s="4"/>
      <c r="P444" s="4"/>
      <c r="Q444" s="4"/>
      <c r="R444" s="4"/>
      <c r="S444" s="4"/>
      <c r="T444" s="4"/>
      <c r="U444" s="4"/>
      <c r="V444" s="4"/>
      <c r="W444" s="4"/>
      <c r="X444" s="4"/>
      <c r="Y444" s="4"/>
      <c r="Z444" s="4"/>
      <c r="AA444" s="21"/>
    </row>
    <row r="445">
      <c r="A445" s="4"/>
      <c r="B445" s="4"/>
      <c r="C445" s="4"/>
      <c r="D445" s="26"/>
      <c r="E445" s="4"/>
      <c r="F445" s="4"/>
      <c r="G445" s="4"/>
      <c r="H445" s="4"/>
      <c r="I445" s="4"/>
      <c r="J445" s="4"/>
      <c r="K445" s="4"/>
      <c r="L445" s="4"/>
      <c r="M445" s="4"/>
      <c r="N445" s="4"/>
      <c r="O445" s="4"/>
      <c r="P445" s="4"/>
      <c r="Q445" s="4"/>
      <c r="R445" s="4"/>
      <c r="S445" s="4"/>
      <c r="T445" s="4"/>
      <c r="U445" s="4"/>
      <c r="V445" s="4"/>
      <c r="W445" s="4"/>
      <c r="X445" s="4"/>
      <c r="Y445" s="4"/>
      <c r="Z445" s="4"/>
      <c r="AA445" s="21"/>
    </row>
    <row r="446">
      <c r="A446" s="4"/>
      <c r="B446" s="4"/>
      <c r="C446" s="4"/>
      <c r="D446" s="26"/>
      <c r="E446" s="4"/>
      <c r="F446" s="4"/>
      <c r="G446" s="4"/>
      <c r="H446" s="4"/>
      <c r="I446" s="4"/>
      <c r="J446" s="4"/>
      <c r="K446" s="4"/>
      <c r="L446" s="4"/>
      <c r="M446" s="4"/>
      <c r="N446" s="4"/>
      <c r="O446" s="4"/>
      <c r="P446" s="4"/>
      <c r="Q446" s="4"/>
      <c r="R446" s="4"/>
      <c r="S446" s="4"/>
      <c r="T446" s="4"/>
      <c r="U446" s="4"/>
      <c r="V446" s="4"/>
      <c r="W446" s="4"/>
      <c r="X446" s="4"/>
      <c r="Y446" s="4"/>
      <c r="Z446" s="4"/>
      <c r="AA446" s="21"/>
    </row>
    <row r="447">
      <c r="A447" s="4"/>
      <c r="B447" s="4"/>
      <c r="C447" s="4"/>
      <c r="D447" s="26"/>
      <c r="E447" s="4"/>
      <c r="F447" s="4"/>
      <c r="G447" s="4"/>
      <c r="H447" s="4"/>
      <c r="I447" s="4"/>
      <c r="J447" s="4"/>
      <c r="K447" s="4"/>
      <c r="L447" s="4"/>
      <c r="M447" s="4"/>
      <c r="N447" s="4"/>
      <c r="O447" s="4"/>
      <c r="P447" s="4"/>
      <c r="Q447" s="4"/>
      <c r="R447" s="4"/>
      <c r="S447" s="4"/>
      <c r="T447" s="4"/>
      <c r="U447" s="4"/>
      <c r="V447" s="4"/>
      <c r="W447" s="4"/>
      <c r="X447" s="4"/>
      <c r="Y447" s="4"/>
      <c r="Z447" s="4"/>
      <c r="AA447" s="21"/>
    </row>
    <row r="448">
      <c r="A448" s="4"/>
      <c r="B448" s="4"/>
      <c r="C448" s="4"/>
      <c r="D448" s="26"/>
      <c r="E448" s="4"/>
      <c r="F448" s="4"/>
      <c r="G448" s="4"/>
      <c r="H448" s="4"/>
      <c r="I448" s="4"/>
      <c r="J448" s="4"/>
      <c r="K448" s="4"/>
      <c r="L448" s="4"/>
      <c r="M448" s="4"/>
      <c r="N448" s="4"/>
      <c r="O448" s="4"/>
      <c r="P448" s="4"/>
      <c r="Q448" s="4"/>
      <c r="R448" s="4"/>
      <c r="S448" s="4"/>
      <c r="T448" s="4"/>
      <c r="U448" s="4"/>
      <c r="V448" s="4"/>
      <c r="W448" s="4"/>
      <c r="X448" s="4"/>
      <c r="Y448" s="4"/>
      <c r="Z448" s="4"/>
      <c r="AA448" s="21"/>
    </row>
    <row r="449">
      <c r="A449" s="4"/>
      <c r="B449" s="4"/>
      <c r="C449" s="4"/>
      <c r="D449" s="26"/>
      <c r="E449" s="4"/>
      <c r="F449" s="4"/>
      <c r="G449" s="4"/>
      <c r="H449" s="4"/>
      <c r="I449" s="4"/>
      <c r="J449" s="4"/>
      <c r="K449" s="4"/>
      <c r="L449" s="4"/>
      <c r="M449" s="4"/>
      <c r="N449" s="4"/>
      <c r="O449" s="4"/>
      <c r="P449" s="4"/>
      <c r="Q449" s="4"/>
      <c r="R449" s="4"/>
      <c r="S449" s="4"/>
      <c r="T449" s="4"/>
      <c r="U449" s="4"/>
      <c r="V449" s="4"/>
      <c r="W449" s="4"/>
      <c r="X449" s="4"/>
      <c r="Y449" s="4"/>
      <c r="Z449" s="4"/>
      <c r="AA449" s="21"/>
    </row>
    <row r="450">
      <c r="A450" s="4"/>
      <c r="B450" s="4"/>
      <c r="C450" s="4"/>
      <c r="D450" s="26"/>
      <c r="E450" s="4"/>
      <c r="F450" s="4"/>
      <c r="G450" s="4"/>
      <c r="H450" s="4"/>
      <c r="I450" s="4"/>
      <c r="J450" s="4"/>
      <c r="K450" s="4"/>
      <c r="L450" s="4"/>
      <c r="M450" s="4"/>
      <c r="N450" s="4"/>
      <c r="O450" s="4"/>
      <c r="P450" s="4"/>
      <c r="Q450" s="4"/>
      <c r="R450" s="4"/>
      <c r="S450" s="4"/>
      <c r="T450" s="4"/>
      <c r="U450" s="4"/>
      <c r="V450" s="4"/>
      <c r="W450" s="4"/>
      <c r="X450" s="4"/>
      <c r="Y450" s="4"/>
      <c r="Z450" s="4"/>
      <c r="AA450" s="21"/>
    </row>
    <row r="451">
      <c r="A451" s="4"/>
      <c r="B451" s="4"/>
      <c r="C451" s="4"/>
      <c r="D451" s="26"/>
      <c r="E451" s="4"/>
      <c r="F451" s="4"/>
      <c r="G451" s="4"/>
      <c r="H451" s="4"/>
      <c r="I451" s="4"/>
      <c r="J451" s="4"/>
      <c r="K451" s="4"/>
      <c r="L451" s="4"/>
      <c r="M451" s="4"/>
      <c r="N451" s="4"/>
      <c r="O451" s="4"/>
      <c r="P451" s="4"/>
      <c r="Q451" s="4"/>
      <c r="R451" s="4"/>
      <c r="S451" s="4"/>
      <c r="T451" s="4"/>
      <c r="U451" s="4"/>
      <c r="V451" s="4"/>
      <c r="W451" s="4"/>
      <c r="X451" s="4"/>
      <c r="Y451" s="4"/>
      <c r="Z451" s="4"/>
      <c r="AA451" s="21"/>
    </row>
    <row r="452">
      <c r="A452" s="4"/>
      <c r="B452" s="4"/>
      <c r="C452" s="4"/>
      <c r="D452" s="26"/>
      <c r="E452" s="4"/>
      <c r="F452" s="4"/>
      <c r="G452" s="4"/>
      <c r="H452" s="4"/>
      <c r="I452" s="4"/>
      <c r="J452" s="4"/>
      <c r="K452" s="4"/>
      <c r="L452" s="4"/>
      <c r="M452" s="4"/>
      <c r="N452" s="4"/>
      <c r="O452" s="4"/>
      <c r="P452" s="4"/>
      <c r="Q452" s="4"/>
      <c r="R452" s="4"/>
      <c r="S452" s="4"/>
      <c r="T452" s="4"/>
      <c r="U452" s="4"/>
      <c r="V452" s="4"/>
      <c r="W452" s="4"/>
      <c r="X452" s="4"/>
      <c r="Y452" s="4"/>
      <c r="Z452" s="4"/>
      <c r="AA452" s="21"/>
    </row>
    <row r="453">
      <c r="A453" s="4"/>
      <c r="B453" s="4"/>
      <c r="C453" s="4"/>
      <c r="D453" s="26"/>
      <c r="E453" s="4"/>
      <c r="F453" s="4"/>
      <c r="G453" s="4"/>
      <c r="H453" s="4"/>
      <c r="I453" s="4"/>
      <c r="J453" s="4"/>
      <c r="K453" s="4"/>
      <c r="L453" s="4"/>
      <c r="M453" s="4"/>
      <c r="N453" s="4"/>
      <c r="O453" s="4"/>
      <c r="P453" s="4"/>
      <c r="Q453" s="4"/>
      <c r="R453" s="4"/>
      <c r="S453" s="4"/>
      <c r="T453" s="4"/>
      <c r="U453" s="4"/>
      <c r="V453" s="4"/>
      <c r="W453" s="4"/>
      <c r="X453" s="4"/>
      <c r="Y453" s="4"/>
      <c r="Z453" s="4"/>
      <c r="AA453" s="21"/>
    </row>
    <row r="454">
      <c r="A454" s="4"/>
      <c r="B454" s="4"/>
      <c r="C454" s="4"/>
      <c r="D454" s="26"/>
      <c r="E454" s="4"/>
      <c r="F454" s="4"/>
      <c r="G454" s="4"/>
      <c r="H454" s="4"/>
      <c r="I454" s="4"/>
      <c r="J454" s="4"/>
      <c r="K454" s="4"/>
      <c r="L454" s="4"/>
      <c r="M454" s="4"/>
      <c r="N454" s="4"/>
      <c r="O454" s="4"/>
      <c r="P454" s="4"/>
      <c r="Q454" s="4"/>
      <c r="R454" s="4"/>
      <c r="S454" s="4"/>
      <c r="T454" s="4"/>
      <c r="U454" s="4"/>
      <c r="V454" s="4"/>
      <c r="W454" s="4"/>
      <c r="X454" s="4"/>
      <c r="Y454" s="4"/>
      <c r="Z454" s="4"/>
      <c r="AA454" s="21"/>
    </row>
    <row r="455">
      <c r="A455" s="4"/>
      <c r="B455" s="4"/>
      <c r="C455" s="4"/>
      <c r="D455" s="26"/>
      <c r="E455" s="4"/>
      <c r="F455" s="4"/>
      <c r="G455" s="4"/>
      <c r="H455" s="4"/>
      <c r="I455" s="4"/>
      <c r="J455" s="4"/>
      <c r="K455" s="4"/>
      <c r="L455" s="4"/>
      <c r="M455" s="4"/>
      <c r="N455" s="4"/>
      <c r="O455" s="4"/>
      <c r="P455" s="4"/>
      <c r="Q455" s="4"/>
      <c r="R455" s="4"/>
      <c r="S455" s="4"/>
      <c r="T455" s="4"/>
      <c r="U455" s="4"/>
      <c r="V455" s="4"/>
      <c r="W455" s="4"/>
      <c r="X455" s="4"/>
      <c r="Y455" s="4"/>
      <c r="Z455" s="4"/>
      <c r="AA455" s="21"/>
    </row>
    <row r="456">
      <c r="A456" s="4"/>
      <c r="B456" s="4"/>
      <c r="C456" s="4"/>
      <c r="D456" s="26"/>
      <c r="E456" s="4"/>
      <c r="F456" s="4"/>
      <c r="G456" s="4"/>
      <c r="H456" s="4"/>
      <c r="I456" s="4"/>
      <c r="J456" s="4"/>
      <c r="K456" s="4"/>
      <c r="L456" s="4"/>
      <c r="M456" s="4"/>
      <c r="N456" s="4"/>
      <c r="O456" s="4"/>
      <c r="P456" s="4"/>
      <c r="Q456" s="4"/>
      <c r="R456" s="4"/>
      <c r="S456" s="4"/>
      <c r="T456" s="4"/>
      <c r="U456" s="4"/>
      <c r="V456" s="4"/>
      <c r="W456" s="4"/>
      <c r="X456" s="4"/>
      <c r="Y456" s="4"/>
      <c r="Z456" s="4"/>
      <c r="AA456" s="21"/>
    </row>
    <row r="457">
      <c r="A457" s="4"/>
      <c r="B457" s="4"/>
      <c r="C457" s="4"/>
      <c r="D457" s="26"/>
      <c r="E457" s="4"/>
      <c r="F457" s="4"/>
      <c r="G457" s="4"/>
      <c r="H457" s="4"/>
      <c r="I457" s="4"/>
      <c r="J457" s="4"/>
      <c r="K457" s="4"/>
      <c r="L457" s="4"/>
      <c r="M457" s="4"/>
      <c r="N457" s="4"/>
      <c r="O457" s="4"/>
      <c r="P457" s="4"/>
      <c r="Q457" s="4"/>
      <c r="R457" s="4"/>
      <c r="S457" s="4"/>
      <c r="T457" s="4"/>
      <c r="U457" s="4"/>
      <c r="V457" s="4"/>
      <c r="W457" s="4"/>
      <c r="X457" s="4"/>
      <c r="Y457" s="4"/>
      <c r="Z457" s="4"/>
      <c r="AA457" s="21"/>
    </row>
    <row r="458">
      <c r="A458" s="4"/>
      <c r="B458" s="4"/>
      <c r="C458" s="4"/>
      <c r="D458" s="26"/>
      <c r="E458" s="4"/>
      <c r="F458" s="4"/>
      <c r="G458" s="4"/>
      <c r="H458" s="4"/>
      <c r="I458" s="4"/>
      <c r="J458" s="4"/>
      <c r="K458" s="4"/>
      <c r="L458" s="4"/>
      <c r="M458" s="4"/>
      <c r="N458" s="4"/>
      <c r="O458" s="4"/>
      <c r="P458" s="4"/>
      <c r="Q458" s="4"/>
      <c r="R458" s="4"/>
      <c r="S458" s="4"/>
      <c r="T458" s="4"/>
      <c r="U458" s="4"/>
      <c r="V458" s="4"/>
      <c r="W458" s="4"/>
      <c r="X458" s="4"/>
      <c r="Y458" s="4"/>
      <c r="Z458" s="4"/>
      <c r="AA458" s="21"/>
    </row>
    <row r="459">
      <c r="A459" s="4"/>
      <c r="B459" s="4"/>
      <c r="C459" s="4"/>
      <c r="D459" s="26"/>
      <c r="E459" s="4"/>
      <c r="F459" s="4"/>
      <c r="G459" s="4"/>
      <c r="H459" s="4"/>
      <c r="I459" s="4"/>
      <c r="J459" s="4"/>
      <c r="K459" s="4"/>
      <c r="L459" s="4"/>
      <c r="M459" s="4"/>
      <c r="N459" s="4"/>
      <c r="O459" s="4"/>
      <c r="P459" s="4"/>
      <c r="Q459" s="4"/>
      <c r="R459" s="4"/>
      <c r="S459" s="4"/>
      <c r="T459" s="4"/>
      <c r="U459" s="4"/>
      <c r="V459" s="4"/>
      <c r="W459" s="4"/>
      <c r="X459" s="4"/>
      <c r="Y459" s="4"/>
      <c r="Z459" s="4"/>
      <c r="AA459" s="21"/>
    </row>
    <row r="460">
      <c r="A460" s="4"/>
      <c r="B460" s="4"/>
      <c r="C460" s="4"/>
      <c r="D460" s="26"/>
      <c r="E460" s="4"/>
      <c r="F460" s="4"/>
      <c r="G460" s="4"/>
      <c r="H460" s="4"/>
      <c r="I460" s="4"/>
      <c r="J460" s="4"/>
      <c r="K460" s="4"/>
      <c r="L460" s="4"/>
      <c r="M460" s="4"/>
      <c r="N460" s="4"/>
      <c r="O460" s="4"/>
      <c r="P460" s="4"/>
      <c r="Q460" s="4"/>
      <c r="R460" s="4"/>
      <c r="S460" s="4"/>
      <c r="T460" s="4"/>
      <c r="U460" s="4"/>
      <c r="V460" s="4"/>
      <c r="W460" s="4"/>
      <c r="X460" s="4"/>
      <c r="Y460" s="4"/>
      <c r="Z460" s="4"/>
      <c r="AA460" s="21"/>
    </row>
    <row r="461">
      <c r="A461" s="4"/>
      <c r="B461" s="4"/>
      <c r="C461" s="4"/>
      <c r="D461" s="26"/>
      <c r="E461" s="4"/>
      <c r="F461" s="4"/>
      <c r="G461" s="4"/>
      <c r="H461" s="4"/>
      <c r="I461" s="4"/>
      <c r="J461" s="4"/>
      <c r="K461" s="4"/>
      <c r="L461" s="4"/>
      <c r="M461" s="4"/>
      <c r="N461" s="4"/>
      <c r="O461" s="4"/>
      <c r="P461" s="4"/>
      <c r="Q461" s="4"/>
      <c r="R461" s="4"/>
      <c r="S461" s="4"/>
      <c r="T461" s="4"/>
      <c r="U461" s="4"/>
      <c r="V461" s="4"/>
      <c r="W461" s="4"/>
      <c r="X461" s="4"/>
      <c r="Y461" s="4"/>
      <c r="Z461" s="4"/>
      <c r="AA461" s="21"/>
    </row>
    <row r="462">
      <c r="A462" s="4"/>
      <c r="B462" s="4"/>
      <c r="C462" s="4"/>
      <c r="D462" s="26"/>
      <c r="E462" s="4"/>
      <c r="F462" s="4"/>
      <c r="G462" s="4"/>
      <c r="H462" s="4"/>
      <c r="I462" s="4"/>
      <c r="J462" s="4"/>
      <c r="K462" s="4"/>
      <c r="L462" s="4"/>
      <c r="M462" s="4"/>
      <c r="N462" s="4"/>
      <c r="O462" s="4"/>
      <c r="P462" s="4"/>
      <c r="Q462" s="4"/>
      <c r="R462" s="4"/>
      <c r="S462" s="4"/>
      <c r="T462" s="4"/>
      <c r="U462" s="4"/>
      <c r="V462" s="4"/>
      <c r="W462" s="4"/>
      <c r="X462" s="4"/>
      <c r="Y462" s="4"/>
      <c r="Z462" s="4"/>
      <c r="AA462" s="21"/>
    </row>
    <row r="463">
      <c r="A463" s="4"/>
      <c r="B463" s="4"/>
      <c r="C463" s="4"/>
      <c r="D463" s="26"/>
      <c r="E463" s="4"/>
      <c r="F463" s="4"/>
      <c r="G463" s="4"/>
      <c r="H463" s="4"/>
      <c r="I463" s="4"/>
      <c r="J463" s="4"/>
      <c r="K463" s="4"/>
      <c r="L463" s="4"/>
      <c r="M463" s="4"/>
      <c r="N463" s="4"/>
      <c r="O463" s="4"/>
      <c r="P463" s="4"/>
      <c r="Q463" s="4"/>
      <c r="R463" s="4"/>
      <c r="S463" s="4"/>
      <c r="T463" s="4"/>
      <c r="U463" s="4"/>
      <c r="V463" s="4"/>
      <c r="W463" s="4"/>
      <c r="X463" s="4"/>
      <c r="Y463" s="4"/>
      <c r="Z463" s="4"/>
      <c r="AA463" s="21"/>
    </row>
    <row r="464">
      <c r="A464" s="4"/>
      <c r="B464" s="4"/>
      <c r="C464" s="4"/>
      <c r="D464" s="26"/>
      <c r="E464" s="4"/>
      <c r="F464" s="4"/>
      <c r="G464" s="4"/>
      <c r="H464" s="4"/>
      <c r="I464" s="4"/>
      <c r="J464" s="4"/>
      <c r="K464" s="4"/>
      <c r="L464" s="4"/>
      <c r="M464" s="4"/>
      <c r="N464" s="4"/>
      <c r="O464" s="4"/>
      <c r="P464" s="4"/>
      <c r="Q464" s="4"/>
      <c r="R464" s="4"/>
      <c r="S464" s="4"/>
      <c r="T464" s="4"/>
      <c r="U464" s="4"/>
      <c r="V464" s="4"/>
      <c r="W464" s="4"/>
      <c r="X464" s="4"/>
      <c r="Y464" s="4"/>
      <c r="Z464" s="4"/>
      <c r="AA464" s="21"/>
    </row>
    <row r="465">
      <c r="A465" s="4"/>
      <c r="B465" s="4"/>
      <c r="C465" s="4"/>
      <c r="D465" s="26"/>
      <c r="E465" s="4"/>
      <c r="F465" s="4"/>
      <c r="G465" s="4"/>
      <c r="H465" s="4"/>
      <c r="I465" s="4"/>
      <c r="J465" s="4"/>
      <c r="K465" s="4"/>
      <c r="L465" s="4"/>
      <c r="M465" s="4"/>
      <c r="N465" s="4"/>
      <c r="O465" s="4"/>
      <c r="P465" s="4"/>
      <c r="Q465" s="4"/>
      <c r="R465" s="4"/>
      <c r="S465" s="4"/>
      <c r="T465" s="4"/>
      <c r="U465" s="4"/>
      <c r="V465" s="4"/>
      <c r="W465" s="4"/>
      <c r="X465" s="4"/>
      <c r="Y465" s="4"/>
      <c r="Z465" s="4"/>
      <c r="AA465" s="21"/>
    </row>
    <row r="466">
      <c r="A466" s="4"/>
      <c r="B466" s="4"/>
      <c r="C466" s="4"/>
      <c r="D466" s="26"/>
      <c r="E466" s="4"/>
      <c r="F466" s="4"/>
      <c r="G466" s="4"/>
      <c r="H466" s="4"/>
      <c r="I466" s="4"/>
      <c r="J466" s="4"/>
      <c r="K466" s="4"/>
      <c r="L466" s="4"/>
      <c r="M466" s="4"/>
      <c r="N466" s="4"/>
      <c r="O466" s="4"/>
      <c r="P466" s="4"/>
      <c r="Q466" s="4"/>
      <c r="R466" s="4"/>
      <c r="S466" s="4"/>
      <c r="T466" s="4"/>
      <c r="U466" s="4"/>
      <c r="V466" s="4"/>
      <c r="W466" s="4"/>
      <c r="X466" s="4"/>
      <c r="Y466" s="4"/>
      <c r="Z466" s="4"/>
      <c r="AA466" s="21"/>
    </row>
    <row r="467">
      <c r="A467" s="4"/>
      <c r="B467" s="4"/>
      <c r="C467" s="4"/>
      <c r="D467" s="26"/>
      <c r="E467" s="4"/>
      <c r="F467" s="4"/>
      <c r="G467" s="4"/>
      <c r="H467" s="4"/>
      <c r="I467" s="4"/>
      <c r="J467" s="4"/>
      <c r="K467" s="4"/>
      <c r="L467" s="4"/>
      <c r="M467" s="4"/>
      <c r="N467" s="4"/>
      <c r="O467" s="4"/>
      <c r="P467" s="4"/>
      <c r="Q467" s="4"/>
      <c r="R467" s="4"/>
      <c r="S467" s="4"/>
      <c r="T467" s="4"/>
      <c r="U467" s="4"/>
      <c r="V467" s="4"/>
      <c r="W467" s="4"/>
      <c r="X467" s="4"/>
      <c r="Y467" s="4"/>
      <c r="Z467" s="4"/>
      <c r="AA467" s="21"/>
    </row>
    <row r="468">
      <c r="A468" s="4"/>
      <c r="B468" s="4"/>
      <c r="C468" s="4"/>
      <c r="D468" s="26"/>
      <c r="E468" s="4"/>
      <c r="F468" s="4"/>
      <c r="G468" s="4"/>
      <c r="H468" s="4"/>
      <c r="I468" s="4"/>
      <c r="J468" s="4"/>
      <c r="K468" s="4"/>
      <c r="L468" s="4"/>
      <c r="M468" s="4"/>
      <c r="N468" s="4"/>
      <c r="O468" s="4"/>
      <c r="P468" s="4"/>
      <c r="Q468" s="4"/>
      <c r="R468" s="4"/>
      <c r="S468" s="4"/>
      <c r="T468" s="4"/>
      <c r="U468" s="4"/>
      <c r="V468" s="4"/>
      <c r="W468" s="4"/>
      <c r="X468" s="4"/>
      <c r="Y468" s="4"/>
      <c r="Z468" s="4"/>
      <c r="AA468" s="21"/>
    </row>
    <row r="469">
      <c r="A469" s="4"/>
      <c r="B469" s="4"/>
      <c r="C469" s="4"/>
      <c r="D469" s="26"/>
      <c r="E469" s="4"/>
      <c r="F469" s="4"/>
      <c r="G469" s="4"/>
      <c r="H469" s="4"/>
      <c r="I469" s="4"/>
      <c r="J469" s="4"/>
      <c r="K469" s="4"/>
      <c r="L469" s="4"/>
      <c r="M469" s="4"/>
      <c r="N469" s="4"/>
      <c r="O469" s="4"/>
      <c r="P469" s="4"/>
      <c r="Q469" s="4"/>
      <c r="R469" s="4"/>
      <c r="S469" s="4"/>
      <c r="T469" s="4"/>
      <c r="U469" s="4"/>
      <c r="V469" s="4"/>
      <c r="W469" s="4"/>
      <c r="X469" s="4"/>
      <c r="Y469" s="4"/>
      <c r="Z469" s="4"/>
      <c r="AA469" s="21"/>
    </row>
    <row r="470">
      <c r="A470" s="4"/>
      <c r="B470" s="4"/>
      <c r="C470" s="4"/>
      <c r="D470" s="26"/>
      <c r="E470" s="4"/>
      <c r="F470" s="4"/>
      <c r="G470" s="4"/>
      <c r="H470" s="4"/>
      <c r="I470" s="4"/>
      <c r="J470" s="4"/>
      <c r="K470" s="4"/>
      <c r="L470" s="4"/>
      <c r="M470" s="4"/>
      <c r="N470" s="4"/>
      <c r="O470" s="4"/>
      <c r="P470" s="4"/>
      <c r="Q470" s="4"/>
      <c r="R470" s="4"/>
      <c r="S470" s="4"/>
      <c r="T470" s="4"/>
      <c r="U470" s="4"/>
      <c r="V470" s="4"/>
      <c r="W470" s="4"/>
      <c r="X470" s="4"/>
      <c r="Y470" s="4"/>
      <c r="Z470" s="4"/>
      <c r="AA470" s="21"/>
    </row>
    <row r="471">
      <c r="A471" s="4"/>
      <c r="B471" s="4"/>
      <c r="C471" s="4"/>
      <c r="D471" s="26"/>
      <c r="E471" s="4"/>
      <c r="F471" s="4"/>
      <c r="G471" s="4"/>
      <c r="H471" s="4"/>
      <c r="I471" s="4"/>
      <c r="J471" s="4"/>
      <c r="K471" s="4"/>
      <c r="L471" s="4"/>
      <c r="M471" s="4"/>
      <c r="N471" s="4"/>
      <c r="O471" s="4"/>
      <c r="P471" s="4"/>
      <c r="Q471" s="4"/>
      <c r="R471" s="4"/>
      <c r="S471" s="4"/>
      <c r="T471" s="4"/>
      <c r="U471" s="4"/>
      <c r="V471" s="4"/>
      <c r="W471" s="4"/>
      <c r="X471" s="4"/>
      <c r="Y471" s="4"/>
      <c r="Z471" s="4"/>
      <c r="AA471" s="21"/>
    </row>
    <row r="472">
      <c r="A472" s="4"/>
      <c r="B472" s="4"/>
      <c r="C472" s="4"/>
      <c r="D472" s="26"/>
      <c r="E472" s="4"/>
      <c r="F472" s="4"/>
      <c r="G472" s="4"/>
      <c r="H472" s="4"/>
      <c r="I472" s="4"/>
      <c r="J472" s="4"/>
      <c r="K472" s="4"/>
      <c r="L472" s="4"/>
      <c r="M472" s="4"/>
      <c r="N472" s="4"/>
      <c r="O472" s="4"/>
      <c r="P472" s="4"/>
      <c r="Q472" s="4"/>
      <c r="R472" s="4"/>
      <c r="S472" s="4"/>
      <c r="T472" s="4"/>
      <c r="U472" s="4"/>
      <c r="V472" s="4"/>
      <c r="W472" s="4"/>
      <c r="X472" s="4"/>
      <c r="Y472" s="4"/>
      <c r="Z472" s="4"/>
      <c r="AA472" s="21"/>
    </row>
    <row r="473">
      <c r="A473" s="4"/>
      <c r="B473" s="4"/>
      <c r="C473" s="4"/>
      <c r="D473" s="26"/>
      <c r="E473" s="4"/>
      <c r="F473" s="4"/>
      <c r="G473" s="4"/>
      <c r="H473" s="4"/>
      <c r="I473" s="4"/>
      <c r="J473" s="4"/>
      <c r="K473" s="4"/>
      <c r="L473" s="4"/>
      <c r="M473" s="4"/>
      <c r="N473" s="4"/>
      <c r="O473" s="4"/>
      <c r="P473" s="4"/>
      <c r="Q473" s="4"/>
      <c r="R473" s="4"/>
      <c r="S473" s="4"/>
      <c r="T473" s="4"/>
      <c r="U473" s="4"/>
      <c r="V473" s="4"/>
      <c r="W473" s="4"/>
      <c r="X473" s="4"/>
      <c r="Y473" s="4"/>
      <c r="Z473" s="4"/>
      <c r="AA473" s="21"/>
    </row>
    <row r="474">
      <c r="A474" s="4"/>
      <c r="B474" s="4"/>
      <c r="C474" s="4"/>
      <c r="D474" s="26"/>
      <c r="E474" s="4"/>
      <c r="F474" s="4"/>
      <c r="G474" s="4"/>
      <c r="H474" s="4"/>
      <c r="I474" s="4"/>
      <c r="J474" s="4"/>
      <c r="K474" s="4"/>
      <c r="L474" s="4"/>
      <c r="M474" s="4"/>
      <c r="N474" s="4"/>
      <c r="O474" s="4"/>
      <c r="P474" s="4"/>
      <c r="Q474" s="4"/>
      <c r="R474" s="4"/>
      <c r="S474" s="4"/>
      <c r="T474" s="4"/>
      <c r="U474" s="4"/>
      <c r="V474" s="4"/>
      <c r="W474" s="4"/>
      <c r="X474" s="4"/>
      <c r="Y474" s="4"/>
      <c r="Z474" s="4"/>
      <c r="AA474" s="21"/>
    </row>
    <row r="475">
      <c r="A475" s="4"/>
      <c r="B475" s="4"/>
      <c r="C475" s="4"/>
      <c r="D475" s="26"/>
      <c r="E475" s="4"/>
      <c r="F475" s="4"/>
      <c r="G475" s="4"/>
      <c r="H475" s="4"/>
      <c r="I475" s="4"/>
      <c r="J475" s="4"/>
      <c r="K475" s="4"/>
      <c r="L475" s="4"/>
      <c r="M475" s="4"/>
      <c r="N475" s="4"/>
      <c r="O475" s="4"/>
      <c r="P475" s="4"/>
      <c r="Q475" s="4"/>
      <c r="R475" s="4"/>
      <c r="S475" s="4"/>
      <c r="T475" s="4"/>
      <c r="U475" s="4"/>
      <c r="V475" s="4"/>
      <c r="W475" s="4"/>
      <c r="X475" s="4"/>
      <c r="Y475" s="4"/>
      <c r="Z475" s="4"/>
      <c r="AA475" s="21"/>
    </row>
    <row r="476">
      <c r="A476" s="4"/>
      <c r="B476" s="4"/>
      <c r="C476" s="4"/>
      <c r="D476" s="26"/>
      <c r="E476" s="4"/>
      <c r="F476" s="4"/>
      <c r="G476" s="4"/>
      <c r="H476" s="4"/>
      <c r="I476" s="4"/>
      <c r="J476" s="4"/>
      <c r="K476" s="4"/>
      <c r="L476" s="4"/>
      <c r="M476" s="4"/>
      <c r="N476" s="4"/>
      <c r="O476" s="4"/>
      <c r="P476" s="4"/>
      <c r="Q476" s="4"/>
      <c r="R476" s="4"/>
      <c r="S476" s="4"/>
      <c r="T476" s="4"/>
      <c r="U476" s="4"/>
      <c r="V476" s="4"/>
      <c r="W476" s="4"/>
      <c r="X476" s="4"/>
      <c r="Y476" s="4"/>
      <c r="Z476" s="4"/>
      <c r="AA476" s="21"/>
    </row>
    <row r="477">
      <c r="A477" s="4"/>
      <c r="B477" s="4"/>
      <c r="C477" s="4"/>
      <c r="D477" s="26"/>
      <c r="E477" s="4"/>
      <c r="F477" s="4"/>
      <c r="G477" s="4"/>
      <c r="H477" s="4"/>
      <c r="I477" s="4"/>
      <c r="J477" s="4"/>
      <c r="K477" s="4"/>
      <c r="L477" s="4"/>
      <c r="M477" s="4"/>
      <c r="N477" s="4"/>
      <c r="O477" s="4"/>
      <c r="P477" s="4"/>
      <c r="Q477" s="4"/>
      <c r="R477" s="4"/>
      <c r="S477" s="4"/>
      <c r="T477" s="4"/>
      <c r="U477" s="4"/>
      <c r="V477" s="4"/>
      <c r="W477" s="4"/>
      <c r="X477" s="4"/>
      <c r="Y477" s="4"/>
      <c r="Z477" s="4"/>
      <c r="AA477" s="21"/>
    </row>
    <row r="478">
      <c r="A478" s="4"/>
      <c r="B478" s="4"/>
      <c r="C478" s="4"/>
      <c r="D478" s="26"/>
      <c r="E478" s="4"/>
      <c r="F478" s="4"/>
      <c r="G478" s="4"/>
      <c r="H478" s="4"/>
      <c r="I478" s="4"/>
      <c r="J478" s="4"/>
      <c r="K478" s="4"/>
      <c r="L478" s="4"/>
      <c r="M478" s="4"/>
      <c r="N478" s="4"/>
      <c r="O478" s="4"/>
      <c r="P478" s="4"/>
      <c r="Q478" s="4"/>
      <c r="R478" s="4"/>
      <c r="S478" s="4"/>
      <c r="T478" s="4"/>
      <c r="U478" s="4"/>
      <c r="V478" s="4"/>
      <c r="W478" s="4"/>
      <c r="X478" s="4"/>
      <c r="Y478" s="4"/>
      <c r="Z478" s="4"/>
      <c r="AA478" s="21"/>
    </row>
    <row r="479">
      <c r="A479" s="4"/>
      <c r="B479" s="4"/>
      <c r="C479" s="4"/>
      <c r="D479" s="26"/>
      <c r="E479" s="4"/>
      <c r="F479" s="4"/>
      <c r="G479" s="4"/>
      <c r="H479" s="4"/>
      <c r="I479" s="4"/>
      <c r="J479" s="4"/>
      <c r="K479" s="4"/>
      <c r="L479" s="4"/>
      <c r="M479" s="4"/>
      <c r="N479" s="4"/>
      <c r="O479" s="4"/>
      <c r="P479" s="4"/>
      <c r="Q479" s="4"/>
      <c r="R479" s="4"/>
      <c r="S479" s="4"/>
      <c r="T479" s="4"/>
      <c r="U479" s="4"/>
      <c r="V479" s="4"/>
      <c r="W479" s="4"/>
      <c r="X479" s="4"/>
      <c r="Y479" s="4"/>
      <c r="Z479" s="4"/>
      <c r="AA479" s="21"/>
    </row>
    <row r="480">
      <c r="A480" s="4"/>
      <c r="B480" s="4"/>
      <c r="C480" s="4"/>
      <c r="D480" s="26"/>
      <c r="E480" s="4"/>
      <c r="F480" s="4"/>
      <c r="G480" s="4"/>
      <c r="H480" s="4"/>
      <c r="I480" s="4"/>
      <c r="J480" s="4"/>
      <c r="K480" s="4"/>
      <c r="L480" s="4"/>
      <c r="M480" s="4"/>
      <c r="N480" s="4"/>
      <c r="O480" s="4"/>
      <c r="P480" s="4"/>
      <c r="Q480" s="4"/>
      <c r="R480" s="4"/>
      <c r="S480" s="4"/>
      <c r="T480" s="4"/>
      <c r="U480" s="4"/>
      <c r="V480" s="4"/>
      <c r="W480" s="4"/>
      <c r="X480" s="4"/>
      <c r="Y480" s="4"/>
      <c r="Z480" s="4"/>
      <c r="AA480" s="21"/>
    </row>
    <row r="481">
      <c r="A481" s="4"/>
      <c r="B481" s="4"/>
      <c r="C481" s="4"/>
      <c r="D481" s="26"/>
      <c r="E481" s="4"/>
      <c r="F481" s="4"/>
      <c r="G481" s="4"/>
      <c r="H481" s="4"/>
      <c r="I481" s="4"/>
      <c r="J481" s="4"/>
      <c r="K481" s="4"/>
      <c r="L481" s="4"/>
      <c r="M481" s="4"/>
      <c r="N481" s="4"/>
      <c r="O481" s="4"/>
      <c r="P481" s="4"/>
      <c r="Q481" s="4"/>
      <c r="R481" s="4"/>
      <c r="S481" s="4"/>
      <c r="T481" s="4"/>
      <c r="U481" s="4"/>
      <c r="V481" s="4"/>
      <c r="W481" s="4"/>
      <c r="X481" s="4"/>
      <c r="Y481" s="4"/>
      <c r="Z481" s="4"/>
      <c r="AA481" s="21"/>
    </row>
    <row r="482">
      <c r="A482" s="4"/>
      <c r="B482" s="4"/>
      <c r="C482" s="4"/>
      <c r="D482" s="26"/>
      <c r="E482" s="4"/>
      <c r="F482" s="4"/>
      <c r="G482" s="4"/>
      <c r="H482" s="4"/>
      <c r="I482" s="4"/>
      <c r="J482" s="4"/>
      <c r="K482" s="4"/>
      <c r="L482" s="4"/>
      <c r="M482" s="4"/>
      <c r="N482" s="4"/>
      <c r="O482" s="4"/>
      <c r="P482" s="4"/>
      <c r="Q482" s="4"/>
      <c r="R482" s="4"/>
      <c r="S482" s="4"/>
      <c r="T482" s="4"/>
      <c r="U482" s="4"/>
      <c r="V482" s="4"/>
      <c r="W482" s="4"/>
      <c r="X482" s="4"/>
      <c r="Y482" s="4"/>
      <c r="Z482" s="4"/>
      <c r="AA482" s="21"/>
    </row>
    <row r="483">
      <c r="A483" s="4"/>
      <c r="B483" s="4"/>
      <c r="C483" s="4"/>
      <c r="D483" s="26"/>
      <c r="E483" s="4"/>
      <c r="F483" s="4"/>
      <c r="G483" s="4"/>
      <c r="H483" s="4"/>
      <c r="I483" s="4"/>
      <c r="J483" s="4"/>
      <c r="K483" s="4"/>
      <c r="L483" s="4"/>
      <c r="M483" s="4"/>
      <c r="N483" s="4"/>
      <c r="O483" s="4"/>
      <c r="P483" s="4"/>
      <c r="Q483" s="4"/>
      <c r="R483" s="4"/>
      <c r="S483" s="4"/>
      <c r="T483" s="4"/>
      <c r="U483" s="4"/>
      <c r="V483" s="4"/>
      <c r="W483" s="4"/>
      <c r="X483" s="4"/>
      <c r="Y483" s="4"/>
      <c r="Z483" s="4"/>
      <c r="AA483" s="21"/>
    </row>
    <row r="484">
      <c r="A484" s="4"/>
      <c r="B484" s="4"/>
      <c r="C484" s="4"/>
      <c r="D484" s="26"/>
      <c r="E484" s="4"/>
      <c r="F484" s="4"/>
      <c r="G484" s="4"/>
      <c r="H484" s="4"/>
      <c r="I484" s="4"/>
      <c r="J484" s="4"/>
      <c r="K484" s="4"/>
      <c r="L484" s="4"/>
      <c r="M484" s="4"/>
      <c r="N484" s="4"/>
      <c r="O484" s="4"/>
      <c r="P484" s="4"/>
      <c r="Q484" s="4"/>
      <c r="R484" s="4"/>
      <c r="S484" s="4"/>
      <c r="T484" s="4"/>
      <c r="U484" s="4"/>
      <c r="V484" s="4"/>
      <c r="W484" s="4"/>
      <c r="X484" s="4"/>
      <c r="Y484" s="4"/>
      <c r="Z484" s="4"/>
      <c r="AA484" s="21"/>
    </row>
    <row r="485">
      <c r="A485" s="4"/>
      <c r="B485" s="4"/>
      <c r="C485" s="4"/>
      <c r="D485" s="26"/>
      <c r="E485" s="4"/>
      <c r="F485" s="4"/>
      <c r="G485" s="4"/>
      <c r="H485" s="4"/>
      <c r="I485" s="4"/>
      <c r="J485" s="4"/>
      <c r="K485" s="4"/>
      <c r="L485" s="4"/>
      <c r="M485" s="4"/>
      <c r="N485" s="4"/>
      <c r="O485" s="4"/>
      <c r="P485" s="4"/>
      <c r="Q485" s="4"/>
      <c r="R485" s="4"/>
      <c r="S485" s="4"/>
      <c r="T485" s="4"/>
      <c r="U485" s="4"/>
      <c r="V485" s="4"/>
      <c r="W485" s="4"/>
      <c r="X485" s="4"/>
      <c r="Y485" s="4"/>
      <c r="Z485" s="4"/>
      <c r="AA485" s="21"/>
    </row>
    <row r="486">
      <c r="A486" s="4"/>
      <c r="B486" s="4"/>
      <c r="C486" s="4"/>
      <c r="D486" s="26"/>
      <c r="E486" s="4"/>
      <c r="F486" s="4"/>
      <c r="G486" s="4"/>
      <c r="H486" s="4"/>
      <c r="I486" s="4"/>
      <c r="J486" s="4"/>
      <c r="K486" s="4"/>
      <c r="L486" s="4"/>
      <c r="M486" s="4"/>
      <c r="N486" s="4"/>
      <c r="O486" s="4"/>
      <c r="P486" s="4"/>
      <c r="Q486" s="4"/>
      <c r="R486" s="4"/>
      <c r="S486" s="4"/>
      <c r="T486" s="4"/>
      <c r="U486" s="4"/>
      <c r="V486" s="4"/>
      <c r="W486" s="4"/>
      <c r="X486" s="4"/>
      <c r="Y486" s="4"/>
      <c r="Z486" s="4"/>
      <c r="AA486" s="21"/>
    </row>
    <row r="487">
      <c r="A487" s="4"/>
      <c r="B487" s="4"/>
      <c r="C487" s="4"/>
      <c r="D487" s="26"/>
      <c r="E487" s="4"/>
      <c r="F487" s="4"/>
      <c r="G487" s="4"/>
      <c r="H487" s="4"/>
      <c r="I487" s="4"/>
      <c r="J487" s="4"/>
      <c r="K487" s="4"/>
      <c r="L487" s="4"/>
      <c r="M487" s="4"/>
      <c r="N487" s="4"/>
      <c r="O487" s="4"/>
      <c r="P487" s="4"/>
      <c r="Q487" s="4"/>
      <c r="R487" s="4"/>
      <c r="S487" s="4"/>
      <c r="T487" s="4"/>
      <c r="U487" s="4"/>
      <c r="V487" s="4"/>
      <c r="W487" s="4"/>
      <c r="X487" s="4"/>
      <c r="Y487" s="4"/>
      <c r="Z487" s="4"/>
      <c r="AA487" s="21"/>
    </row>
    <row r="488">
      <c r="A488" s="4"/>
      <c r="B488" s="4"/>
      <c r="C488" s="4"/>
      <c r="D488" s="26"/>
      <c r="E488" s="4"/>
      <c r="F488" s="4"/>
      <c r="G488" s="4"/>
      <c r="H488" s="4"/>
      <c r="I488" s="4"/>
      <c r="J488" s="4"/>
      <c r="K488" s="4"/>
      <c r="L488" s="4"/>
      <c r="M488" s="4"/>
      <c r="N488" s="4"/>
      <c r="O488" s="4"/>
      <c r="P488" s="4"/>
      <c r="Q488" s="4"/>
      <c r="R488" s="4"/>
      <c r="S488" s="4"/>
      <c r="T488" s="4"/>
      <c r="U488" s="4"/>
      <c r="V488" s="4"/>
      <c r="W488" s="4"/>
      <c r="X488" s="4"/>
      <c r="Y488" s="4"/>
      <c r="Z488" s="4"/>
      <c r="AA488" s="21"/>
    </row>
    <row r="489">
      <c r="A489" s="4"/>
      <c r="B489" s="4"/>
      <c r="C489" s="4"/>
      <c r="D489" s="26"/>
      <c r="E489" s="4"/>
      <c r="F489" s="4"/>
      <c r="G489" s="4"/>
      <c r="H489" s="4"/>
      <c r="I489" s="4"/>
      <c r="J489" s="4"/>
      <c r="K489" s="4"/>
      <c r="L489" s="4"/>
      <c r="M489" s="4"/>
      <c r="N489" s="4"/>
      <c r="O489" s="4"/>
      <c r="P489" s="4"/>
      <c r="Q489" s="4"/>
      <c r="R489" s="4"/>
      <c r="S489" s="4"/>
      <c r="T489" s="4"/>
      <c r="U489" s="4"/>
      <c r="V489" s="4"/>
      <c r="W489" s="4"/>
      <c r="X489" s="4"/>
      <c r="Y489" s="4"/>
      <c r="Z489" s="4"/>
      <c r="AA489" s="21"/>
    </row>
    <row r="490">
      <c r="A490" s="4"/>
      <c r="B490" s="4"/>
      <c r="C490" s="4"/>
      <c r="D490" s="26"/>
      <c r="E490" s="4"/>
      <c r="F490" s="4"/>
      <c r="G490" s="4"/>
      <c r="H490" s="4"/>
      <c r="I490" s="4"/>
      <c r="J490" s="4"/>
      <c r="K490" s="4"/>
      <c r="L490" s="4"/>
      <c r="M490" s="4"/>
      <c r="N490" s="4"/>
      <c r="O490" s="4"/>
      <c r="P490" s="4"/>
      <c r="Q490" s="4"/>
      <c r="R490" s="4"/>
      <c r="S490" s="4"/>
      <c r="T490" s="4"/>
      <c r="U490" s="4"/>
      <c r="V490" s="4"/>
      <c r="W490" s="4"/>
      <c r="X490" s="4"/>
      <c r="Y490" s="4"/>
      <c r="Z490" s="4"/>
      <c r="AA490" s="21"/>
    </row>
    <row r="491">
      <c r="A491" s="4"/>
      <c r="B491" s="4"/>
      <c r="C491" s="4"/>
      <c r="D491" s="26"/>
      <c r="E491" s="4"/>
      <c r="F491" s="4"/>
      <c r="G491" s="4"/>
      <c r="H491" s="4"/>
      <c r="I491" s="4"/>
      <c r="J491" s="4"/>
      <c r="K491" s="4"/>
      <c r="L491" s="4"/>
      <c r="M491" s="4"/>
      <c r="N491" s="4"/>
      <c r="O491" s="4"/>
      <c r="P491" s="4"/>
      <c r="Q491" s="4"/>
      <c r="R491" s="4"/>
      <c r="S491" s="4"/>
      <c r="T491" s="4"/>
      <c r="U491" s="4"/>
      <c r="V491" s="4"/>
      <c r="W491" s="4"/>
      <c r="X491" s="4"/>
      <c r="Y491" s="4"/>
      <c r="Z491" s="4"/>
      <c r="AA491" s="21"/>
    </row>
    <row r="492">
      <c r="A492" s="4"/>
      <c r="B492" s="4"/>
      <c r="C492" s="4"/>
      <c r="D492" s="26"/>
      <c r="E492" s="4"/>
      <c r="F492" s="4"/>
      <c r="G492" s="4"/>
      <c r="H492" s="4"/>
      <c r="I492" s="4"/>
      <c r="J492" s="4"/>
      <c r="K492" s="4"/>
      <c r="L492" s="4"/>
      <c r="M492" s="4"/>
      <c r="N492" s="4"/>
      <c r="O492" s="4"/>
      <c r="P492" s="4"/>
      <c r="Q492" s="4"/>
      <c r="R492" s="4"/>
      <c r="S492" s="4"/>
      <c r="T492" s="4"/>
      <c r="U492" s="4"/>
      <c r="V492" s="4"/>
      <c r="W492" s="4"/>
      <c r="X492" s="4"/>
      <c r="Y492" s="4"/>
      <c r="Z492" s="4"/>
      <c r="AA492" s="21"/>
    </row>
    <row r="493">
      <c r="A493" s="4"/>
      <c r="B493" s="4"/>
      <c r="C493" s="4"/>
      <c r="D493" s="26"/>
      <c r="E493" s="4"/>
      <c r="F493" s="4"/>
      <c r="G493" s="4"/>
      <c r="H493" s="4"/>
      <c r="I493" s="4"/>
      <c r="J493" s="4"/>
      <c r="K493" s="4"/>
      <c r="L493" s="4"/>
      <c r="M493" s="4"/>
      <c r="N493" s="4"/>
      <c r="O493" s="4"/>
      <c r="P493" s="4"/>
      <c r="Q493" s="4"/>
      <c r="R493" s="4"/>
      <c r="S493" s="4"/>
      <c r="T493" s="4"/>
      <c r="U493" s="4"/>
      <c r="V493" s="4"/>
      <c r="W493" s="4"/>
      <c r="X493" s="4"/>
      <c r="Y493" s="4"/>
      <c r="Z493" s="4"/>
      <c r="AA493" s="21"/>
    </row>
    <row r="494">
      <c r="A494" s="4"/>
      <c r="B494" s="4"/>
      <c r="C494" s="4"/>
      <c r="D494" s="26"/>
      <c r="E494" s="4"/>
      <c r="F494" s="4"/>
      <c r="G494" s="4"/>
      <c r="H494" s="4"/>
      <c r="I494" s="4"/>
      <c r="J494" s="4"/>
      <c r="K494" s="4"/>
      <c r="L494" s="4"/>
      <c r="M494" s="4"/>
      <c r="N494" s="4"/>
      <c r="O494" s="4"/>
      <c r="P494" s="4"/>
      <c r="Q494" s="4"/>
      <c r="R494" s="4"/>
      <c r="S494" s="4"/>
      <c r="T494" s="4"/>
      <c r="U494" s="4"/>
      <c r="V494" s="4"/>
      <c r="W494" s="4"/>
      <c r="X494" s="4"/>
      <c r="Y494" s="4"/>
      <c r="Z494" s="4"/>
      <c r="AA494" s="21"/>
    </row>
    <row r="495">
      <c r="A495" s="4"/>
      <c r="B495" s="4"/>
      <c r="C495" s="4"/>
      <c r="D495" s="26"/>
      <c r="E495" s="4"/>
      <c r="F495" s="4"/>
      <c r="G495" s="4"/>
      <c r="H495" s="4"/>
      <c r="I495" s="4"/>
      <c r="J495" s="4"/>
      <c r="K495" s="4"/>
      <c r="L495" s="4"/>
      <c r="M495" s="4"/>
      <c r="N495" s="4"/>
      <c r="O495" s="4"/>
      <c r="P495" s="4"/>
      <c r="Q495" s="4"/>
      <c r="R495" s="4"/>
      <c r="S495" s="4"/>
      <c r="T495" s="4"/>
      <c r="U495" s="4"/>
      <c r="V495" s="4"/>
      <c r="W495" s="4"/>
      <c r="X495" s="4"/>
      <c r="Y495" s="4"/>
      <c r="Z495" s="4"/>
      <c r="AA495" s="21"/>
    </row>
    <row r="496">
      <c r="A496" s="4"/>
      <c r="B496" s="4"/>
      <c r="C496" s="4"/>
      <c r="D496" s="26"/>
      <c r="E496" s="4"/>
      <c r="F496" s="4"/>
      <c r="G496" s="4"/>
      <c r="H496" s="4"/>
      <c r="I496" s="4"/>
      <c r="J496" s="4"/>
      <c r="K496" s="4"/>
      <c r="L496" s="4"/>
      <c r="M496" s="4"/>
      <c r="N496" s="4"/>
      <c r="O496" s="4"/>
      <c r="P496" s="4"/>
      <c r="Q496" s="4"/>
      <c r="R496" s="4"/>
      <c r="S496" s="4"/>
      <c r="T496" s="4"/>
      <c r="U496" s="4"/>
      <c r="V496" s="4"/>
      <c r="W496" s="4"/>
      <c r="X496" s="4"/>
      <c r="Y496" s="4"/>
      <c r="Z496" s="4"/>
      <c r="AA496" s="21"/>
    </row>
    <row r="497">
      <c r="A497" s="4"/>
      <c r="B497" s="4"/>
      <c r="C497" s="4"/>
      <c r="D497" s="26"/>
      <c r="E497" s="4"/>
      <c r="F497" s="4"/>
      <c r="G497" s="4"/>
      <c r="H497" s="4"/>
      <c r="I497" s="4"/>
      <c r="J497" s="4"/>
      <c r="K497" s="4"/>
      <c r="L497" s="4"/>
      <c r="M497" s="4"/>
      <c r="N497" s="4"/>
      <c r="O497" s="4"/>
      <c r="P497" s="4"/>
      <c r="Q497" s="4"/>
      <c r="R497" s="4"/>
      <c r="S497" s="4"/>
      <c r="T497" s="4"/>
      <c r="U497" s="4"/>
      <c r="V497" s="4"/>
      <c r="W497" s="4"/>
      <c r="X497" s="4"/>
      <c r="Y497" s="4"/>
      <c r="Z497" s="4"/>
      <c r="AA497" s="21"/>
    </row>
    <row r="498">
      <c r="A498" s="4"/>
      <c r="B498" s="4"/>
      <c r="C498" s="4"/>
      <c r="D498" s="26"/>
      <c r="E498" s="4"/>
      <c r="F498" s="4"/>
      <c r="G498" s="4"/>
      <c r="H498" s="4"/>
      <c r="I498" s="4"/>
      <c r="J498" s="4"/>
      <c r="K498" s="4"/>
      <c r="L498" s="4"/>
      <c r="M498" s="4"/>
      <c r="N498" s="4"/>
      <c r="O498" s="4"/>
      <c r="P498" s="4"/>
      <c r="Q498" s="4"/>
      <c r="R498" s="4"/>
      <c r="S498" s="4"/>
      <c r="T498" s="4"/>
      <c r="U498" s="4"/>
      <c r="V498" s="4"/>
      <c r="W498" s="4"/>
      <c r="X498" s="4"/>
      <c r="Y498" s="4"/>
      <c r="Z498" s="4"/>
      <c r="AA498" s="21"/>
    </row>
    <row r="499">
      <c r="A499" s="4"/>
      <c r="B499" s="4"/>
      <c r="C499" s="4"/>
      <c r="D499" s="26"/>
      <c r="E499" s="4"/>
      <c r="F499" s="4"/>
      <c r="G499" s="4"/>
      <c r="H499" s="4"/>
      <c r="I499" s="4"/>
      <c r="J499" s="4"/>
      <c r="K499" s="4"/>
      <c r="L499" s="4"/>
      <c r="M499" s="4"/>
      <c r="N499" s="4"/>
      <c r="O499" s="4"/>
      <c r="P499" s="4"/>
      <c r="Q499" s="4"/>
      <c r="R499" s="4"/>
      <c r="S499" s="4"/>
      <c r="T499" s="4"/>
      <c r="U499" s="4"/>
      <c r="V499" s="4"/>
      <c r="W499" s="4"/>
      <c r="X499" s="4"/>
      <c r="Y499" s="4"/>
      <c r="Z499" s="4"/>
      <c r="AA499" s="21"/>
    </row>
    <row r="500">
      <c r="A500" s="4"/>
      <c r="B500" s="4"/>
      <c r="C500" s="4"/>
      <c r="D500" s="26"/>
      <c r="E500" s="4"/>
      <c r="F500" s="4"/>
      <c r="G500" s="4"/>
      <c r="H500" s="4"/>
      <c r="I500" s="4"/>
      <c r="J500" s="4"/>
      <c r="K500" s="4"/>
      <c r="L500" s="4"/>
      <c r="M500" s="4"/>
      <c r="N500" s="4"/>
      <c r="O500" s="4"/>
      <c r="P500" s="4"/>
      <c r="Q500" s="4"/>
      <c r="R500" s="4"/>
      <c r="S500" s="4"/>
      <c r="T500" s="4"/>
      <c r="U500" s="4"/>
      <c r="V500" s="4"/>
      <c r="W500" s="4"/>
      <c r="X500" s="4"/>
      <c r="Y500" s="4"/>
      <c r="Z500" s="4"/>
      <c r="AA500" s="21"/>
    </row>
    <row r="501">
      <c r="A501" s="4"/>
      <c r="B501" s="4"/>
      <c r="C501" s="4"/>
      <c r="D501" s="26"/>
      <c r="E501" s="4"/>
      <c r="F501" s="4"/>
      <c r="G501" s="4"/>
      <c r="H501" s="4"/>
      <c r="I501" s="4"/>
      <c r="J501" s="4"/>
      <c r="K501" s="4"/>
      <c r="L501" s="4"/>
      <c r="M501" s="4"/>
      <c r="N501" s="4"/>
      <c r="O501" s="4"/>
      <c r="P501" s="4"/>
      <c r="Q501" s="4"/>
      <c r="R501" s="4"/>
      <c r="S501" s="4"/>
      <c r="T501" s="4"/>
      <c r="U501" s="4"/>
      <c r="V501" s="4"/>
      <c r="W501" s="4"/>
      <c r="X501" s="4"/>
      <c r="Y501" s="4"/>
      <c r="Z501" s="4"/>
      <c r="AA501" s="21"/>
    </row>
    <row r="502">
      <c r="A502" s="4"/>
      <c r="B502" s="4"/>
      <c r="C502" s="4"/>
      <c r="D502" s="26"/>
      <c r="E502" s="4"/>
      <c r="F502" s="4"/>
      <c r="G502" s="4"/>
      <c r="H502" s="4"/>
      <c r="I502" s="4"/>
      <c r="J502" s="4"/>
      <c r="K502" s="4"/>
      <c r="L502" s="4"/>
      <c r="M502" s="4"/>
      <c r="N502" s="4"/>
      <c r="O502" s="4"/>
      <c r="P502" s="4"/>
      <c r="Q502" s="4"/>
      <c r="R502" s="4"/>
      <c r="S502" s="4"/>
      <c r="T502" s="4"/>
      <c r="U502" s="4"/>
      <c r="V502" s="4"/>
      <c r="W502" s="4"/>
      <c r="X502" s="4"/>
      <c r="Y502" s="4"/>
      <c r="Z502" s="4"/>
      <c r="AA502" s="21"/>
    </row>
    <row r="503">
      <c r="A503" s="4"/>
      <c r="B503" s="4"/>
      <c r="C503" s="4"/>
      <c r="D503" s="26"/>
      <c r="E503" s="4"/>
      <c r="F503" s="4"/>
      <c r="G503" s="4"/>
      <c r="H503" s="4"/>
      <c r="I503" s="4"/>
      <c r="J503" s="4"/>
      <c r="K503" s="4"/>
      <c r="L503" s="4"/>
      <c r="M503" s="4"/>
      <c r="N503" s="4"/>
      <c r="O503" s="4"/>
      <c r="P503" s="4"/>
      <c r="Q503" s="4"/>
      <c r="R503" s="4"/>
      <c r="S503" s="4"/>
      <c r="T503" s="4"/>
      <c r="U503" s="4"/>
      <c r="V503" s="4"/>
      <c r="W503" s="4"/>
      <c r="X503" s="4"/>
      <c r="Y503" s="4"/>
      <c r="Z503" s="4"/>
      <c r="AA503" s="21"/>
    </row>
    <row r="504">
      <c r="A504" s="4"/>
      <c r="B504" s="4"/>
      <c r="C504" s="4"/>
      <c r="D504" s="26"/>
      <c r="E504" s="4"/>
      <c r="F504" s="4"/>
      <c r="G504" s="4"/>
      <c r="H504" s="4"/>
      <c r="I504" s="4"/>
      <c r="J504" s="4"/>
      <c r="K504" s="4"/>
      <c r="L504" s="4"/>
      <c r="M504" s="4"/>
      <c r="N504" s="4"/>
      <c r="O504" s="4"/>
      <c r="P504" s="4"/>
      <c r="Q504" s="4"/>
      <c r="R504" s="4"/>
      <c r="S504" s="4"/>
      <c r="T504" s="4"/>
      <c r="U504" s="4"/>
      <c r="V504" s="4"/>
      <c r="W504" s="4"/>
      <c r="X504" s="4"/>
      <c r="Y504" s="4"/>
      <c r="Z504" s="4"/>
      <c r="AA504" s="21"/>
    </row>
    <row r="505">
      <c r="A505" s="4"/>
      <c r="B505" s="4"/>
      <c r="C505" s="4"/>
      <c r="D505" s="26"/>
      <c r="E505" s="4"/>
      <c r="F505" s="4"/>
      <c r="G505" s="4"/>
      <c r="H505" s="4"/>
      <c r="I505" s="4"/>
      <c r="J505" s="4"/>
      <c r="K505" s="4"/>
      <c r="L505" s="4"/>
      <c r="M505" s="4"/>
      <c r="N505" s="4"/>
      <c r="O505" s="4"/>
      <c r="P505" s="4"/>
      <c r="Q505" s="4"/>
      <c r="R505" s="4"/>
      <c r="S505" s="4"/>
      <c r="T505" s="4"/>
      <c r="U505" s="4"/>
      <c r="V505" s="4"/>
      <c r="W505" s="4"/>
      <c r="X505" s="4"/>
      <c r="Y505" s="4"/>
      <c r="Z505" s="4"/>
      <c r="AA505" s="21"/>
    </row>
    <row r="506">
      <c r="A506" s="4"/>
      <c r="B506" s="4"/>
      <c r="C506" s="4"/>
      <c r="D506" s="26"/>
      <c r="E506" s="4"/>
      <c r="F506" s="4"/>
      <c r="G506" s="4"/>
      <c r="H506" s="4"/>
      <c r="I506" s="4"/>
      <c r="J506" s="4"/>
      <c r="K506" s="4"/>
      <c r="L506" s="4"/>
      <c r="M506" s="4"/>
      <c r="N506" s="4"/>
      <c r="O506" s="4"/>
      <c r="P506" s="4"/>
      <c r="Q506" s="4"/>
      <c r="R506" s="4"/>
      <c r="S506" s="4"/>
      <c r="T506" s="4"/>
      <c r="U506" s="4"/>
      <c r="V506" s="4"/>
      <c r="W506" s="4"/>
      <c r="X506" s="4"/>
      <c r="Y506" s="4"/>
      <c r="Z506" s="4"/>
      <c r="AA506" s="21"/>
    </row>
    <row r="507">
      <c r="A507" s="4"/>
      <c r="B507" s="4"/>
      <c r="C507" s="4"/>
      <c r="D507" s="26"/>
      <c r="E507" s="4"/>
      <c r="F507" s="4"/>
      <c r="G507" s="4"/>
      <c r="H507" s="4"/>
      <c r="I507" s="4"/>
      <c r="J507" s="4"/>
      <c r="K507" s="4"/>
      <c r="L507" s="4"/>
      <c r="M507" s="4"/>
      <c r="N507" s="4"/>
      <c r="O507" s="4"/>
      <c r="P507" s="4"/>
      <c r="Q507" s="4"/>
      <c r="R507" s="4"/>
      <c r="S507" s="4"/>
      <c r="T507" s="4"/>
      <c r="U507" s="4"/>
      <c r="V507" s="4"/>
      <c r="W507" s="4"/>
      <c r="X507" s="4"/>
      <c r="Y507" s="4"/>
      <c r="Z507" s="4"/>
      <c r="AA507" s="21"/>
    </row>
    <row r="508">
      <c r="A508" s="4"/>
      <c r="B508" s="4"/>
      <c r="C508" s="4"/>
      <c r="D508" s="26"/>
      <c r="E508" s="4"/>
      <c r="F508" s="4"/>
      <c r="G508" s="4"/>
      <c r="H508" s="4"/>
      <c r="I508" s="4"/>
      <c r="J508" s="4"/>
      <c r="K508" s="4"/>
      <c r="L508" s="4"/>
      <c r="M508" s="4"/>
      <c r="N508" s="4"/>
      <c r="O508" s="4"/>
      <c r="P508" s="4"/>
      <c r="Q508" s="4"/>
      <c r="R508" s="4"/>
      <c r="S508" s="4"/>
      <c r="T508" s="4"/>
      <c r="U508" s="4"/>
      <c r="V508" s="4"/>
      <c r="W508" s="4"/>
      <c r="X508" s="4"/>
      <c r="Y508" s="4"/>
      <c r="Z508" s="4"/>
      <c r="AA508" s="21"/>
    </row>
    <row r="509">
      <c r="A509" s="4"/>
      <c r="B509" s="4"/>
      <c r="C509" s="4"/>
      <c r="D509" s="26"/>
      <c r="E509" s="4"/>
      <c r="F509" s="4"/>
      <c r="G509" s="4"/>
      <c r="H509" s="4"/>
      <c r="I509" s="4"/>
      <c r="J509" s="4"/>
      <c r="K509" s="4"/>
      <c r="L509" s="4"/>
      <c r="M509" s="4"/>
      <c r="N509" s="4"/>
      <c r="O509" s="4"/>
      <c r="P509" s="4"/>
      <c r="Q509" s="4"/>
      <c r="R509" s="4"/>
      <c r="S509" s="4"/>
      <c r="T509" s="4"/>
      <c r="U509" s="4"/>
      <c r="V509" s="4"/>
      <c r="W509" s="4"/>
      <c r="X509" s="4"/>
      <c r="Y509" s="4"/>
      <c r="Z509" s="4"/>
      <c r="AA509" s="21"/>
    </row>
    <row r="510">
      <c r="A510" s="4"/>
      <c r="B510" s="4"/>
      <c r="C510" s="4"/>
      <c r="D510" s="26"/>
      <c r="E510" s="4"/>
      <c r="F510" s="4"/>
      <c r="G510" s="4"/>
      <c r="H510" s="4"/>
      <c r="I510" s="4"/>
      <c r="J510" s="4"/>
      <c r="K510" s="4"/>
      <c r="L510" s="4"/>
      <c r="M510" s="4"/>
      <c r="N510" s="4"/>
      <c r="O510" s="4"/>
      <c r="P510" s="4"/>
      <c r="Q510" s="4"/>
      <c r="R510" s="4"/>
      <c r="S510" s="4"/>
      <c r="T510" s="4"/>
      <c r="U510" s="4"/>
      <c r="V510" s="4"/>
      <c r="W510" s="4"/>
      <c r="X510" s="4"/>
      <c r="Y510" s="4"/>
      <c r="Z510" s="4"/>
      <c r="AA510" s="21"/>
    </row>
    <row r="511">
      <c r="A511" s="4"/>
      <c r="B511" s="4"/>
      <c r="C511" s="4"/>
      <c r="D511" s="26"/>
      <c r="E511" s="4"/>
      <c r="F511" s="4"/>
      <c r="G511" s="4"/>
      <c r="H511" s="4"/>
      <c r="I511" s="4"/>
      <c r="J511" s="4"/>
      <c r="K511" s="4"/>
      <c r="L511" s="4"/>
      <c r="M511" s="4"/>
      <c r="N511" s="4"/>
      <c r="O511" s="4"/>
      <c r="P511" s="4"/>
      <c r="Q511" s="4"/>
      <c r="R511" s="4"/>
      <c r="S511" s="4"/>
      <c r="T511" s="4"/>
      <c r="U511" s="4"/>
      <c r="V511" s="4"/>
      <c r="W511" s="4"/>
      <c r="X511" s="4"/>
      <c r="Y511" s="4"/>
      <c r="Z511" s="4"/>
      <c r="AA511" s="21"/>
    </row>
    <row r="512">
      <c r="A512" s="4"/>
      <c r="B512" s="4"/>
      <c r="C512" s="4"/>
      <c r="D512" s="26"/>
      <c r="E512" s="4"/>
      <c r="F512" s="4"/>
      <c r="G512" s="4"/>
      <c r="H512" s="4"/>
      <c r="I512" s="4"/>
      <c r="J512" s="4"/>
      <c r="K512" s="4"/>
      <c r="L512" s="4"/>
      <c r="M512" s="4"/>
      <c r="N512" s="4"/>
      <c r="O512" s="4"/>
      <c r="P512" s="4"/>
      <c r="Q512" s="4"/>
      <c r="R512" s="4"/>
      <c r="S512" s="4"/>
      <c r="T512" s="4"/>
      <c r="U512" s="4"/>
      <c r="V512" s="4"/>
      <c r="W512" s="4"/>
      <c r="X512" s="4"/>
      <c r="Y512" s="4"/>
      <c r="Z512" s="4"/>
      <c r="AA512" s="21"/>
    </row>
    <row r="513">
      <c r="A513" s="4"/>
      <c r="B513" s="4"/>
      <c r="C513" s="4"/>
      <c r="D513" s="26"/>
      <c r="E513" s="4"/>
      <c r="F513" s="4"/>
      <c r="G513" s="4"/>
      <c r="H513" s="4"/>
      <c r="I513" s="4"/>
      <c r="J513" s="4"/>
      <c r="K513" s="4"/>
      <c r="L513" s="4"/>
      <c r="M513" s="4"/>
      <c r="N513" s="4"/>
      <c r="O513" s="4"/>
      <c r="P513" s="4"/>
      <c r="Q513" s="4"/>
      <c r="R513" s="4"/>
      <c r="S513" s="4"/>
      <c r="T513" s="4"/>
      <c r="U513" s="4"/>
      <c r="V513" s="4"/>
      <c r="W513" s="4"/>
      <c r="X513" s="4"/>
      <c r="Y513" s="4"/>
      <c r="Z513" s="4"/>
      <c r="AA513" s="21"/>
    </row>
    <row r="514">
      <c r="A514" s="4"/>
      <c r="B514" s="4"/>
      <c r="C514" s="4"/>
      <c r="D514" s="26"/>
      <c r="E514" s="4"/>
      <c r="F514" s="4"/>
      <c r="G514" s="4"/>
      <c r="H514" s="4"/>
      <c r="I514" s="4"/>
      <c r="J514" s="4"/>
      <c r="K514" s="4"/>
      <c r="L514" s="4"/>
      <c r="M514" s="4"/>
      <c r="N514" s="4"/>
      <c r="O514" s="4"/>
      <c r="P514" s="4"/>
      <c r="Q514" s="4"/>
      <c r="R514" s="4"/>
      <c r="S514" s="4"/>
      <c r="T514" s="4"/>
      <c r="U514" s="4"/>
      <c r="V514" s="4"/>
      <c r="W514" s="4"/>
      <c r="X514" s="4"/>
      <c r="Y514" s="4"/>
      <c r="Z514" s="4"/>
      <c r="AA514" s="21"/>
    </row>
    <row r="515">
      <c r="A515" s="4"/>
      <c r="B515" s="4"/>
      <c r="C515" s="4"/>
      <c r="D515" s="26"/>
      <c r="E515" s="4"/>
      <c r="F515" s="4"/>
      <c r="G515" s="4"/>
      <c r="H515" s="4"/>
      <c r="I515" s="4"/>
      <c r="J515" s="4"/>
      <c r="K515" s="4"/>
      <c r="L515" s="4"/>
      <c r="M515" s="4"/>
      <c r="N515" s="4"/>
      <c r="O515" s="4"/>
      <c r="P515" s="4"/>
      <c r="Q515" s="4"/>
      <c r="R515" s="4"/>
      <c r="S515" s="4"/>
      <c r="T515" s="4"/>
      <c r="U515" s="4"/>
      <c r="V515" s="4"/>
      <c r="W515" s="4"/>
      <c r="X515" s="4"/>
      <c r="Y515" s="4"/>
      <c r="Z515" s="4"/>
      <c r="AA515" s="21"/>
    </row>
    <row r="516">
      <c r="A516" s="4"/>
      <c r="B516" s="4"/>
      <c r="C516" s="4"/>
      <c r="D516" s="26"/>
      <c r="E516" s="4"/>
      <c r="F516" s="4"/>
      <c r="G516" s="4"/>
      <c r="H516" s="4"/>
      <c r="I516" s="4"/>
      <c r="J516" s="4"/>
      <c r="K516" s="4"/>
      <c r="L516" s="4"/>
      <c r="M516" s="4"/>
      <c r="N516" s="4"/>
      <c r="O516" s="4"/>
      <c r="P516" s="4"/>
      <c r="Q516" s="4"/>
      <c r="R516" s="4"/>
      <c r="S516" s="4"/>
      <c r="T516" s="4"/>
      <c r="U516" s="4"/>
      <c r="V516" s="4"/>
      <c r="W516" s="4"/>
      <c r="X516" s="4"/>
      <c r="Y516" s="4"/>
      <c r="Z516" s="4"/>
      <c r="AA516" s="21"/>
    </row>
    <row r="517">
      <c r="A517" s="4"/>
      <c r="B517" s="4"/>
      <c r="C517" s="4"/>
      <c r="D517" s="26"/>
      <c r="E517" s="4"/>
      <c r="F517" s="4"/>
      <c r="G517" s="4"/>
      <c r="H517" s="4"/>
      <c r="I517" s="4"/>
      <c r="J517" s="4"/>
      <c r="K517" s="4"/>
      <c r="L517" s="4"/>
      <c r="M517" s="4"/>
      <c r="N517" s="4"/>
      <c r="O517" s="4"/>
      <c r="P517" s="4"/>
      <c r="Q517" s="4"/>
      <c r="R517" s="4"/>
      <c r="S517" s="4"/>
      <c r="T517" s="4"/>
      <c r="U517" s="4"/>
      <c r="V517" s="4"/>
      <c r="W517" s="4"/>
      <c r="X517" s="4"/>
      <c r="Y517" s="4"/>
      <c r="Z517" s="4"/>
      <c r="AA517" s="21"/>
    </row>
    <row r="518">
      <c r="A518" s="4"/>
      <c r="B518" s="4"/>
      <c r="C518" s="4"/>
      <c r="D518" s="26"/>
      <c r="E518" s="4"/>
      <c r="F518" s="4"/>
      <c r="G518" s="4"/>
      <c r="H518" s="4"/>
      <c r="I518" s="4"/>
      <c r="J518" s="4"/>
      <c r="K518" s="4"/>
      <c r="L518" s="4"/>
      <c r="M518" s="4"/>
      <c r="N518" s="4"/>
      <c r="O518" s="4"/>
      <c r="P518" s="4"/>
      <c r="Q518" s="4"/>
      <c r="R518" s="4"/>
      <c r="S518" s="4"/>
      <c r="T518" s="4"/>
      <c r="U518" s="4"/>
      <c r="V518" s="4"/>
      <c r="W518" s="4"/>
      <c r="X518" s="4"/>
      <c r="Y518" s="4"/>
      <c r="Z518" s="4"/>
      <c r="AA518" s="21"/>
    </row>
    <row r="519">
      <c r="A519" s="4"/>
      <c r="B519" s="4"/>
      <c r="C519" s="4"/>
      <c r="D519" s="26"/>
      <c r="E519" s="4"/>
      <c r="F519" s="4"/>
      <c r="G519" s="4"/>
      <c r="H519" s="4"/>
      <c r="I519" s="4"/>
      <c r="J519" s="4"/>
      <c r="K519" s="4"/>
      <c r="L519" s="4"/>
      <c r="M519" s="4"/>
      <c r="N519" s="4"/>
      <c r="O519" s="4"/>
      <c r="P519" s="4"/>
      <c r="Q519" s="4"/>
      <c r="R519" s="4"/>
      <c r="S519" s="4"/>
      <c r="T519" s="4"/>
      <c r="U519" s="4"/>
      <c r="V519" s="4"/>
      <c r="W519" s="4"/>
      <c r="X519" s="4"/>
      <c r="Y519" s="4"/>
      <c r="Z519" s="4"/>
      <c r="AA519" s="21"/>
    </row>
    <row r="520">
      <c r="A520" s="4"/>
      <c r="B520" s="4"/>
      <c r="C520" s="4"/>
      <c r="D520" s="26"/>
      <c r="E520" s="4"/>
      <c r="F520" s="4"/>
      <c r="G520" s="4"/>
      <c r="H520" s="4"/>
      <c r="I520" s="4"/>
      <c r="J520" s="4"/>
      <c r="K520" s="4"/>
      <c r="L520" s="4"/>
      <c r="M520" s="4"/>
      <c r="N520" s="4"/>
      <c r="O520" s="4"/>
      <c r="P520" s="4"/>
      <c r="Q520" s="4"/>
      <c r="R520" s="4"/>
      <c r="S520" s="4"/>
      <c r="T520" s="4"/>
      <c r="U520" s="4"/>
      <c r="V520" s="4"/>
      <c r="W520" s="4"/>
      <c r="X520" s="4"/>
      <c r="Y520" s="4"/>
      <c r="Z520" s="4"/>
      <c r="AA520" s="21"/>
    </row>
    <row r="521">
      <c r="A521" s="4"/>
      <c r="B521" s="4"/>
      <c r="C521" s="4"/>
      <c r="D521" s="26"/>
      <c r="E521" s="4"/>
      <c r="F521" s="4"/>
      <c r="G521" s="4"/>
      <c r="H521" s="4"/>
      <c r="I521" s="4"/>
      <c r="J521" s="4"/>
      <c r="K521" s="4"/>
      <c r="L521" s="4"/>
      <c r="M521" s="4"/>
      <c r="N521" s="4"/>
      <c r="O521" s="4"/>
      <c r="P521" s="4"/>
      <c r="Q521" s="4"/>
      <c r="R521" s="4"/>
      <c r="S521" s="4"/>
      <c r="T521" s="4"/>
      <c r="U521" s="4"/>
      <c r="V521" s="4"/>
      <c r="W521" s="4"/>
      <c r="X521" s="4"/>
      <c r="Y521" s="4"/>
      <c r="Z521" s="4"/>
      <c r="AA521" s="21"/>
    </row>
    <row r="522">
      <c r="A522" s="4"/>
      <c r="B522" s="4"/>
      <c r="C522" s="4"/>
      <c r="D522" s="26"/>
      <c r="E522" s="4"/>
      <c r="F522" s="4"/>
      <c r="G522" s="4"/>
      <c r="H522" s="4"/>
      <c r="I522" s="4"/>
      <c r="J522" s="4"/>
      <c r="K522" s="4"/>
      <c r="L522" s="4"/>
      <c r="M522" s="4"/>
      <c r="N522" s="4"/>
      <c r="O522" s="4"/>
      <c r="P522" s="4"/>
      <c r="Q522" s="4"/>
      <c r="R522" s="4"/>
      <c r="S522" s="4"/>
      <c r="T522" s="4"/>
      <c r="U522" s="4"/>
      <c r="V522" s="4"/>
      <c r="W522" s="4"/>
      <c r="X522" s="4"/>
      <c r="Y522" s="4"/>
      <c r="Z522" s="4"/>
      <c r="AA522" s="21"/>
    </row>
    <row r="523">
      <c r="A523" s="4"/>
      <c r="B523" s="4"/>
      <c r="C523" s="4"/>
      <c r="D523" s="26"/>
      <c r="E523" s="4"/>
      <c r="F523" s="4"/>
      <c r="G523" s="4"/>
      <c r="H523" s="4"/>
      <c r="I523" s="4"/>
      <c r="J523" s="4"/>
      <c r="K523" s="4"/>
      <c r="L523" s="4"/>
      <c r="M523" s="4"/>
      <c r="N523" s="4"/>
      <c r="O523" s="4"/>
      <c r="P523" s="4"/>
      <c r="Q523" s="4"/>
      <c r="R523" s="4"/>
      <c r="S523" s="4"/>
      <c r="T523" s="4"/>
      <c r="U523" s="4"/>
      <c r="V523" s="4"/>
      <c r="W523" s="4"/>
      <c r="X523" s="4"/>
      <c r="Y523" s="4"/>
      <c r="Z523" s="4"/>
      <c r="AA523" s="21"/>
    </row>
    <row r="524">
      <c r="A524" s="4"/>
      <c r="B524" s="4"/>
      <c r="C524" s="4"/>
      <c r="D524" s="26"/>
      <c r="E524" s="4"/>
      <c r="F524" s="4"/>
      <c r="G524" s="4"/>
      <c r="H524" s="4"/>
      <c r="I524" s="4"/>
      <c r="J524" s="4"/>
      <c r="K524" s="4"/>
      <c r="L524" s="4"/>
      <c r="M524" s="4"/>
      <c r="N524" s="4"/>
      <c r="O524" s="4"/>
      <c r="P524" s="4"/>
      <c r="Q524" s="4"/>
      <c r="R524" s="4"/>
      <c r="S524" s="4"/>
      <c r="T524" s="4"/>
      <c r="U524" s="4"/>
      <c r="V524" s="4"/>
      <c r="W524" s="4"/>
      <c r="X524" s="4"/>
      <c r="Y524" s="4"/>
      <c r="Z524" s="4"/>
      <c r="AA524" s="21"/>
    </row>
    <row r="525">
      <c r="A525" s="4"/>
      <c r="B525" s="4"/>
      <c r="C525" s="4"/>
      <c r="D525" s="26"/>
      <c r="E525" s="4"/>
      <c r="F525" s="4"/>
      <c r="G525" s="4"/>
      <c r="H525" s="4"/>
      <c r="I525" s="4"/>
      <c r="J525" s="4"/>
      <c r="K525" s="4"/>
      <c r="L525" s="4"/>
      <c r="M525" s="4"/>
      <c r="N525" s="4"/>
      <c r="O525" s="4"/>
      <c r="P525" s="4"/>
      <c r="Q525" s="4"/>
      <c r="R525" s="4"/>
      <c r="S525" s="4"/>
      <c r="T525" s="4"/>
      <c r="U525" s="4"/>
      <c r="V525" s="4"/>
      <c r="W525" s="4"/>
      <c r="X525" s="4"/>
      <c r="Y525" s="4"/>
      <c r="Z525" s="4"/>
      <c r="AA525" s="21"/>
    </row>
    <row r="526">
      <c r="A526" s="4"/>
      <c r="B526" s="4"/>
      <c r="C526" s="4"/>
      <c r="D526" s="26"/>
      <c r="E526" s="4"/>
      <c r="F526" s="4"/>
      <c r="G526" s="4"/>
      <c r="H526" s="4"/>
      <c r="I526" s="4"/>
      <c r="J526" s="4"/>
      <c r="K526" s="4"/>
      <c r="L526" s="4"/>
      <c r="M526" s="4"/>
      <c r="N526" s="4"/>
      <c r="O526" s="4"/>
      <c r="P526" s="4"/>
      <c r="Q526" s="4"/>
      <c r="R526" s="4"/>
      <c r="S526" s="4"/>
      <c r="T526" s="4"/>
      <c r="U526" s="4"/>
      <c r="V526" s="4"/>
      <c r="W526" s="4"/>
      <c r="X526" s="4"/>
      <c r="Y526" s="4"/>
      <c r="Z526" s="4"/>
      <c r="AA526" s="21"/>
    </row>
    <row r="527">
      <c r="A527" s="4"/>
      <c r="B527" s="4"/>
      <c r="C527" s="4"/>
      <c r="D527" s="26"/>
      <c r="E527" s="4"/>
      <c r="F527" s="4"/>
      <c r="G527" s="4"/>
      <c r="H527" s="4"/>
      <c r="I527" s="4"/>
      <c r="J527" s="4"/>
      <c r="K527" s="4"/>
      <c r="L527" s="4"/>
      <c r="M527" s="4"/>
      <c r="N527" s="4"/>
      <c r="O527" s="4"/>
      <c r="P527" s="4"/>
      <c r="Q527" s="4"/>
      <c r="R527" s="4"/>
      <c r="S527" s="4"/>
      <c r="T527" s="4"/>
      <c r="U527" s="4"/>
      <c r="V527" s="4"/>
      <c r="W527" s="4"/>
      <c r="X527" s="4"/>
      <c r="Y527" s="4"/>
      <c r="Z527" s="4"/>
      <c r="AA527" s="21"/>
    </row>
    <row r="528">
      <c r="A528" s="4"/>
      <c r="B528" s="4"/>
      <c r="C528" s="4"/>
      <c r="D528" s="26"/>
      <c r="E528" s="4"/>
      <c r="F528" s="4"/>
      <c r="G528" s="4"/>
      <c r="H528" s="4"/>
      <c r="I528" s="4"/>
      <c r="J528" s="4"/>
      <c r="K528" s="4"/>
      <c r="L528" s="4"/>
      <c r="M528" s="4"/>
      <c r="N528" s="4"/>
      <c r="O528" s="4"/>
      <c r="P528" s="4"/>
      <c r="Q528" s="4"/>
      <c r="R528" s="4"/>
      <c r="S528" s="4"/>
      <c r="T528" s="4"/>
      <c r="U528" s="4"/>
      <c r="V528" s="4"/>
      <c r="W528" s="4"/>
      <c r="X528" s="4"/>
      <c r="Y528" s="4"/>
      <c r="Z528" s="4"/>
      <c r="AA528" s="21"/>
    </row>
    <row r="529">
      <c r="A529" s="4"/>
      <c r="B529" s="4"/>
      <c r="C529" s="4"/>
      <c r="D529" s="26"/>
      <c r="E529" s="4"/>
      <c r="F529" s="4"/>
      <c r="G529" s="4"/>
      <c r="H529" s="4"/>
      <c r="I529" s="4"/>
      <c r="J529" s="4"/>
      <c r="K529" s="4"/>
      <c r="L529" s="4"/>
      <c r="M529" s="4"/>
      <c r="N529" s="4"/>
      <c r="O529" s="4"/>
      <c r="P529" s="4"/>
      <c r="Q529" s="4"/>
      <c r="R529" s="4"/>
      <c r="S529" s="4"/>
      <c r="T529" s="4"/>
      <c r="U529" s="4"/>
      <c r="V529" s="4"/>
      <c r="W529" s="4"/>
      <c r="X529" s="4"/>
      <c r="Y529" s="4"/>
      <c r="Z529" s="4"/>
      <c r="AA529" s="21"/>
    </row>
    <row r="530">
      <c r="A530" s="4"/>
      <c r="B530" s="4"/>
      <c r="C530" s="4"/>
      <c r="D530" s="26"/>
      <c r="E530" s="4"/>
      <c r="F530" s="4"/>
      <c r="G530" s="4"/>
      <c r="H530" s="4"/>
      <c r="I530" s="4"/>
      <c r="J530" s="4"/>
      <c r="K530" s="4"/>
      <c r="L530" s="4"/>
      <c r="M530" s="4"/>
      <c r="N530" s="4"/>
      <c r="O530" s="4"/>
      <c r="P530" s="4"/>
      <c r="Q530" s="4"/>
      <c r="R530" s="4"/>
      <c r="S530" s="4"/>
      <c r="T530" s="4"/>
      <c r="U530" s="4"/>
      <c r="V530" s="4"/>
      <c r="W530" s="4"/>
      <c r="X530" s="4"/>
      <c r="Y530" s="4"/>
      <c r="Z530" s="4"/>
      <c r="AA530" s="21"/>
    </row>
    <row r="531">
      <c r="A531" s="4"/>
      <c r="B531" s="4"/>
      <c r="C531" s="4"/>
      <c r="D531" s="26"/>
      <c r="E531" s="4"/>
      <c r="F531" s="4"/>
      <c r="G531" s="4"/>
      <c r="H531" s="4"/>
      <c r="I531" s="4"/>
      <c r="J531" s="4"/>
      <c r="K531" s="4"/>
      <c r="L531" s="4"/>
      <c r="M531" s="4"/>
      <c r="N531" s="4"/>
      <c r="O531" s="4"/>
      <c r="P531" s="4"/>
      <c r="Q531" s="4"/>
      <c r="R531" s="4"/>
      <c r="S531" s="4"/>
      <c r="T531" s="4"/>
      <c r="U531" s="4"/>
      <c r="V531" s="4"/>
      <c r="W531" s="4"/>
      <c r="X531" s="4"/>
      <c r="Y531" s="4"/>
      <c r="Z531" s="4"/>
      <c r="AA531" s="21"/>
    </row>
    <row r="532">
      <c r="A532" s="4"/>
      <c r="B532" s="4"/>
      <c r="C532" s="4"/>
      <c r="D532" s="26"/>
      <c r="E532" s="4"/>
      <c r="F532" s="4"/>
      <c r="G532" s="4"/>
      <c r="H532" s="4"/>
      <c r="I532" s="4"/>
      <c r="J532" s="4"/>
      <c r="K532" s="4"/>
      <c r="L532" s="4"/>
      <c r="M532" s="4"/>
      <c r="N532" s="4"/>
      <c r="O532" s="4"/>
      <c r="P532" s="4"/>
      <c r="Q532" s="4"/>
      <c r="R532" s="4"/>
      <c r="S532" s="4"/>
      <c r="T532" s="4"/>
      <c r="U532" s="4"/>
      <c r="V532" s="4"/>
      <c r="W532" s="4"/>
      <c r="X532" s="4"/>
      <c r="Y532" s="4"/>
      <c r="Z532" s="4"/>
      <c r="AA532" s="21"/>
    </row>
    <row r="533">
      <c r="A533" s="4"/>
      <c r="B533" s="4"/>
      <c r="C533" s="4"/>
      <c r="D533" s="26"/>
      <c r="E533" s="4"/>
      <c r="F533" s="4"/>
      <c r="G533" s="4"/>
      <c r="H533" s="4"/>
      <c r="I533" s="4"/>
      <c r="J533" s="4"/>
      <c r="K533" s="4"/>
      <c r="L533" s="4"/>
      <c r="M533" s="4"/>
      <c r="N533" s="4"/>
      <c r="O533" s="4"/>
      <c r="P533" s="4"/>
      <c r="Q533" s="4"/>
      <c r="R533" s="4"/>
      <c r="S533" s="4"/>
      <c r="T533" s="4"/>
      <c r="U533" s="4"/>
      <c r="V533" s="4"/>
      <c r="W533" s="4"/>
      <c r="X533" s="4"/>
      <c r="Y533" s="4"/>
      <c r="Z533" s="4"/>
      <c r="AA533" s="21"/>
    </row>
    <row r="534">
      <c r="A534" s="4"/>
      <c r="B534" s="4"/>
      <c r="C534" s="4"/>
      <c r="D534" s="26"/>
      <c r="E534" s="4"/>
      <c r="F534" s="4"/>
      <c r="G534" s="4"/>
      <c r="H534" s="4"/>
      <c r="I534" s="4"/>
      <c r="J534" s="4"/>
      <c r="K534" s="4"/>
      <c r="L534" s="4"/>
      <c r="M534" s="4"/>
      <c r="N534" s="4"/>
      <c r="O534" s="4"/>
      <c r="P534" s="4"/>
      <c r="Q534" s="4"/>
      <c r="R534" s="4"/>
      <c r="S534" s="4"/>
      <c r="T534" s="4"/>
      <c r="U534" s="4"/>
      <c r="V534" s="4"/>
      <c r="W534" s="4"/>
      <c r="X534" s="4"/>
      <c r="Y534" s="4"/>
      <c r="Z534" s="4"/>
      <c r="AA534" s="21"/>
    </row>
    <row r="535">
      <c r="A535" s="4"/>
      <c r="B535" s="4"/>
      <c r="C535" s="4"/>
      <c r="D535" s="26"/>
      <c r="E535" s="4"/>
      <c r="F535" s="4"/>
      <c r="G535" s="4"/>
      <c r="H535" s="4"/>
      <c r="I535" s="4"/>
      <c r="J535" s="4"/>
      <c r="K535" s="4"/>
      <c r="L535" s="4"/>
      <c r="M535" s="4"/>
      <c r="N535" s="4"/>
      <c r="O535" s="4"/>
      <c r="P535" s="4"/>
      <c r="Q535" s="4"/>
      <c r="R535" s="4"/>
      <c r="S535" s="4"/>
      <c r="T535" s="4"/>
      <c r="U535" s="4"/>
      <c r="V535" s="4"/>
      <c r="W535" s="4"/>
      <c r="X535" s="4"/>
      <c r="Y535" s="4"/>
      <c r="Z535" s="4"/>
      <c r="AA535" s="21"/>
    </row>
    <row r="536">
      <c r="A536" s="4"/>
      <c r="B536" s="4"/>
      <c r="C536" s="4"/>
      <c r="D536" s="26"/>
      <c r="E536" s="4"/>
      <c r="F536" s="4"/>
      <c r="G536" s="4"/>
      <c r="H536" s="4"/>
      <c r="I536" s="4"/>
      <c r="J536" s="4"/>
      <c r="K536" s="4"/>
      <c r="L536" s="4"/>
      <c r="M536" s="4"/>
      <c r="N536" s="4"/>
      <c r="O536" s="4"/>
      <c r="P536" s="4"/>
      <c r="Q536" s="4"/>
      <c r="R536" s="4"/>
      <c r="S536" s="4"/>
      <c r="T536" s="4"/>
      <c r="U536" s="4"/>
      <c r="V536" s="4"/>
      <c r="W536" s="4"/>
      <c r="X536" s="4"/>
      <c r="Y536" s="4"/>
      <c r="Z536" s="4"/>
      <c r="AA536" s="21"/>
    </row>
    <row r="537">
      <c r="A537" s="4"/>
      <c r="B537" s="4"/>
      <c r="C537" s="4"/>
      <c r="D537" s="26"/>
      <c r="E537" s="4"/>
      <c r="F537" s="4"/>
      <c r="G537" s="4"/>
      <c r="H537" s="4"/>
      <c r="I537" s="4"/>
      <c r="J537" s="4"/>
      <c r="K537" s="4"/>
      <c r="L537" s="4"/>
      <c r="M537" s="4"/>
      <c r="N537" s="4"/>
      <c r="O537" s="4"/>
      <c r="P537" s="4"/>
      <c r="Q537" s="4"/>
      <c r="R537" s="4"/>
      <c r="S537" s="4"/>
      <c r="T537" s="4"/>
      <c r="U537" s="4"/>
      <c r="V537" s="4"/>
      <c r="W537" s="4"/>
      <c r="X537" s="4"/>
      <c r="Y537" s="4"/>
      <c r="Z537" s="4"/>
      <c r="AA537" s="21"/>
    </row>
    <row r="538">
      <c r="A538" s="4"/>
      <c r="B538" s="4"/>
      <c r="C538" s="4"/>
      <c r="D538" s="26"/>
      <c r="E538" s="4"/>
      <c r="F538" s="4"/>
      <c r="G538" s="4"/>
      <c r="H538" s="4"/>
      <c r="I538" s="4"/>
      <c r="J538" s="4"/>
      <c r="K538" s="4"/>
      <c r="L538" s="4"/>
      <c r="M538" s="4"/>
      <c r="N538" s="4"/>
      <c r="O538" s="4"/>
      <c r="P538" s="4"/>
      <c r="Q538" s="4"/>
      <c r="R538" s="4"/>
      <c r="S538" s="4"/>
      <c r="T538" s="4"/>
      <c r="U538" s="4"/>
      <c r="V538" s="4"/>
      <c r="W538" s="4"/>
      <c r="X538" s="4"/>
      <c r="Y538" s="4"/>
      <c r="Z538" s="4"/>
      <c r="AA538" s="21"/>
    </row>
    <row r="539">
      <c r="A539" s="4"/>
      <c r="B539" s="4"/>
      <c r="C539" s="4"/>
      <c r="D539" s="26"/>
      <c r="E539" s="4"/>
      <c r="F539" s="4"/>
      <c r="G539" s="4"/>
      <c r="H539" s="4"/>
      <c r="I539" s="4"/>
      <c r="J539" s="4"/>
      <c r="K539" s="4"/>
      <c r="L539" s="4"/>
      <c r="M539" s="4"/>
      <c r="N539" s="4"/>
      <c r="O539" s="4"/>
      <c r="P539" s="4"/>
      <c r="Q539" s="4"/>
      <c r="R539" s="4"/>
      <c r="S539" s="4"/>
      <c r="T539" s="4"/>
      <c r="U539" s="4"/>
      <c r="V539" s="4"/>
      <c r="W539" s="4"/>
      <c r="X539" s="4"/>
      <c r="Y539" s="4"/>
      <c r="Z539" s="4"/>
      <c r="AA539" s="21"/>
    </row>
    <row r="540">
      <c r="A540" s="4"/>
      <c r="B540" s="4"/>
      <c r="C540" s="4"/>
      <c r="D540" s="26"/>
      <c r="E540" s="4"/>
      <c r="F540" s="4"/>
      <c r="G540" s="4"/>
      <c r="H540" s="4"/>
      <c r="I540" s="4"/>
      <c r="J540" s="4"/>
      <c r="K540" s="4"/>
      <c r="L540" s="4"/>
      <c r="M540" s="4"/>
      <c r="N540" s="4"/>
      <c r="O540" s="4"/>
      <c r="P540" s="4"/>
      <c r="Q540" s="4"/>
      <c r="R540" s="4"/>
      <c r="S540" s="4"/>
      <c r="T540" s="4"/>
      <c r="U540" s="4"/>
      <c r="V540" s="4"/>
      <c r="W540" s="4"/>
      <c r="X540" s="4"/>
      <c r="Y540" s="4"/>
      <c r="Z540" s="4"/>
      <c r="AA540" s="21"/>
    </row>
    <row r="541">
      <c r="A541" s="4"/>
      <c r="B541" s="4"/>
      <c r="C541" s="4"/>
      <c r="D541" s="26"/>
      <c r="E541" s="4"/>
      <c r="F541" s="4"/>
      <c r="G541" s="4"/>
      <c r="H541" s="4"/>
      <c r="I541" s="4"/>
      <c r="J541" s="4"/>
      <c r="K541" s="4"/>
      <c r="L541" s="4"/>
      <c r="M541" s="4"/>
      <c r="N541" s="4"/>
      <c r="O541" s="4"/>
      <c r="P541" s="4"/>
      <c r="Q541" s="4"/>
      <c r="R541" s="4"/>
      <c r="S541" s="4"/>
      <c r="T541" s="4"/>
      <c r="U541" s="4"/>
      <c r="V541" s="4"/>
      <c r="W541" s="4"/>
      <c r="X541" s="4"/>
      <c r="Y541" s="4"/>
      <c r="Z541" s="4"/>
      <c r="AA541" s="21"/>
    </row>
    <row r="542">
      <c r="A542" s="4"/>
      <c r="B542" s="4"/>
      <c r="C542" s="4"/>
      <c r="D542" s="26"/>
      <c r="E542" s="4"/>
      <c r="F542" s="4"/>
      <c r="G542" s="4"/>
      <c r="H542" s="4"/>
      <c r="I542" s="4"/>
      <c r="J542" s="4"/>
      <c r="K542" s="4"/>
      <c r="L542" s="4"/>
      <c r="M542" s="4"/>
      <c r="N542" s="4"/>
      <c r="O542" s="4"/>
      <c r="P542" s="4"/>
      <c r="Q542" s="4"/>
      <c r="R542" s="4"/>
      <c r="S542" s="4"/>
      <c r="T542" s="4"/>
      <c r="U542" s="4"/>
      <c r="V542" s="4"/>
      <c r="W542" s="4"/>
      <c r="X542" s="4"/>
      <c r="Y542" s="4"/>
      <c r="Z542" s="4"/>
      <c r="AA542" s="21"/>
    </row>
    <row r="543">
      <c r="A543" s="4"/>
      <c r="B543" s="4"/>
      <c r="C543" s="4"/>
      <c r="D543" s="26"/>
      <c r="E543" s="4"/>
      <c r="F543" s="4"/>
      <c r="G543" s="4"/>
      <c r="H543" s="4"/>
      <c r="I543" s="4"/>
      <c r="J543" s="4"/>
      <c r="K543" s="4"/>
      <c r="L543" s="4"/>
      <c r="M543" s="4"/>
      <c r="N543" s="4"/>
      <c r="O543" s="4"/>
      <c r="P543" s="4"/>
      <c r="Q543" s="4"/>
      <c r="R543" s="4"/>
      <c r="S543" s="4"/>
      <c r="T543" s="4"/>
      <c r="U543" s="4"/>
      <c r="V543" s="4"/>
      <c r="W543" s="4"/>
      <c r="X543" s="4"/>
      <c r="Y543" s="4"/>
      <c r="Z543" s="4"/>
      <c r="AA543" s="21"/>
    </row>
    <row r="544">
      <c r="A544" s="4"/>
      <c r="B544" s="4"/>
      <c r="C544" s="4"/>
      <c r="D544" s="26"/>
      <c r="E544" s="4"/>
      <c r="F544" s="4"/>
      <c r="G544" s="4"/>
      <c r="H544" s="4"/>
      <c r="I544" s="4"/>
      <c r="J544" s="4"/>
      <c r="K544" s="4"/>
      <c r="L544" s="4"/>
      <c r="M544" s="4"/>
      <c r="N544" s="4"/>
      <c r="O544" s="4"/>
      <c r="P544" s="4"/>
      <c r="Q544" s="4"/>
      <c r="R544" s="4"/>
      <c r="S544" s="4"/>
      <c r="T544" s="4"/>
      <c r="U544" s="4"/>
      <c r="V544" s="4"/>
      <c r="W544" s="4"/>
      <c r="X544" s="4"/>
      <c r="Y544" s="4"/>
      <c r="Z544" s="4"/>
      <c r="AA544" s="21"/>
    </row>
    <row r="545">
      <c r="A545" s="4"/>
      <c r="B545" s="4"/>
      <c r="C545" s="4"/>
      <c r="D545" s="26"/>
      <c r="E545" s="4"/>
      <c r="F545" s="4"/>
      <c r="G545" s="4"/>
      <c r="H545" s="4"/>
      <c r="I545" s="4"/>
      <c r="J545" s="4"/>
      <c r="K545" s="4"/>
      <c r="L545" s="4"/>
      <c r="M545" s="4"/>
      <c r="N545" s="4"/>
      <c r="O545" s="4"/>
      <c r="P545" s="4"/>
      <c r="Q545" s="4"/>
      <c r="R545" s="4"/>
      <c r="S545" s="4"/>
      <c r="T545" s="4"/>
      <c r="U545" s="4"/>
      <c r="V545" s="4"/>
      <c r="W545" s="4"/>
      <c r="X545" s="4"/>
      <c r="Y545" s="4"/>
      <c r="Z545" s="4"/>
      <c r="AA545" s="21"/>
    </row>
    <row r="546">
      <c r="A546" s="4"/>
      <c r="B546" s="4"/>
      <c r="C546" s="4"/>
      <c r="D546" s="26"/>
      <c r="E546" s="4"/>
      <c r="F546" s="4"/>
      <c r="G546" s="4"/>
      <c r="H546" s="4"/>
      <c r="I546" s="4"/>
      <c r="J546" s="4"/>
      <c r="K546" s="4"/>
      <c r="L546" s="4"/>
      <c r="M546" s="4"/>
      <c r="N546" s="4"/>
      <c r="O546" s="4"/>
      <c r="P546" s="4"/>
      <c r="Q546" s="4"/>
      <c r="R546" s="4"/>
      <c r="S546" s="4"/>
      <c r="T546" s="4"/>
      <c r="U546" s="4"/>
      <c r="V546" s="4"/>
      <c r="W546" s="4"/>
      <c r="X546" s="4"/>
      <c r="Y546" s="4"/>
      <c r="Z546" s="4"/>
      <c r="AA546" s="21"/>
    </row>
    <row r="547">
      <c r="A547" s="4"/>
      <c r="B547" s="4"/>
      <c r="C547" s="4"/>
      <c r="D547" s="26"/>
      <c r="E547" s="4"/>
      <c r="F547" s="4"/>
      <c r="G547" s="4"/>
      <c r="H547" s="4"/>
      <c r="I547" s="4"/>
      <c r="J547" s="4"/>
      <c r="K547" s="4"/>
      <c r="L547" s="4"/>
      <c r="M547" s="4"/>
      <c r="N547" s="4"/>
      <c r="O547" s="4"/>
      <c r="P547" s="4"/>
      <c r="Q547" s="4"/>
      <c r="R547" s="4"/>
      <c r="S547" s="4"/>
      <c r="T547" s="4"/>
      <c r="U547" s="4"/>
      <c r="V547" s="4"/>
      <c r="W547" s="4"/>
      <c r="X547" s="4"/>
      <c r="Y547" s="4"/>
      <c r="Z547" s="4"/>
      <c r="AA547" s="21"/>
    </row>
    <row r="548">
      <c r="A548" s="4"/>
      <c r="B548" s="4"/>
      <c r="C548" s="4"/>
      <c r="D548" s="26"/>
      <c r="E548" s="4"/>
      <c r="F548" s="4"/>
      <c r="G548" s="4"/>
      <c r="H548" s="4"/>
      <c r="I548" s="4"/>
      <c r="J548" s="4"/>
      <c r="K548" s="4"/>
      <c r="L548" s="4"/>
      <c r="M548" s="4"/>
      <c r="N548" s="4"/>
      <c r="O548" s="4"/>
      <c r="P548" s="4"/>
      <c r="Q548" s="4"/>
      <c r="R548" s="4"/>
      <c r="S548" s="4"/>
      <c r="T548" s="4"/>
      <c r="U548" s="4"/>
      <c r="V548" s="4"/>
      <c r="W548" s="4"/>
      <c r="X548" s="4"/>
      <c r="Y548" s="4"/>
      <c r="Z548" s="4"/>
      <c r="AA548" s="21"/>
    </row>
    <row r="549">
      <c r="A549" s="4"/>
      <c r="B549" s="4"/>
      <c r="C549" s="4"/>
      <c r="D549" s="26"/>
      <c r="E549" s="4"/>
      <c r="F549" s="4"/>
      <c r="G549" s="4"/>
      <c r="H549" s="4"/>
      <c r="I549" s="4"/>
      <c r="J549" s="4"/>
      <c r="K549" s="4"/>
      <c r="L549" s="4"/>
      <c r="M549" s="4"/>
      <c r="N549" s="4"/>
      <c r="O549" s="4"/>
      <c r="P549" s="4"/>
      <c r="Q549" s="4"/>
      <c r="R549" s="4"/>
      <c r="S549" s="4"/>
      <c r="T549" s="4"/>
      <c r="U549" s="4"/>
      <c r="V549" s="4"/>
      <c r="W549" s="4"/>
      <c r="X549" s="4"/>
      <c r="Y549" s="4"/>
      <c r="Z549" s="4"/>
      <c r="AA549" s="21"/>
    </row>
    <row r="550">
      <c r="A550" s="4"/>
      <c r="B550" s="4"/>
      <c r="C550" s="4"/>
      <c r="D550" s="26"/>
      <c r="E550" s="4"/>
      <c r="F550" s="4"/>
      <c r="G550" s="4"/>
      <c r="H550" s="4"/>
      <c r="I550" s="4"/>
      <c r="J550" s="4"/>
      <c r="K550" s="4"/>
      <c r="L550" s="4"/>
      <c r="M550" s="4"/>
      <c r="N550" s="4"/>
      <c r="O550" s="4"/>
      <c r="P550" s="4"/>
      <c r="Q550" s="4"/>
      <c r="R550" s="4"/>
      <c r="S550" s="4"/>
      <c r="T550" s="4"/>
      <c r="U550" s="4"/>
      <c r="V550" s="4"/>
      <c r="W550" s="4"/>
      <c r="X550" s="4"/>
      <c r="Y550" s="4"/>
      <c r="Z550" s="4"/>
      <c r="AA550" s="21"/>
    </row>
    <row r="551">
      <c r="A551" s="4"/>
      <c r="B551" s="4"/>
      <c r="C551" s="4"/>
      <c r="D551" s="26"/>
      <c r="E551" s="4"/>
      <c r="F551" s="4"/>
      <c r="G551" s="4"/>
      <c r="H551" s="4"/>
      <c r="I551" s="4"/>
      <c r="J551" s="4"/>
      <c r="K551" s="4"/>
      <c r="L551" s="4"/>
      <c r="M551" s="4"/>
      <c r="N551" s="4"/>
      <c r="O551" s="4"/>
      <c r="P551" s="4"/>
      <c r="Q551" s="4"/>
      <c r="R551" s="4"/>
      <c r="S551" s="4"/>
      <c r="T551" s="4"/>
      <c r="U551" s="4"/>
      <c r="V551" s="4"/>
      <c r="W551" s="4"/>
      <c r="X551" s="4"/>
      <c r="Y551" s="4"/>
      <c r="Z551" s="4"/>
      <c r="AA551" s="21"/>
    </row>
    <row r="552">
      <c r="A552" s="4"/>
      <c r="B552" s="4"/>
      <c r="C552" s="4"/>
      <c r="D552" s="26"/>
      <c r="E552" s="4"/>
      <c r="F552" s="4"/>
      <c r="G552" s="4"/>
      <c r="H552" s="4"/>
      <c r="I552" s="4"/>
      <c r="J552" s="4"/>
      <c r="K552" s="4"/>
      <c r="L552" s="4"/>
      <c r="M552" s="4"/>
      <c r="N552" s="4"/>
      <c r="O552" s="4"/>
      <c r="P552" s="4"/>
      <c r="Q552" s="4"/>
      <c r="R552" s="4"/>
      <c r="S552" s="4"/>
      <c r="T552" s="4"/>
      <c r="U552" s="4"/>
      <c r="V552" s="4"/>
      <c r="W552" s="4"/>
      <c r="X552" s="4"/>
      <c r="Y552" s="4"/>
      <c r="Z552" s="4"/>
      <c r="AA552" s="21"/>
    </row>
    <row r="553">
      <c r="A553" s="4"/>
      <c r="B553" s="4"/>
      <c r="C553" s="4"/>
      <c r="D553" s="26"/>
      <c r="E553" s="4"/>
      <c r="F553" s="4"/>
      <c r="G553" s="4"/>
      <c r="H553" s="4"/>
      <c r="I553" s="4"/>
      <c r="J553" s="4"/>
      <c r="K553" s="4"/>
      <c r="L553" s="4"/>
      <c r="M553" s="4"/>
      <c r="N553" s="4"/>
      <c r="O553" s="4"/>
      <c r="P553" s="4"/>
      <c r="Q553" s="4"/>
      <c r="R553" s="4"/>
      <c r="S553" s="4"/>
      <c r="T553" s="4"/>
      <c r="U553" s="4"/>
      <c r="V553" s="4"/>
      <c r="W553" s="4"/>
      <c r="X553" s="4"/>
      <c r="Y553" s="4"/>
      <c r="Z553" s="4"/>
      <c r="AA553" s="21"/>
    </row>
    <row r="554">
      <c r="A554" s="4"/>
      <c r="B554" s="4"/>
      <c r="C554" s="4"/>
      <c r="D554" s="26"/>
      <c r="E554" s="4"/>
      <c r="F554" s="4"/>
      <c r="G554" s="4"/>
      <c r="H554" s="4"/>
      <c r="I554" s="4"/>
      <c r="J554" s="4"/>
      <c r="K554" s="4"/>
      <c r="L554" s="4"/>
      <c r="M554" s="4"/>
      <c r="N554" s="4"/>
      <c r="O554" s="4"/>
      <c r="P554" s="4"/>
      <c r="Q554" s="4"/>
      <c r="R554" s="4"/>
      <c r="S554" s="4"/>
      <c r="T554" s="4"/>
      <c r="U554" s="4"/>
      <c r="V554" s="4"/>
      <c r="W554" s="4"/>
      <c r="X554" s="4"/>
      <c r="Y554" s="4"/>
      <c r="Z554" s="4"/>
      <c r="AA554" s="21"/>
    </row>
    <row r="555">
      <c r="A555" s="4"/>
      <c r="B555" s="4"/>
      <c r="C555" s="4"/>
      <c r="D555" s="26"/>
      <c r="E555" s="4"/>
      <c r="F555" s="4"/>
      <c r="G555" s="4"/>
      <c r="H555" s="4"/>
      <c r="I555" s="4"/>
      <c r="J555" s="4"/>
      <c r="K555" s="4"/>
      <c r="L555" s="4"/>
      <c r="M555" s="4"/>
      <c r="N555" s="4"/>
      <c r="O555" s="4"/>
      <c r="P555" s="4"/>
      <c r="Q555" s="4"/>
      <c r="R555" s="4"/>
      <c r="S555" s="4"/>
      <c r="T555" s="4"/>
      <c r="U555" s="4"/>
      <c r="V555" s="4"/>
      <c r="W555" s="4"/>
      <c r="X555" s="4"/>
      <c r="Y555" s="4"/>
      <c r="Z555" s="4"/>
      <c r="AA555" s="21"/>
    </row>
    <row r="556">
      <c r="A556" s="4"/>
      <c r="B556" s="4"/>
      <c r="C556" s="4"/>
      <c r="D556" s="26"/>
      <c r="E556" s="4"/>
      <c r="F556" s="4"/>
      <c r="G556" s="4"/>
      <c r="H556" s="4"/>
      <c r="I556" s="4"/>
      <c r="J556" s="4"/>
      <c r="K556" s="4"/>
      <c r="L556" s="4"/>
      <c r="M556" s="4"/>
      <c r="N556" s="4"/>
      <c r="O556" s="4"/>
      <c r="P556" s="4"/>
      <c r="Q556" s="4"/>
      <c r="R556" s="4"/>
      <c r="S556" s="4"/>
      <c r="T556" s="4"/>
      <c r="U556" s="4"/>
      <c r="V556" s="4"/>
      <c r="W556" s="4"/>
      <c r="X556" s="4"/>
      <c r="Y556" s="4"/>
      <c r="Z556" s="4"/>
      <c r="AA556" s="21"/>
    </row>
    <row r="557">
      <c r="A557" s="4"/>
      <c r="B557" s="4"/>
      <c r="C557" s="4"/>
      <c r="D557" s="26"/>
      <c r="E557" s="4"/>
      <c r="F557" s="4"/>
      <c r="G557" s="4"/>
      <c r="H557" s="4"/>
      <c r="I557" s="4"/>
      <c r="J557" s="4"/>
      <c r="K557" s="4"/>
      <c r="L557" s="4"/>
      <c r="M557" s="4"/>
      <c r="N557" s="4"/>
      <c r="O557" s="4"/>
      <c r="P557" s="4"/>
      <c r="Q557" s="4"/>
      <c r="R557" s="4"/>
      <c r="S557" s="4"/>
      <c r="T557" s="4"/>
      <c r="U557" s="4"/>
      <c r="V557" s="4"/>
      <c r="W557" s="4"/>
      <c r="X557" s="4"/>
      <c r="Y557" s="4"/>
      <c r="Z557" s="4"/>
      <c r="AA557" s="21"/>
    </row>
    <row r="558">
      <c r="A558" s="4"/>
      <c r="B558" s="4"/>
      <c r="C558" s="4"/>
      <c r="D558" s="26"/>
      <c r="E558" s="4"/>
      <c r="F558" s="4"/>
      <c r="G558" s="4"/>
      <c r="H558" s="4"/>
      <c r="I558" s="4"/>
      <c r="J558" s="4"/>
      <c r="K558" s="4"/>
      <c r="L558" s="4"/>
      <c r="M558" s="4"/>
      <c r="N558" s="4"/>
      <c r="O558" s="4"/>
      <c r="P558" s="4"/>
      <c r="Q558" s="4"/>
      <c r="R558" s="4"/>
      <c r="S558" s="4"/>
      <c r="T558" s="4"/>
      <c r="U558" s="4"/>
      <c r="V558" s="4"/>
      <c r="W558" s="4"/>
      <c r="X558" s="4"/>
      <c r="Y558" s="4"/>
      <c r="Z558" s="4"/>
      <c r="AA558" s="21"/>
    </row>
    <row r="559">
      <c r="A559" s="4"/>
      <c r="B559" s="4"/>
      <c r="C559" s="4"/>
      <c r="D559" s="26"/>
      <c r="E559" s="4"/>
      <c r="F559" s="4"/>
      <c r="G559" s="4"/>
      <c r="H559" s="4"/>
      <c r="I559" s="4"/>
      <c r="J559" s="4"/>
      <c r="K559" s="4"/>
      <c r="L559" s="4"/>
      <c r="M559" s="4"/>
      <c r="N559" s="4"/>
      <c r="O559" s="4"/>
      <c r="P559" s="4"/>
      <c r="Q559" s="4"/>
      <c r="R559" s="4"/>
      <c r="S559" s="4"/>
      <c r="T559" s="4"/>
      <c r="U559" s="4"/>
      <c r="V559" s="4"/>
      <c r="W559" s="4"/>
      <c r="X559" s="4"/>
      <c r="Y559" s="4"/>
      <c r="Z559" s="4"/>
      <c r="AA559" s="21"/>
    </row>
    <row r="560">
      <c r="A560" s="4"/>
      <c r="B560" s="4"/>
      <c r="C560" s="4"/>
      <c r="D560" s="26"/>
      <c r="E560" s="4"/>
      <c r="F560" s="4"/>
      <c r="G560" s="4"/>
      <c r="H560" s="4"/>
      <c r="I560" s="4"/>
      <c r="J560" s="4"/>
      <c r="K560" s="4"/>
      <c r="L560" s="4"/>
      <c r="M560" s="4"/>
      <c r="N560" s="4"/>
      <c r="O560" s="4"/>
      <c r="P560" s="4"/>
      <c r="Q560" s="4"/>
      <c r="R560" s="4"/>
      <c r="S560" s="4"/>
      <c r="T560" s="4"/>
      <c r="U560" s="4"/>
      <c r="V560" s="4"/>
      <c r="W560" s="4"/>
      <c r="X560" s="4"/>
      <c r="Y560" s="4"/>
      <c r="Z560" s="4"/>
      <c r="AA560" s="21"/>
    </row>
    <row r="561">
      <c r="A561" s="4"/>
      <c r="B561" s="4"/>
      <c r="C561" s="4"/>
      <c r="D561" s="26"/>
      <c r="E561" s="4"/>
      <c r="F561" s="4"/>
      <c r="G561" s="4"/>
      <c r="H561" s="4"/>
      <c r="I561" s="4"/>
      <c r="J561" s="4"/>
      <c r="K561" s="4"/>
      <c r="L561" s="4"/>
      <c r="M561" s="4"/>
      <c r="N561" s="4"/>
      <c r="O561" s="4"/>
      <c r="P561" s="4"/>
      <c r="Q561" s="4"/>
      <c r="R561" s="4"/>
      <c r="S561" s="4"/>
      <c r="T561" s="4"/>
      <c r="U561" s="4"/>
      <c r="V561" s="4"/>
      <c r="W561" s="4"/>
      <c r="X561" s="4"/>
      <c r="Y561" s="4"/>
      <c r="Z561" s="4"/>
      <c r="AA561" s="21"/>
    </row>
    <row r="562">
      <c r="A562" s="4"/>
      <c r="B562" s="4"/>
      <c r="C562" s="4"/>
      <c r="D562" s="26"/>
      <c r="E562" s="4"/>
      <c r="F562" s="4"/>
      <c r="G562" s="4"/>
      <c r="H562" s="4"/>
      <c r="I562" s="4"/>
      <c r="J562" s="4"/>
      <c r="K562" s="4"/>
      <c r="L562" s="4"/>
      <c r="M562" s="4"/>
      <c r="N562" s="4"/>
      <c r="O562" s="4"/>
      <c r="P562" s="4"/>
      <c r="Q562" s="4"/>
      <c r="R562" s="4"/>
      <c r="S562" s="4"/>
      <c r="T562" s="4"/>
      <c r="U562" s="4"/>
      <c r="V562" s="4"/>
      <c r="W562" s="4"/>
      <c r="X562" s="4"/>
      <c r="Y562" s="4"/>
      <c r="Z562" s="4"/>
      <c r="AA562" s="21"/>
    </row>
    <row r="563">
      <c r="A563" s="4"/>
      <c r="B563" s="4"/>
      <c r="C563" s="4"/>
      <c r="D563" s="26"/>
      <c r="E563" s="4"/>
      <c r="F563" s="4"/>
      <c r="G563" s="4"/>
      <c r="H563" s="4"/>
      <c r="I563" s="4"/>
      <c r="J563" s="4"/>
      <c r="K563" s="4"/>
      <c r="L563" s="4"/>
      <c r="M563" s="4"/>
      <c r="N563" s="4"/>
      <c r="O563" s="4"/>
      <c r="P563" s="4"/>
      <c r="Q563" s="4"/>
      <c r="R563" s="4"/>
      <c r="S563" s="4"/>
      <c r="T563" s="4"/>
      <c r="U563" s="4"/>
      <c r="V563" s="4"/>
      <c r="W563" s="4"/>
      <c r="X563" s="4"/>
      <c r="Y563" s="4"/>
      <c r="Z563" s="4"/>
      <c r="AA563" s="21"/>
    </row>
    <row r="564">
      <c r="A564" s="4"/>
      <c r="B564" s="4"/>
      <c r="C564" s="4"/>
      <c r="D564" s="26"/>
      <c r="E564" s="4"/>
      <c r="F564" s="4"/>
      <c r="G564" s="4"/>
      <c r="H564" s="4"/>
      <c r="I564" s="4"/>
      <c r="J564" s="4"/>
      <c r="K564" s="4"/>
      <c r="L564" s="4"/>
      <c r="M564" s="4"/>
      <c r="N564" s="4"/>
      <c r="O564" s="4"/>
      <c r="P564" s="4"/>
      <c r="Q564" s="4"/>
      <c r="R564" s="4"/>
      <c r="S564" s="4"/>
      <c r="T564" s="4"/>
      <c r="U564" s="4"/>
      <c r="V564" s="4"/>
      <c r="W564" s="4"/>
      <c r="X564" s="4"/>
      <c r="Y564" s="4"/>
      <c r="Z564" s="4"/>
      <c r="AA564" s="21"/>
    </row>
    <row r="565">
      <c r="A565" s="4"/>
      <c r="B565" s="4"/>
      <c r="C565" s="4"/>
      <c r="D565" s="26"/>
      <c r="E565" s="4"/>
      <c r="F565" s="4"/>
      <c r="G565" s="4"/>
      <c r="H565" s="4"/>
      <c r="I565" s="4"/>
      <c r="J565" s="4"/>
      <c r="K565" s="4"/>
      <c r="L565" s="4"/>
      <c r="M565" s="4"/>
      <c r="N565" s="4"/>
      <c r="O565" s="4"/>
      <c r="P565" s="4"/>
      <c r="Q565" s="4"/>
      <c r="R565" s="4"/>
      <c r="S565" s="4"/>
      <c r="T565" s="4"/>
      <c r="U565" s="4"/>
      <c r="V565" s="4"/>
      <c r="W565" s="4"/>
      <c r="X565" s="4"/>
      <c r="Y565" s="4"/>
      <c r="Z565" s="4"/>
      <c r="AA565" s="21"/>
    </row>
    <row r="566">
      <c r="A566" s="4"/>
      <c r="B566" s="4"/>
      <c r="C566" s="4"/>
      <c r="D566" s="26"/>
      <c r="E566" s="4"/>
      <c r="F566" s="4"/>
      <c r="G566" s="4"/>
      <c r="H566" s="4"/>
      <c r="I566" s="4"/>
      <c r="J566" s="4"/>
      <c r="K566" s="4"/>
      <c r="L566" s="4"/>
      <c r="M566" s="4"/>
      <c r="N566" s="4"/>
      <c r="O566" s="4"/>
      <c r="P566" s="4"/>
      <c r="Q566" s="4"/>
      <c r="R566" s="4"/>
      <c r="S566" s="4"/>
      <c r="T566" s="4"/>
      <c r="U566" s="4"/>
      <c r="V566" s="4"/>
      <c r="W566" s="4"/>
      <c r="X566" s="4"/>
      <c r="Y566" s="4"/>
      <c r="Z566" s="4"/>
      <c r="AA566" s="21"/>
    </row>
    <row r="567">
      <c r="A567" s="4"/>
      <c r="B567" s="4"/>
      <c r="C567" s="4"/>
      <c r="D567" s="26"/>
      <c r="E567" s="4"/>
      <c r="F567" s="4"/>
      <c r="G567" s="4"/>
      <c r="H567" s="4"/>
      <c r="I567" s="4"/>
      <c r="J567" s="4"/>
      <c r="K567" s="4"/>
      <c r="L567" s="4"/>
      <c r="M567" s="4"/>
      <c r="N567" s="4"/>
      <c r="O567" s="4"/>
      <c r="P567" s="4"/>
      <c r="Q567" s="4"/>
      <c r="R567" s="4"/>
      <c r="S567" s="4"/>
      <c r="T567" s="4"/>
      <c r="U567" s="4"/>
      <c r="V567" s="4"/>
      <c r="W567" s="4"/>
      <c r="X567" s="4"/>
      <c r="Y567" s="4"/>
      <c r="Z567" s="4"/>
      <c r="AA567" s="21"/>
    </row>
    <row r="568">
      <c r="A568" s="4"/>
      <c r="B568" s="4"/>
      <c r="C568" s="4"/>
      <c r="D568" s="26"/>
      <c r="E568" s="4"/>
      <c r="F568" s="4"/>
      <c r="G568" s="4"/>
      <c r="H568" s="4"/>
      <c r="I568" s="4"/>
      <c r="J568" s="4"/>
      <c r="K568" s="4"/>
      <c r="L568" s="4"/>
      <c r="M568" s="4"/>
      <c r="N568" s="4"/>
      <c r="O568" s="4"/>
      <c r="P568" s="4"/>
      <c r="Q568" s="4"/>
      <c r="R568" s="4"/>
      <c r="S568" s="4"/>
      <c r="T568" s="4"/>
      <c r="U568" s="4"/>
      <c r="V568" s="4"/>
      <c r="W568" s="4"/>
      <c r="X568" s="4"/>
      <c r="Y568" s="4"/>
      <c r="Z568" s="4"/>
      <c r="AA568" s="21"/>
    </row>
    <row r="569">
      <c r="A569" s="4"/>
      <c r="B569" s="4"/>
      <c r="C569" s="4"/>
      <c r="D569" s="26"/>
      <c r="E569" s="4"/>
      <c r="F569" s="4"/>
      <c r="G569" s="4"/>
      <c r="H569" s="4"/>
      <c r="I569" s="4"/>
      <c r="J569" s="4"/>
      <c r="K569" s="4"/>
      <c r="L569" s="4"/>
      <c r="M569" s="4"/>
      <c r="N569" s="4"/>
      <c r="O569" s="4"/>
      <c r="P569" s="4"/>
      <c r="Q569" s="4"/>
      <c r="R569" s="4"/>
      <c r="S569" s="4"/>
      <c r="T569" s="4"/>
      <c r="U569" s="4"/>
      <c r="V569" s="4"/>
      <c r="W569" s="4"/>
      <c r="X569" s="4"/>
      <c r="Y569" s="4"/>
      <c r="Z569" s="4"/>
      <c r="AA569" s="21"/>
    </row>
    <row r="570">
      <c r="A570" s="4"/>
      <c r="B570" s="4"/>
      <c r="C570" s="4"/>
      <c r="D570" s="26"/>
      <c r="E570" s="4"/>
      <c r="F570" s="4"/>
      <c r="G570" s="4"/>
      <c r="H570" s="4"/>
      <c r="I570" s="4"/>
      <c r="J570" s="4"/>
      <c r="K570" s="4"/>
      <c r="L570" s="4"/>
      <c r="M570" s="4"/>
      <c r="N570" s="4"/>
      <c r="O570" s="4"/>
      <c r="P570" s="4"/>
      <c r="Q570" s="4"/>
      <c r="R570" s="4"/>
      <c r="S570" s="4"/>
      <c r="T570" s="4"/>
      <c r="U570" s="4"/>
      <c r="V570" s="4"/>
      <c r="W570" s="4"/>
      <c r="X570" s="4"/>
      <c r="Y570" s="4"/>
      <c r="Z570" s="4"/>
      <c r="AA570" s="21"/>
    </row>
    <row r="571">
      <c r="A571" s="4"/>
      <c r="B571" s="4"/>
      <c r="C571" s="4"/>
      <c r="D571" s="26"/>
      <c r="E571" s="4"/>
      <c r="F571" s="4"/>
      <c r="G571" s="4"/>
      <c r="H571" s="4"/>
      <c r="I571" s="4"/>
      <c r="J571" s="4"/>
      <c r="K571" s="4"/>
      <c r="L571" s="4"/>
      <c r="M571" s="4"/>
      <c r="N571" s="4"/>
      <c r="O571" s="4"/>
      <c r="P571" s="4"/>
      <c r="Q571" s="4"/>
      <c r="R571" s="4"/>
      <c r="S571" s="4"/>
      <c r="T571" s="4"/>
      <c r="U571" s="4"/>
      <c r="V571" s="4"/>
      <c r="W571" s="4"/>
      <c r="X571" s="4"/>
      <c r="Y571" s="4"/>
      <c r="Z571" s="4"/>
      <c r="AA571" s="21"/>
    </row>
    <row r="572">
      <c r="A572" s="4"/>
      <c r="B572" s="4"/>
      <c r="C572" s="4"/>
      <c r="D572" s="26"/>
      <c r="E572" s="4"/>
      <c r="F572" s="4"/>
      <c r="G572" s="4"/>
      <c r="H572" s="4"/>
      <c r="I572" s="4"/>
      <c r="J572" s="4"/>
      <c r="K572" s="4"/>
      <c r="L572" s="4"/>
      <c r="M572" s="4"/>
      <c r="N572" s="4"/>
      <c r="O572" s="4"/>
      <c r="P572" s="4"/>
      <c r="Q572" s="4"/>
      <c r="R572" s="4"/>
      <c r="S572" s="4"/>
      <c r="T572" s="4"/>
      <c r="U572" s="4"/>
      <c r="V572" s="4"/>
      <c r="W572" s="4"/>
      <c r="X572" s="4"/>
      <c r="Y572" s="4"/>
      <c r="Z572" s="4"/>
      <c r="AA572" s="21"/>
    </row>
    <row r="573">
      <c r="A573" s="4"/>
      <c r="B573" s="4"/>
      <c r="C573" s="4"/>
      <c r="D573" s="26"/>
      <c r="E573" s="4"/>
      <c r="F573" s="4"/>
      <c r="G573" s="4"/>
      <c r="H573" s="4"/>
      <c r="I573" s="4"/>
      <c r="J573" s="4"/>
      <c r="K573" s="4"/>
      <c r="L573" s="4"/>
      <c r="M573" s="4"/>
      <c r="N573" s="4"/>
      <c r="O573" s="4"/>
      <c r="P573" s="4"/>
      <c r="Q573" s="4"/>
      <c r="R573" s="4"/>
      <c r="S573" s="4"/>
      <c r="T573" s="4"/>
      <c r="U573" s="4"/>
      <c r="V573" s="4"/>
      <c r="W573" s="4"/>
      <c r="X573" s="4"/>
      <c r="Y573" s="4"/>
      <c r="Z573" s="4"/>
      <c r="AA573" s="21"/>
    </row>
    <row r="574">
      <c r="A574" s="4"/>
      <c r="B574" s="4"/>
      <c r="C574" s="4"/>
      <c r="D574" s="26"/>
      <c r="E574" s="4"/>
      <c r="F574" s="4"/>
      <c r="G574" s="4"/>
      <c r="H574" s="4"/>
      <c r="I574" s="4"/>
      <c r="J574" s="4"/>
      <c r="K574" s="4"/>
      <c r="L574" s="4"/>
      <c r="M574" s="4"/>
      <c r="N574" s="4"/>
      <c r="O574" s="4"/>
      <c r="P574" s="4"/>
      <c r="Q574" s="4"/>
      <c r="R574" s="4"/>
      <c r="S574" s="4"/>
      <c r="T574" s="4"/>
      <c r="U574" s="4"/>
      <c r="V574" s="4"/>
      <c r="W574" s="4"/>
      <c r="X574" s="4"/>
      <c r="Y574" s="4"/>
      <c r="Z574" s="4"/>
      <c r="AA574" s="21"/>
    </row>
    <row r="575">
      <c r="A575" s="4"/>
      <c r="B575" s="4"/>
      <c r="C575" s="4"/>
      <c r="D575" s="26"/>
      <c r="E575" s="4"/>
      <c r="F575" s="4"/>
      <c r="G575" s="4"/>
      <c r="H575" s="4"/>
      <c r="I575" s="4"/>
      <c r="J575" s="4"/>
      <c r="K575" s="4"/>
      <c r="L575" s="4"/>
      <c r="M575" s="4"/>
      <c r="N575" s="4"/>
      <c r="O575" s="4"/>
      <c r="P575" s="4"/>
      <c r="Q575" s="4"/>
      <c r="R575" s="4"/>
      <c r="S575" s="4"/>
      <c r="T575" s="4"/>
      <c r="U575" s="4"/>
      <c r="V575" s="4"/>
      <c r="W575" s="4"/>
      <c r="X575" s="4"/>
      <c r="Y575" s="4"/>
      <c r="Z575" s="4"/>
      <c r="AA575" s="21"/>
    </row>
    <row r="576">
      <c r="A576" s="4"/>
      <c r="B576" s="4"/>
      <c r="C576" s="4"/>
      <c r="D576" s="26"/>
      <c r="E576" s="4"/>
      <c r="F576" s="4"/>
      <c r="G576" s="4"/>
      <c r="H576" s="4"/>
      <c r="I576" s="4"/>
      <c r="J576" s="4"/>
      <c r="K576" s="4"/>
      <c r="L576" s="4"/>
      <c r="M576" s="4"/>
      <c r="N576" s="4"/>
      <c r="O576" s="4"/>
      <c r="P576" s="4"/>
      <c r="Q576" s="4"/>
      <c r="R576" s="4"/>
      <c r="S576" s="4"/>
      <c r="T576" s="4"/>
      <c r="U576" s="4"/>
      <c r="V576" s="4"/>
      <c r="W576" s="4"/>
      <c r="X576" s="4"/>
      <c r="Y576" s="4"/>
      <c r="Z576" s="4"/>
      <c r="AA576" s="21"/>
    </row>
    <row r="577">
      <c r="A577" s="4"/>
      <c r="B577" s="4"/>
      <c r="C577" s="4"/>
      <c r="D577" s="26"/>
      <c r="E577" s="4"/>
      <c r="F577" s="4"/>
      <c r="G577" s="4"/>
      <c r="H577" s="4"/>
      <c r="I577" s="4"/>
      <c r="J577" s="4"/>
      <c r="K577" s="4"/>
      <c r="L577" s="4"/>
      <c r="M577" s="4"/>
      <c r="N577" s="4"/>
      <c r="O577" s="4"/>
      <c r="P577" s="4"/>
      <c r="Q577" s="4"/>
      <c r="R577" s="4"/>
      <c r="S577" s="4"/>
      <c r="T577" s="4"/>
      <c r="U577" s="4"/>
      <c r="V577" s="4"/>
      <c r="W577" s="4"/>
      <c r="X577" s="4"/>
      <c r="Y577" s="4"/>
      <c r="Z577" s="4"/>
      <c r="AA577" s="21"/>
    </row>
    <row r="578">
      <c r="A578" s="4"/>
      <c r="B578" s="4"/>
      <c r="C578" s="4"/>
      <c r="D578" s="26"/>
      <c r="E578" s="4"/>
      <c r="F578" s="4"/>
      <c r="G578" s="4"/>
      <c r="H578" s="4"/>
      <c r="I578" s="4"/>
      <c r="J578" s="4"/>
      <c r="K578" s="4"/>
      <c r="L578" s="4"/>
      <c r="M578" s="4"/>
      <c r="N578" s="4"/>
      <c r="O578" s="4"/>
      <c r="P578" s="4"/>
      <c r="Q578" s="4"/>
      <c r="R578" s="4"/>
      <c r="S578" s="4"/>
      <c r="T578" s="4"/>
      <c r="U578" s="4"/>
      <c r="V578" s="4"/>
      <c r="W578" s="4"/>
      <c r="X578" s="4"/>
      <c r="Y578" s="4"/>
      <c r="Z578" s="4"/>
      <c r="AA578" s="21"/>
    </row>
    <row r="579">
      <c r="A579" s="4"/>
      <c r="B579" s="4"/>
      <c r="C579" s="4"/>
      <c r="D579" s="26"/>
      <c r="E579" s="4"/>
      <c r="F579" s="4"/>
      <c r="G579" s="4"/>
      <c r="H579" s="4"/>
      <c r="I579" s="4"/>
      <c r="J579" s="4"/>
      <c r="K579" s="4"/>
      <c r="L579" s="4"/>
      <c r="M579" s="4"/>
      <c r="N579" s="4"/>
      <c r="O579" s="4"/>
      <c r="P579" s="4"/>
      <c r="Q579" s="4"/>
      <c r="R579" s="4"/>
      <c r="S579" s="4"/>
      <c r="T579" s="4"/>
      <c r="U579" s="4"/>
      <c r="V579" s="4"/>
      <c r="W579" s="4"/>
      <c r="X579" s="4"/>
      <c r="Y579" s="4"/>
      <c r="Z579" s="4"/>
      <c r="AA579" s="21"/>
    </row>
    <row r="580">
      <c r="A580" s="4"/>
      <c r="B580" s="4"/>
      <c r="C580" s="4"/>
      <c r="D580" s="26"/>
      <c r="E580" s="4"/>
      <c r="F580" s="4"/>
      <c r="G580" s="4"/>
      <c r="H580" s="4"/>
      <c r="I580" s="4"/>
      <c r="J580" s="4"/>
      <c r="K580" s="4"/>
      <c r="L580" s="4"/>
      <c r="M580" s="4"/>
      <c r="N580" s="4"/>
      <c r="O580" s="4"/>
      <c r="P580" s="4"/>
      <c r="Q580" s="4"/>
      <c r="R580" s="4"/>
      <c r="S580" s="4"/>
      <c r="T580" s="4"/>
      <c r="U580" s="4"/>
      <c r="V580" s="4"/>
      <c r="W580" s="4"/>
      <c r="X580" s="4"/>
      <c r="Y580" s="4"/>
      <c r="Z580" s="4"/>
      <c r="AA580" s="21"/>
    </row>
    <row r="581">
      <c r="A581" s="4"/>
      <c r="B581" s="4"/>
      <c r="C581" s="4"/>
      <c r="D581" s="26"/>
      <c r="E581" s="4"/>
      <c r="F581" s="4"/>
      <c r="G581" s="4"/>
      <c r="H581" s="4"/>
      <c r="I581" s="4"/>
      <c r="J581" s="4"/>
      <c r="K581" s="4"/>
      <c r="L581" s="4"/>
      <c r="M581" s="4"/>
      <c r="N581" s="4"/>
      <c r="O581" s="4"/>
      <c r="P581" s="4"/>
      <c r="Q581" s="4"/>
      <c r="R581" s="4"/>
      <c r="S581" s="4"/>
      <c r="T581" s="4"/>
      <c r="U581" s="4"/>
      <c r="V581" s="4"/>
      <c r="W581" s="4"/>
      <c r="X581" s="4"/>
      <c r="Y581" s="4"/>
      <c r="Z581" s="4"/>
      <c r="AA581" s="21"/>
    </row>
    <row r="582">
      <c r="A582" s="4"/>
      <c r="B582" s="4"/>
      <c r="C582" s="4"/>
      <c r="D582" s="26"/>
      <c r="E582" s="4"/>
      <c r="F582" s="4"/>
      <c r="G582" s="4"/>
      <c r="H582" s="4"/>
      <c r="I582" s="4"/>
      <c r="J582" s="4"/>
      <c r="K582" s="4"/>
      <c r="L582" s="4"/>
      <c r="M582" s="4"/>
      <c r="N582" s="4"/>
      <c r="O582" s="4"/>
      <c r="P582" s="4"/>
      <c r="Q582" s="4"/>
      <c r="R582" s="4"/>
      <c r="S582" s="4"/>
      <c r="T582" s="4"/>
      <c r="U582" s="4"/>
      <c r="V582" s="4"/>
      <c r="W582" s="4"/>
      <c r="X582" s="4"/>
      <c r="Y582" s="4"/>
      <c r="Z582" s="4"/>
      <c r="AA582" s="21"/>
    </row>
    <row r="583">
      <c r="A583" s="4"/>
      <c r="B583" s="4"/>
      <c r="C583" s="4"/>
      <c r="D583" s="26"/>
      <c r="E583" s="4"/>
      <c r="F583" s="4"/>
      <c r="G583" s="4"/>
      <c r="H583" s="4"/>
      <c r="I583" s="4"/>
      <c r="J583" s="4"/>
      <c r="K583" s="4"/>
      <c r="L583" s="4"/>
      <c r="M583" s="4"/>
      <c r="N583" s="4"/>
      <c r="O583" s="4"/>
      <c r="P583" s="4"/>
      <c r="Q583" s="4"/>
      <c r="R583" s="4"/>
      <c r="S583" s="4"/>
      <c r="T583" s="4"/>
      <c r="U583" s="4"/>
      <c r="V583" s="4"/>
      <c r="W583" s="4"/>
      <c r="X583" s="4"/>
      <c r="Y583" s="4"/>
      <c r="Z583" s="4"/>
      <c r="AA583" s="21"/>
    </row>
    <row r="584">
      <c r="A584" s="4"/>
      <c r="B584" s="4"/>
      <c r="C584" s="4"/>
      <c r="D584" s="26"/>
      <c r="E584" s="4"/>
      <c r="F584" s="4"/>
      <c r="G584" s="4"/>
      <c r="H584" s="4"/>
      <c r="I584" s="4"/>
      <c r="J584" s="4"/>
      <c r="K584" s="4"/>
      <c r="L584" s="4"/>
      <c r="M584" s="4"/>
      <c r="N584" s="4"/>
      <c r="O584" s="4"/>
      <c r="P584" s="4"/>
      <c r="Q584" s="4"/>
      <c r="R584" s="4"/>
      <c r="S584" s="4"/>
      <c r="T584" s="4"/>
      <c r="U584" s="4"/>
      <c r="V584" s="4"/>
      <c r="W584" s="4"/>
      <c r="X584" s="4"/>
      <c r="Y584" s="4"/>
      <c r="Z584" s="4"/>
      <c r="AA584" s="21"/>
    </row>
    <row r="585">
      <c r="A585" s="4"/>
      <c r="B585" s="4"/>
      <c r="C585" s="4"/>
      <c r="D585" s="26"/>
      <c r="E585" s="4"/>
      <c r="F585" s="4"/>
      <c r="G585" s="4"/>
      <c r="H585" s="4"/>
      <c r="I585" s="4"/>
      <c r="J585" s="4"/>
      <c r="K585" s="4"/>
      <c r="L585" s="4"/>
      <c r="M585" s="4"/>
      <c r="N585" s="4"/>
      <c r="O585" s="4"/>
      <c r="P585" s="4"/>
      <c r="Q585" s="4"/>
      <c r="R585" s="4"/>
      <c r="S585" s="4"/>
      <c r="T585" s="4"/>
      <c r="U585" s="4"/>
      <c r="V585" s="4"/>
      <c r="W585" s="4"/>
      <c r="X585" s="4"/>
      <c r="Y585" s="4"/>
      <c r="Z585" s="4"/>
      <c r="AA585" s="21"/>
    </row>
    <row r="586">
      <c r="A586" s="4"/>
      <c r="B586" s="4"/>
      <c r="C586" s="4"/>
      <c r="D586" s="26"/>
      <c r="E586" s="4"/>
      <c r="F586" s="4"/>
      <c r="G586" s="4"/>
      <c r="H586" s="4"/>
      <c r="I586" s="4"/>
      <c r="J586" s="4"/>
      <c r="K586" s="4"/>
      <c r="L586" s="4"/>
      <c r="M586" s="4"/>
      <c r="N586" s="4"/>
      <c r="O586" s="4"/>
      <c r="P586" s="4"/>
      <c r="Q586" s="4"/>
      <c r="R586" s="4"/>
      <c r="S586" s="4"/>
      <c r="T586" s="4"/>
      <c r="U586" s="4"/>
      <c r="V586" s="4"/>
      <c r="W586" s="4"/>
      <c r="X586" s="4"/>
      <c r="Y586" s="4"/>
      <c r="Z586" s="4"/>
      <c r="AA586" s="21"/>
    </row>
    <row r="587">
      <c r="A587" s="4"/>
      <c r="B587" s="4"/>
      <c r="C587" s="4"/>
      <c r="D587" s="26"/>
      <c r="E587" s="4"/>
      <c r="F587" s="4"/>
      <c r="G587" s="4"/>
      <c r="H587" s="4"/>
      <c r="I587" s="4"/>
      <c r="J587" s="4"/>
      <c r="K587" s="4"/>
      <c r="L587" s="4"/>
      <c r="M587" s="4"/>
      <c r="N587" s="4"/>
      <c r="O587" s="4"/>
      <c r="P587" s="4"/>
      <c r="Q587" s="4"/>
      <c r="R587" s="4"/>
      <c r="S587" s="4"/>
      <c r="T587" s="4"/>
      <c r="U587" s="4"/>
      <c r="V587" s="4"/>
      <c r="W587" s="4"/>
      <c r="X587" s="4"/>
      <c r="Y587" s="4"/>
      <c r="Z587" s="4"/>
      <c r="AA587" s="21"/>
    </row>
    <row r="588">
      <c r="A588" s="4"/>
      <c r="B588" s="4"/>
      <c r="C588" s="4"/>
      <c r="D588" s="26"/>
      <c r="E588" s="4"/>
      <c r="F588" s="4"/>
      <c r="G588" s="4"/>
      <c r="H588" s="4"/>
      <c r="I588" s="4"/>
      <c r="J588" s="4"/>
      <c r="K588" s="4"/>
      <c r="L588" s="4"/>
      <c r="M588" s="4"/>
      <c r="N588" s="4"/>
      <c r="O588" s="4"/>
      <c r="P588" s="4"/>
      <c r="Q588" s="4"/>
      <c r="R588" s="4"/>
      <c r="S588" s="4"/>
      <c r="T588" s="4"/>
      <c r="U588" s="4"/>
      <c r="V588" s="4"/>
      <c r="W588" s="4"/>
      <c r="X588" s="4"/>
      <c r="Y588" s="4"/>
      <c r="Z588" s="4"/>
      <c r="AA588" s="21"/>
    </row>
    <row r="589">
      <c r="A589" s="4"/>
      <c r="B589" s="4"/>
      <c r="C589" s="4"/>
      <c r="D589" s="26"/>
      <c r="E589" s="4"/>
      <c r="F589" s="4"/>
      <c r="G589" s="4"/>
      <c r="H589" s="4"/>
      <c r="I589" s="4"/>
      <c r="J589" s="4"/>
      <c r="K589" s="4"/>
      <c r="L589" s="4"/>
      <c r="M589" s="4"/>
      <c r="N589" s="4"/>
      <c r="O589" s="4"/>
      <c r="P589" s="4"/>
      <c r="Q589" s="4"/>
      <c r="R589" s="4"/>
      <c r="S589" s="4"/>
      <c r="T589" s="4"/>
      <c r="U589" s="4"/>
      <c r="V589" s="4"/>
      <c r="W589" s="4"/>
      <c r="X589" s="4"/>
      <c r="Y589" s="4"/>
      <c r="Z589" s="4"/>
      <c r="AA589" s="21"/>
    </row>
    <row r="590">
      <c r="A590" s="4"/>
      <c r="B590" s="4"/>
      <c r="C590" s="4"/>
      <c r="D590" s="26"/>
      <c r="E590" s="4"/>
      <c r="F590" s="4"/>
      <c r="G590" s="4"/>
      <c r="H590" s="4"/>
      <c r="I590" s="4"/>
      <c r="J590" s="4"/>
      <c r="K590" s="4"/>
      <c r="L590" s="4"/>
      <c r="M590" s="4"/>
      <c r="N590" s="4"/>
      <c r="O590" s="4"/>
      <c r="P590" s="4"/>
      <c r="Q590" s="4"/>
      <c r="R590" s="4"/>
      <c r="S590" s="4"/>
      <c r="T590" s="4"/>
      <c r="U590" s="4"/>
      <c r="V590" s="4"/>
      <c r="W590" s="4"/>
      <c r="X590" s="4"/>
      <c r="Y590" s="4"/>
      <c r="Z590" s="4"/>
      <c r="AA590" s="21"/>
    </row>
    <row r="591">
      <c r="A591" s="4"/>
      <c r="B591" s="4"/>
      <c r="C591" s="4"/>
      <c r="D591" s="26"/>
      <c r="E591" s="4"/>
      <c r="F591" s="4"/>
      <c r="G591" s="4"/>
      <c r="H591" s="4"/>
      <c r="I591" s="4"/>
      <c r="J591" s="4"/>
      <c r="K591" s="4"/>
      <c r="L591" s="4"/>
      <c r="M591" s="4"/>
      <c r="N591" s="4"/>
      <c r="O591" s="4"/>
      <c r="P591" s="4"/>
      <c r="Q591" s="4"/>
      <c r="R591" s="4"/>
      <c r="S591" s="4"/>
      <c r="T591" s="4"/>
      <c r="U591" s="4"/>
      <c r="V591" s="4"/>
      <c r="W591" s="4"/>
      <c r="X591" s="4"/>
      <c r="Y591" s="4"/>
      <c r="Z591" s="4"/>
      <c r="AA591" s="21"/>
    </row>
    <row r="592">
      <c r="A592" s="4"/>
      <c r="B592" s="4"/>
      <c r="C592" s="4"/>
      <c r="D592" s="26"/>
      <c r="E592" s="4"/>
      <c r="F592" s="4"/>
      <c r="G592" s="4"/>
      <c r="H592" s="4"/>
      <c r="I592" s="4"/>
      <c r="J592" s="4"/>
      <c r="K592" s="4"/>
      <c r="L592" s="4"/>
      <c r="M592" s="4"/>
      <c r="N592" s="4"/>
      <c r="O592" s="4"/>
      <c r="P592" s="4"/>
      <c r="Q592" s="4"/>
      <c r="R592" s="4"/>
      <c r="S592" s="4"/>
      <c r="T592" s="4"/>
      <c r="U592" s="4"/>
      <c r="V592" s="4"/>
      <c r="W592" s="4"/>
      <c r="X592" s="4"/>
      <c r="Y592" s="4"/>
      <c r="Z592" s="4"/>
      <c r="AA592" s="21"/>
    </row>
    <row r="593">
      <c r="A593" s="4"/>
      <c r="B593" s="4"/>
      <c r="C593" s="4"/>
      <c r="D593" s="26"/>
      <c r="E593" s="4"/>
      <c r="F593" s="4"/>
      <c r="G593" s="4"/>
      <c r="H593" s="4"/>
      <c r="I593" s="4"/>
      <c r="J593" s="4"/>
      <c r="K593" s="4"/>
      <c r="L593" s="4"/>
      <c r="M593" s="4"/>
      <c r="N593" s="4"/>
      <c r="O593" s="4"/>
      <c r="P593" s="4"/>
      <c r="Q593" s="4"/>
      <c r="R593" s="4"/>
      <c r="S593" s="4"/>
      <c r="T593" s="4"/>
      <c r="U593" s="4"/>
      <c r="V593" s="4"/>
      <c r="W593" s="4"/>
      <c r="X593" s="4"/>
      <c r="Y593" s="4"/>
      <c r="Z593" s="4"/>
      <c r="AA593" s="21"/>
    </row>
    <row r="594">
      <c r="A594" s="4"/>
      <c r="B594" s="4"/>
      <c r="C594" s="4"/>
      <c r="D594" s="26"/>
      <c r="E594" s="4"/>
      <c r="F594" s="4"/>
      <c r="G594" s="4"/>
      <c r="H594" s="4"/>
      <c r="I594" s="4"/>
      <c r="J594" s="4"/>
      <c r="K594" s="4"/>
      <c r="L594" s="4"/>
      <c r="M594" s="4"/>
      <c r="N594" s="4"/>
      <c r="O594" s="4"/>
      <c r="P594" s="4"/>
      <c r="Q594" s="4"/>
      <c r="R594" s="4"/>
      <c r="S594" s="4"/>
      <c r="T594" s="4"/>
      <c r="U594" s="4"/>
      <c r="V594" s="4"/>
      <c r="W594" s="4"/>
      <c r="X594" s="4"/>
      <c r="Y594" s="4"/>
      <c r="Z594" s="4"/>
      <c r="AA594" s="21"/>
    </row>
    <row r="595">
      <c r="A595" s="4"/>
      <c r="B595" s="4"/>
      <c r="C595" s="4"/>
      <c r="D595" s="26"/>
      <c r="E595" s="4"/>
      <c r="F595" s="4"/>
      <c r="G595" s="4"/>
      <c r="H595" s="4"/>
      <c r="I595" s="4"/>
      <c r="J595" s="4"/>
      <c r="K595" s="4"/>
      <c r="L595" s="4"/>
      <c r="M595" s="4"/>
      <c r="N595" s="4"/>
      <c r="O595" s="4"/>
      <c r="P595" s="4"/>
      <c r="Q595" s="4"/>
      <c r="R595" s="4"/>
      <c r="S595" s="4"/>
      <c r="T595" s="4"/>
      <c r="U595" s="4"/>
      <c r="V595" s="4"/>
      <c r="W595" s="4"/>
      <c r="X595" s="4"/>
      <c r="Y595" s="4"/>
      <c r="Z595" s="4"/>
      <c r="AA595" s="21"/>
    </row>
    <row r="596">
      <c r="A596" s="4"/>
      <c r="B596" s="4"/>
      <c r="C596" s="4"/>
      <c r="D596" s="26"/>
      <c r="E596" s="4"/>
      <c r="F596" s="4"/>
      <c r="G596" s="4"/>
      <c r="H596" s="4"/>
      <c r="I596" s="4"/>
      <c r="J596" s="4"/>
      <c r="K596" s="4"/>
      <c r="L596" s="4"/>
      <c r="M596" s="4"/>
      <c r="N596" s="4"/>
      <c r="O596" s="4"/>
      <c r="P596" s="4"/>
      <c r="Q596" s="4"/>
      <c r="R596" s="4"/>
      <c r="S596" s="4"/>
      <c r="T596" s="4"/>
      <c r="U596" s="4"/>
      <c r="V596" s="4"/>
      <c r="W596" s="4"/>
      <c r="X596" s="4"/>
      <c r="Y596" s="4"/>
      <c r="Z596" s="4"/>
      <c r="AA596" s="21"/>
    </row>
    <row r="597">
      <c r="A597" s="4"/>
      <c r="B597" s="4"/>
      <c r="C597" s="4"/>
      <c r="D597" s="26"/>
      <c r="E597" s="4"/>
      <c r="F597" s="4"/>
      <c r="G597" s="4"/>
      <c r="H597" s="4"/>
      <c r="I597" s="4"/>
      <c r="J597" s="4"/>
      <c r="K597" s="4"/>
      <c r="L597" s="4"/>
      <c r="M597" s="4"/>
      <c r="N597" s="4"/>
      <c r="O597" s="4"/>
      <c r="P597" s="4"/>
      <c r="Q597" s="4"/>
      <c r="R597" s="4"/>
      <c r="S597" s="4"/>
      <c r="T597" s="4"/>
      <c r="U597" s="4"/>
      <c r="V597" s="4"/>
      <c r="W597" s="4"/>
      <c r="X597" s="4"/>
      <c r="Y597" s="4"/>
      <c r="Z597" s="4"/>
      <c r="AA597" s="21"/>
    </row>
    <row r="598">
      <c r="A598" s="4"/>
      <c r="B598" s="4"/>
      <c r="C598" s="4"/>
      <c r="D598" s="26"/>
      <c r="E598" s="4"/>
      <c r="F598" s="4"/>
      <c r="G598" s="4"/>
      <c r="H598" s="4"/>
      <c r="I598" s="4"/>
      <c r="J598" s="4"/>
      <c r="K598" s="4"/>
      <c r="L598" s="4"/>
      <c r="M598" s="4"/>
      <c r="N598" s="4"/>
      <c r="O598" s="4"/>
      <c r="P598" s="4"/>
      <c r="Q598" s="4"/>
      <c r="R598" s="4"/>
      <c r="S598" s="4"/>
      <c r="T598" s="4"/>
      <c r="U598" s="4"/>
      <c r="V598" s="4"/>
      <c r="W598" s="4"/>
      <c r="X598" s="4"/>
      <c r="Y598" s="4"/>
      <c r="Z598" s="4"/>
      <c r="AA598" s="21"/>
    </row>
    <row r="599">
      <c r="A599" s="4"/>
      <c r="B599" s="4"/>
      <c r="C599" s="4"/>
      <c r="D599" s="26"/>
      <c r="E599" s="4"/>
      <c r="F599" s="4"/>
      <c r="G599" s="4"/>
      <c r="H599" s="4"/>
      <c r="I599" s="4"/>
      <c r="J599" s="4"/>
      <c r="K599" s="4"/>
      <c r="L599" s="4"/>
      <c r="M599" s="4"/>
      <c r="N599" s="4"/>
      <c r="O599" s="4"/>
      <c r="P599" s="4"/>
      <c r="Q599" s="4"/>
      <c r="R599" s="4"/>
      <c r="S599" s="4"/>
      <c r="T599" s="4"/>
      <c r="U599" s="4"/>
      <c r="V599" s="4"/>
      <c r="W599" s="4"/>
      <c r="X599" s="4"/>
      <c r="Y599" s="4"/>
      <c r="Z599" s="4"/>
      <c r="AA599" s="21"/>
    </row>
    <row r="600">
      <c r="A600" s="4"/>
      <c r="B600" s="4"/>
      <c r="C600" s="4"/>
      <c r="D600" s="26"/>
      <c r="E600" s="4"/>
      <c r="F600" s="4"/>
      <c r="G600" s="4"/>
      <c r="H600" s="4"/>
      <c r="I600" s="4"/>
      <c r="J600" s="4"/>
      <c r="K600" s="4"/>
      <c r="L600" s="4"/>
      <c r="M600" s="4"/>
      <c r="N600" s="4"/>
      <c r="O600" s="4"/>
      <c r="P600" s="4"/>
      <c r="Q600" s="4"/>
      <c r="R600" s="4"/>
      <c r="S600" s="4"/>
      <c r="T600" s="4"/>
      <c r="U600" s="4"/>
      <c r="V600" s="4"/>
      <c r="W600" s="4"/>
      <c r="X600" s="4"/>
      <c r="Y600" s="4"/>
      <c r="Z600" s="4"/>
      <c r="AA600" s="21"/>
    </row>
    <row r="601">
      <c r="A601" s="4"/>
      <c r="B601" s="4"/>
      <c r="C601" s="4"/>
      <c r="D601" s="26"/>
      <c r="E601" s="4"/>
      <c r="F601" s="4"/>
      <c r="G601" s="4"/>
      <c r="H601" s="4"/>
      <c r="I601" s="4"/>
      <c r="J601" s="4"/>
      <c r="K601" s="4"/>
      <c r="L601" s="4"/>
      <c r="M601" s="4"/>
      <c r="N601" s="4"/>
      <c r="O601" s="4"/>
      <c r="P601" s="4"/>
      <c r="Q601" s="4"/>
      <c r="R601" s="4"/>
      <c r="S601" s="4"/>
      <c r="T601" s="4"/>
      <c r="U601" s="4"/>
      <c r="V601" s="4"/>
      <c r="W601" s="4"/>
      <c r="X601" s="4"/>
      <c r="Y601" s="4"/>
      <c r="Z601" s="4"/>
      <c r="AA601" s="21"/>
    </row>
    <row r="602">
      <c r="A602" s="4"/>
      <c r="B602" s="4"/>
      <c r="C602" s="4"/>
      <c r="D602" s="26"/>
      <c r="E602" s="4"/>
      <c r="F602" s="4"/>
      <c r="G602" s="4"/>
      <c r="H602" s="4"/>
      <c r="I602" s="4"/>
      <c r="J602" s="4"/>
      <c r="K602" s="4"/>
      <c r="L602" s="4"/>
      <c r="M602" s="4"/>
      <c r="N602" s="4"/>
      <c r="O602" s="4"/>
      <c r="P602" s="4"/>
      <c r="Q602" s="4"/>
      <c r="R602" s="4"/>
      <c r="S602" s="4"/>
      <c r="T602" s="4"/>
      <c r="U602" s="4"/>
      <c r="V602" s="4"/>
      <c r="W602" s="4"/>
      <c r="X602" s="4"/>
      <c r="Y602" s="4"/>
      <c r="Z602" s="4"/>
      <c r="AA602" s="21"/>
    </row>
    <row r="603">
      <c r="A603" s="4"/>
      <c r="B603" s="4"/>
      <c r="C603" s="4"/>
      <c r="D603" s="26"/>
      <c r="E603" s="4"/>
      <c r="F603" s="4"/>
      <c r="G603" s="4"/>
      <c r="H603" s="4"/>
      <c r="I603" s="4"/>
      <c r="J603" s="4"/>
      <c r="K603" s="4"/>
      <c r="L603" s="4"/>
      <c r="M603" s="4"/>
      <c r="N603" s="4"/>
      <c r="O603" s="4"/>
      <c r="P603" s="4"/>
      <c r="Q603" s="4"/>
      <c r="R603" s="4"/>
      <c r="S603" s="4"/>
      <c r="T603" s="4"/>
      <c r="U603" s="4"/>
      <c r="V603" s="4"/>
      <c r="W603" s="4"/>
      <c r="X603" s="4"/>
      <c r="Y603" s="4"/>
      <c r="Z603" s="4"/>
      <c r="AA603" s="21"/>
    </row>
    <row r="604">
      <c r="A604" s="4"/>
      <c r="B604" s="4"/>
      <c r="C604" s="4"/>
      <c r="D604" s="26"/>
      <c r="E604" s="4"/>
      <c r="F604" s="4"/>
      <c r="G604" s="4"/>
      <c r="H604" s="4"/>
      <c r="I604" s="4"/>
      <c r="J604" s="4"/>
      <c r="K604" s="4"/>
      <c r="L604" s="4"/>
      <c r="M604" s="4"/>
      <c r="N604" s="4"/>
      <c r="O604" s="4"/>
      <c r="P604" s="4"/>
      <c r="Q604" s="4"/>
      <c r="R604" s="4"/>
      <c r="S604" s="4"/>
      <c r="T604" s="4"/>
      <c r="U604" s="4"/>
      <c r="V604" s="4"/>
      <c r="W604" s="4"/>
      <c r="X604" s="4"/>
      <c r="Y604" s="4"/>
      <c r="Z604" s="4"/>
      <c r="AA604" s="21"/>
    </row>
    <row r="605">
      <c r="A605" s="4"/>
      <c r="B605" s="4"/>
      <c r="C605" s="4"/>
      <c r="D605" s="26"/>
      <c r="E605" s="4"/>
      <c r="F605" s="4"/>
      <c r="G605" s="4"/>
      <c r="H605" s="4"/>
      <c r="I605" s="4"/>
      <c r="J605" s="4"/>
      <c r="K605" s="4"/>
      <c r="L605" s="4"/>
      <c r="M605" s="4"/>
      <c r="N605" s="4"/>
      <c r="O605" s="4"/>
      <c r="P605" s="4"/>
      <c r="Q605" s="4"/>
      <c r="R605" s="4"/>
      <c r="S605" s="4"/>
      <c r="T605" s="4"/>
      <c r="U605" s="4"/>
      <c r="V605" s="4"/>
      <c r="W605" s="4"/>
      <c r="X605" s="4"/>
      <c r="Y605" s="4"/>
      <c r="Z605" s="4"/>
      <c r="AA605" s="21"/>
    </row>
    <row r="606">
      <c r="A606" s="4"/>
      <c r="B606" s="4"/>
      <c r="C606" s="4"/>
      <c r="D606" s="26"/>
      <c r="E606" s="4"/>
      <c r="F606" s="4"/>
      <c r="G606" s="4"/>
      <c r="H606" s="4"/>
      <c r="I606" s="4"/>
      <c r="J606" s="4"/>
      <c r="K606" s="4"/>
      <c r="L606" s="4"/>
      <c r="M606" s="4"/>
      <c r="N606" s="4"/>
      <c r="O606" s="4"/>
      <c r="P606" s="4"/>
      <c r="Q606" s="4"/>
      <c r="R606" s="4"/>
      <c r="S606" s="4"/>
      <c r="T606" s="4"/>
      <c r="U606" s="4"/>
      <c r="V606" s="4"/>
      <c r="W606" s="4"/>
      <c r="X606" s="4"/>
      <c r="Y606" s="4"/>
      <c r="Z606" s="4"/>
      <c r="AA606" s="21"/>
    </row>
    <row r="607">
      <c r="A607" s="4"/>
      <c r="B607" s="4"/>
      <c r="C607" s="4"/>
      <c r="D607" s="26"/>
      <c r="E607" s="4"/>
      <c r="F607" s="4"/>
      <c r="G607" s="4"/>
      <c r="H607" s="4"/>
      <c r="I607" s="4"/>
      <c r="J607" s="4"/>
      <c r="K607" s="4"/>
      <c r="L607" s="4"/>
      <c r="M607" s="4"/>
      <c r="N607" s="4"/>
      <c r="O607" s="4"/>
      <c r="P607" s="4"/>
      <c r="Q607" s="4"/>
      <c r="R607" s="4"/>
      <c r="S607" s="4"/>
      <c r="T607" s="4"/>
      <c r="U607" s="4"/>
      <c r="V607" s="4"/>
      <c r="W607" s="4"/>
      <c r="X607" s="4"/>
      <c r="Y607" s="4"/>
      <c r="Z607" s="4"/>
      <c r="AA607" s="21"/>
    </row>
    <row r="608">
      <c r="A608" s="4"/>
      <c r="B608" s="4"/>
      <c r="C608" s="4"/>
      <c r="D608" s="26"/>
      <c r="E608" s="4"/>
      <c r="F608" s="4"/>
      <c r="G608" s="4"/>
      <c r="H608" s="4"/>
      <c r="I608" s="4"/>
      <c r="J608" s="4"/>
      <c r="K608" s="4"/>
      <c r="L608" s="4"/>
      <c r="M608" s="4"/>
      <c r="N608" s="4"/>
      <c r="O608" s="4"/>
      <c r="P608" s="4"/>
      <c r="Q608" s="4"/>
      <c r="R608" s="4"/>
      <c r="S608" s="4"/>
      <c r="T608" s="4"/>
      <c r="U608" s="4"/>
      <c r="V608" s="4"/>
      <c r="W608" s="4"/>
      <c r="X608" s="4"/>
      <c r="Y608" s="4"/>
      <c r="Z608" s="4"/>
      <c r="AA608" s="21"/>
    </row>
    <row r="609">
      <c r="A609" s="4"/>
      <c r="B609" s="4"/>
      <c r="C609" s="4"/>
      <c r="D609" s="26"/>
      <c r="E609" s="4"/>
      <c r="F609" s="4"/>
      <c r="G609" s="4"/>
      <c r="H609" s="4"/>
      <c r="I609" s="4"/>
      <c r="J609" s="4"/>
      <c r="K609" s="4"/>
      <c r="L609" s="4"/>
      <c r="M609" s="4"/>
      <c r="N609" s="4"/>
      <c r="O609" s="4"/>
      <c r="P609" s="4"/>
      <c r="Q609" s="4"/>
      <c r="R609" s="4"/>
      <c r="S609" s="4"/>
      <c r="T609" s="4"/>
      <c r="U609" s="4"/>
      <c r="V609" s="4"/>
      <c r="W609" s="4"/>
      <c r="X609" s="4"/>
      <c r="Y609" s="4"/>
      <c r="Z609" s="4"/>
      <c r="AA609" s="21"/>
    </row>
    <row r="610">
      <c r="A610" s="4"/>
      <c r="B610" s="4"/>
      <c r="C610" s="4"/>
      <c r="D610" s="26"/>
      <c r="E610" s="4"/>
      <c r="F610" s="4"/>
      <c r="G610" s="4"/>
      <c r="H610" s="4"/>
      <c r="I610" s="4"/>
      <c r="J610" s="4"/>
      <c r="K610" s="4"/>
      <c r="L610" s="4"/>
      <c r="M610" s="4"/>
      <c r="N610" s="4"/>
      <c r="O610" s="4"/>
      <c r="P610" s="4"/>
      <c r="Q610" s="4"/>
      <c r="R610" s="4"/>
      <c r="S610" s="4"/>
      <c r="T610" s="4"/>
      <c r="U610" s="4"/>
      <c r="V610" s="4"/>
      <c r="W610" s="4"/>
      <c r="X610" s="4"/>
      <c r="Y610" s="4"/>
      <c r="Z610" s="4"/>
      <c r="AA610" s="21"/>
    </row>
    <row r="611">
      <c r="A611" s="4"/>
      <c r="B611" s="4"/>
      <c r="C611" s="4"/>
      <c r="D611" s="26"/>
      <c r="E611" s="4"/>
      <c r="F611" s="4"/>
      <c r="G611" s="4"/>
      <c r="H611" s="4"/>
      <c r="I611" s="4"/>
      <c r="J611" s="4"/>
      <c r="K611" s="4"/>
      <c r="L611" s="4"/>
      <c r="M611" s="4"/>
      <c r="N611" s="4"/>
      <c r="O611" s="4"/>
      <c r="P611" s="4"/>
      <c r="Q611" s="4"/>
      <c r="R611" s="4"/>
      <c r="S611" s="4"/>
      <c r="T611" s="4"/>
      <c r="U611" s="4"/>
      <c r="V611" s="4"/>
      <c r="W611" s="4"/>
      <c r="X611" s="4"/>
      <c r="Y611" s="4"/>
      <c r="Z611" s="4"/>
      <c r="AA611" s="21"/>
    </row>
    <row r="612">
      <c r="A612" s="4"/>
      <c r="B612" s="4"/>
      <c r="C612" s="4"/>
      <c r="D612" s="26"/>
      <c r="E612" s="4"/>
      <c r="F612" s="4"/>
      <c r="G612" s="4"/>
      <c r="H612" s="4"/>
      <c r="I612" s="4"/>
      <c r="J612" s="4"/>
      <c r="K612" s="4"/>
      <c r="L612" s="4"/>
      <c r="M612" s="4"/>
      <c r="N612" s="4"/>
      <c r="O612" s="4"/>
      <c r="P612" s="4"/>
      <c r="Q612" s="4"/>
      <c r="R612" s="4"/>
      <c r="S612" s="4"/>
      <c r="T612" s="4"/>
      <c r="U612" s="4"/>
      <c r="V612" s="4"/>
      <c r="W612" s="4"/>
      <c r="X612" s="4"/>
      <c r="Y612" s="4"/>
      <c r="Z612" s="4"/>
      <c r="AA612" s="21"/>
    </row>
    <row r="613">
      <c r="A613" s="4"/>
      <c r="B613" s="4"/>
      <c r="C613" s="4"/>
      <c r="D613" s="26"/>
      <c r="E613" s="4"/>
      <c r="F613" s="4"/>
      <c r="G613" s="4"/>
      <c r="H613" s="4"/>
      <c r="I613" s="4"/>
      <c r="J613" s="4"/>
      <c r="K613" s="4"/>
      <c r="L613" s="4"/>
      <c r="M613" s="4"/>
      <c r="N613" s="4"/>
      <c r="O613" s="4"/>
      <c r="P613" s="4"/>
      <c r="Q613" s="4"/>
      <c r="R613" s="4"/>
      <c r="S613" s="4"/>
      <c r="T613" s="4"/>
      <c r="U613" s="4"/>
      <c r="V613" s="4"/>
      <c r="W613" s="4"/>
      <c r="X613" s="4"/>
      <c r="Y613" s="4"/>
      <c r="Z613" s="4"/>
      <c r="AA613" s="21"/>
    </row>
    <row r="614">
      <c r="A614" s="4"/>
      <c r="B614" s="4"/>
      <c r="C614" s="4"/>
      <c r="D614" s="26"/>
      <c r="E614" s="4"/>
      <c r="F614" s="4"/>
      <c r="G614" s="4"/>
      <c r="H614" s="4"/>
      <c r="I614" s="4"/>
      <c r="J614" s="4"/>
      <c r="K614" s="4"/>
      <c r="L614" s="4"/>
      <c r="M614" s="4"/>
      <c r="N614" s="4"/>
      <c r="O614" s="4"/>
      <c r="P614" s="4"/>
      <c r="Q614" s="4"/>
      <c r="R614" s="4"/>
      <c r="S614" s="4"/>
      <c r="T614" s="4"/>
      <c r="U614" s="4"/>
      <c r="V614" s="4"/>
      <c r="W614" s="4"/>
      <c r="X614" s="4"/>
      <c r="Y614" s="4"/>
      <c r="Z614" s="4"/>
      <c r="AA614" s="21"/>
    </row>
    <row r="615">
      <c r="A615" s="4"/>
      <c r="B615" s="4"/>
      <c r="C615" s="4"/>
      <c r="D615" s="26"/>
      <c r="E615" s="4"/>
      <c r="F615" s="4"/>
      <c r="G615" s="4"/>
      <c r="H615" s="4"/>
      <c r="I615" s="4"/>
      <c r="J615" s="4"/>
      <c r="K615" s="4"/>
      <c r="L615" s="4"/>
      <c r="M615" s="4"/>
      <c r="N615" s="4"/>
      <c r="O615" s="4"/>
      <c r="P615" s="4"/>
      <c r="Q615" s="4"/>
      <c r="R615" s="4"/>
      <c r="S615" s="4"/>
      <c r="T615" s="4"/>
      <c r="U615" s="4"/>
      <c r="V615" s="4"/>
      <c r="W615" s="4"/>
      <c r="X615" s="4"/>
      <c r="Y615" s="4"/>
      <c r="Z615" s="4"/>
      <c r="AA615" s="21"/>
    </row>
    <row r="616">
      <c r="A616" s="4"/>
      <c r="B616" s="4"/>
      <c r="C616" s="4"/>
      <c r="D616" s="26"/>
      <c r="E616" s="4"/>
      <c r="F616" s="4"/>
      <c r="G616" s="4"/>
      <c r="H616" s="4"/>
      <c r="I616" s="4"/>
      <c r="J616" s="4"/>
      <c r="K616" s="4"/>
      <c r="L616" s="4"/>
      <c r="M616" s="4"/>
      <c r="N616" s="4"/>
      <c r="O616" s="4"/>
      <c r="P616" s="4"/>
      <c r="Q616" s="4"/>
      <c r="R616" s="4"/>
      <c r="S616" s="4"/>
      <c r="T616" s="4"/>
      <c r="U616" s="4"/>
      <c r="V616" s="4"/>
      <c r="W616" s="4"/>
      <c r="X616" s="4"/>
      <c r="Y616" s="4"/>
      <c r="Z616" s="4"/>
      <c r="AA616" s="21"/>
    </row>
    <row r="617">
      <c r="A617" s="4"/>
      <c r="B617" s="4"/>
      <c r="C617" s="4"/>
      <c r="D617" s="26"/>
      <c r="E617" s="4"/>
      <c r="F617" s="4"/>
      <c r="G617" s="4"/>
      <c r="H617" s="4"/>
      <c r="I617" s="4"/>
      <c r="J617" s="4"/>
      <c r="K617" s="4"/>
      <c r="L617" s="4"/>
      <c r="M617" s="4"/>
      <c r="N617" s="4"/>
      <c r="O617" s="4"/>
      <c r="P617" s="4"/>
      <c r="Q617" s="4"/>
      <c r="R617" s="4"/>
      <c r="S617" s="4"/>
      <c r="T617" s="4"/>
      <c r="U617" s="4"/>
      <c r="V617" s="4"/>
      <c r="W617" s="4"/>
      <c r="X617" s="4"/>
      <c r="Y617" s="4"/>
      <c r="Z617" s="4"/>
      <c r="AA617" s="21"/>
    </row>
    <row r="618">
      <c r="A618" s="4"/>
      <c r="B618" s="4"/>
      <c r="C618" s="4"/>
      <c r="D618" s="26"/>
      <c r="E618" s="4"/>
      <c r="F618" s="4"/>
      <c r="G618" s="4"/>
      <c r="H618" s="4"/>
      <c r="I618" s="4"/>
      <c r="J618" s="4"/>
      <c r="K618" s="4"/>
      <c r="L618" s="4"/>
      <c r="M618" s="4"/>
      <c r="N618" s="4"/>
      <c r="O618" s="4"/>
      <c r="P618" s="4"/>
      <c r="Q618" s="4"/>
      <c r="R618" s="4"/>
      <c r="S618" s="4"/>
      <c r="T618" s="4"/>
      <c r="U618" s="4"/>
      <c r="V618" s="4"/>
      <c r="W618" s="4"/>
      <c r="X618" s="4"/>
      <c r="Y618" s="4"/>
      <c r="Z618" s="4"/>
      <c r="AA618" s="21"/>
    </row>
    <row r="619">
      <c r="A619" s="4"/>
      <c r="B619" s="4"/>
      <c r="C619" s="4"/>
      <c r="D619" s="26"/>
      <c r="E619" s="4"/>
      <c r="F619" s="4"/>
      <c r="G619" s="4"/>
      <c r="H619" s="4"/>
      <c r="I619" s="4"/>
      <c r="J619" s="4"/>
      <c r="K619" s="4"/>
      <c r="L619" s="4"/>
      <c r="M619" s="4"/>
      <c r="N619" s="4"/>
      <c r="O619" s="4"/>
      <c r="P619" s="4"/>
      <c r="Q619" s="4"/>
      <c r="R619" s="4"/>
      <c r="S619" s="4"/>
      <c r="T619" s="4"/>
      <c r="U619" s="4"/>
      <c r="V619" s="4"/>
      <c r="W619" s="4"/>
      <c r="X619" s="4"/>
      <c r="Y619" s="4"/>
      <c r="Z619" s="4"/>
      <c r="AA619" s="21"/>
    </row>
    <row r="620">
      <c r="A620" s="4"/>
      <c r="B620" s="4"/>
      <c r="C620" s="4"/>
      <c r="D620" s="26"/>
      <c r="E620" s="4"/>
      <c r="F620" s="4"/>
      <c r="G620" s="4"/>
      <c r="H620" s="4"/>
      <c r="I620" s="4"/>
      <c r="J620" s="4"/>
      <c r="K620" s="4"/>
      <c r="L620" s="4"/>
      <c r="M620" s="4"/>
      <c r="N620" s="4"/>
      <c r="O620" s="4"/>
      <c r="P620" s="4"/>
      <c r="Q620" s="4"/>
      <c r="R620" s="4"/>
      <c r="S620" s="4"/>
      <c r="T620" s="4"/>
      <c r="U620" s="4"/>
      <c r="V620" s="4"/>
      <c r="W620" s="4"/>
      <c r="X620" s="4"/>
      <c r="Y620" s="4"/>
      <c r="Z620" s="4"/>
      <c r="AA620" s="21"/>
    </row>
    <row r="621">
      <c r="A621" s="4"/>
      <c r="B621" s="4"/>
      <c r="C621" s="4"/>
      <c r="D621" s="26"/>
      <c r="E621" s="4"/>
      <c r="F621" s="4"/>
      <c r="G621" s="4"/>
      <c r="H621" s="4"/>
      <c r="I621" s="4"/>
      <c r="J621" s="4"/>
      <c r="K621" s="4"/>
      <c r="L621" s="4"/>
      <c r="M621" s="4"/>
      <c r="N621" s="4"/>
      <c r="O621" s="4"/>
      <c r="P621" s="4"/>
      <c r="Q621" s="4"/>
      <c r="R621" s="4"/>
      <c r="S621" s="4"/>
      <c r="T621" s="4"/>
      <c r="U621" s="4"/>
      <c r="V621" s="4"/>
      <c r="W621" s="4"/>
      <c r="X621" s="4"/>
      <c r="Y621" s="4"/>
      <c r="Z621" s="4"/>
      <c r="AA621" s="21"/>
    </row>
    <row r="622">
      <c r="A622" s="4"/>
      <c r="B622" s="4"/>
      <c r="C622" s="4"/>
      <c r="D622" s="26"/>
      <c r="E622" s="4"/>
      <c r="F622" s="4"/>
      <c r="G622" s="4"/>
      <c r="H622" s="4"/>
      <c r="I622" s="4"/>
      <c r="J622" s="4"/>
      <c r="K622" s="4"/>
      <c r="L622" s="4"/>
      <c r="M622" s="4"/>
      <c r="N622" s="4"/>
      <c r="O622" s="4"/>
      <c r="P622" s="4"/>
      <c r="Q622" s="4"/>
      <c r="R622" s="4"/>
      <c r="S622" s="4"/>
      <c r="T622" s="4"/>
      <c r="U622" s="4"/>
      <c r="V622" s="4"/>
      <c r="W622" s="4"/>
      <c r="X622" s="4"/>
      <c r="Y622" s="4"/>
      <c r="Z622" s="4"/>
      <c r="AA622" s="21"/>
    </row>
    <row r="623">
      <c r="A623" s="4"/>
      <c r="B623" s="4"/>
      <c r="C623" s="4"/>
      <c r="D623" s="26"/>
      <c r="E623" s="4"/>
      <c r="F623" s="4"/>
      <c r="G623" s="4"/>
      <c r="H623" s="4"/>
      <c r="I623" s="4"/>
      <c r="J623" s="4"/>
      <c r="K623" s="4"/>
      <c r="L623" s="4"/>
      <c r="M623" s="4"/>
      <c r="N623" s="4"/>
      <c r="O623" s="4"/>
      <c r="P623" s="4"/>
      <c r="Q623" s="4"/>
      <c r="R623" s="4"/>
      <c r="S623" s="4"/>
      <c r="T623" s="4"/>
      <c r="U623" s="4"/>
      <c r="V623" s="4"/>
      <c r="W623" s="4"/>
      <c r="X623" s="4"/>
      <c r="Y623" s="4"/>
      <c r="Z623" s="4"/>
      <c r="AA623" s="21"/>
    </row>
    <row r="624">
      <c r="A624" s="4"/>
      <c r="B624" s="4"/>
      <c r="C624" s="4"/>
      <c r="D624" s="26"/>
      <c r="E624" s="4"/>
      <c r="F624" s="4"/>
      <c r="G624" s="4"/>
      <c r="H624" s="4"/>
      <c r="I624" s="4"/>
      <c r="J624" s="4"/>
      <c r="K624" s="4"/>
      <c r="L624" s="4"/>
      <c r="M624" s="4"/>
      <c r="N624" s="4"/>
      <c r="O624" s="4"/>
      <c r="P624" s="4"/>
      <c r="Q624" s="4"/>
      <c r="R624" s="4"/>
      <c r="S624" s="4"/>
      <c r="T624" s="4"/>
      <c r="U624" s="4"/>
      <c r="V624" s="4"/>
      <c r="W624" s="4"/>
      <c r="X624" s="4"/>
      <c r="Y624" s="4"/>
      <c r="Z624" s="4"/>
      <c r="AA624" s="21"/>
    </row>
    <row r="625">
      <c r="A625" s="4"/>
      <c r="B625" s="4"/>
      <c r="C625" s="4"/>
      <c r="D625" s="26"/>
      <c r="E625" s="4"/>
      <c r="F625" s="4"/>
      <c r="G625" s="4"/>
      <c r="H625" s="4"/>
      <c r="I625" s="4"/>
      <c r="J625" s="4"/>
      <c r="K625" s="4"/>
      <c r="L625" s="4"/>
      <c r="M625" s="4"/>
      <c r="N625" s="4"/>
      <c r="O625" s="4"/>
      <c r="P625" s="4"/>
      <c r="Q625" s="4"/>
      <c r="R625" s="4"/>
      <c r="S625" s="4"/>
      <c r="T625" s="4"/>
      <c r="U625" s="4"/>
      <c r="V625" s="4"/>
      <c r="W625" s="4"/>
      <c r="X625" s="4"/>
      <c r="Y625" s="4"/>
      <c r="Z625" s="4"/>
      <c r="AA625" s="21"/>
    </row>
    <row r="626">
      <c r="A626" s="4"/>
      <c r="B626" s="4"/>
      <c r="C626" s="4"/>
      <c r="D626" s="26"/>
      <c r="E626" s="4"/>
      <c r="F626" s="4"/>
      <c r="G626" s="4"/>
      <c r="H626" s="4"/>
      <c r="I626" s="4"/>
      <c r="J626" s="4"/>
      <c r="K626" s="4"/>
      <c r="L626" s="4"/>
      <c r="M626" s="4"/>
      <c r="N626" s="4"/>
      <c r="O626" s="4"/>
      <c r="P626" s="4"/>
      <c r="Q626" s="4"/>
      <c r="R626" s="4"/>
      <c r="S626" s="4"/>
      <c r="T626" s="4"/>
      <c r="U626" s="4"/>
      <c r="V626" s="4"/>
      <c r="W626" s="4"/>
      <c r="X626" s="4"/>
      <c r="Y626" s="4"/>
      <c r="Z626" s="4"/>
      <c r="AA626" s="21"/>
    </row>
    <row r="627">
      <c r="A627" s="4"/>
      <c r="B627" s="4"/>
      <c r="C627" s="4"/>
      <c r="D627" s="26"/>
      <c r="E627" s="4"/>
      <c r="F627" s="4"/>
      <c r="G627" s="4"/>
      <c r="H627" s="4"/>
      <c r="I627" s="4"/>
      <c r="J627" s="4"/>
      <c r="K627" s="4"/>
      <c r="L627" s="4"/>
      <c r="M627" s="4"/>
      <c r="N627" s="4"/>
      <c r="O627" s="4"/>
      <c r="P627" s="4"/>
      <c r="Q627" s="4"/>
      <c r="R627" s="4"/>
      <c r="S627" s="4"/>
      <c r="T627" s="4"/>
      <c r="U627" s="4"/>
      <c r="V627" s="4"/>
      <c r="W627" s="4"/>
      <c r="X627" s="4"/>
      <c r="Y627" s="4"/>
      <c r="Z627" s="4"/>
      <c r="AA627" s="21"/>
    </row>
    <row r="628">
      <c r="A628" s="4"/>
      <c r="B628" s="4"/>
      <c r="C628" s="4"/>
      <c r="D628" s="26"/>
      <c r="E628" s="4"/>
      <c r="F628" s="4"/>
      <c r="G628" s="4"/>
      <c r="H628" s="4"/>
      <c r="I628" s="4"/>
      <c r="J628" s="4"/>
      <c r="K628" s="4"/>
      <c r="L628" s="4"/>
      <c r="M628" s="4"/>
      <c r="N628" s="4"/>
      <c r="O628" s="4"/>
      <c r="P628" s="4"/>
      <c r="Q628" s="4"/>
      <c r="R628" s="4"/>
      <c r="S628" s="4"/>
      <c r="T628" s="4"/>
      <c r="U628" s="4"/>
      <c r="V628" s="4"/>
      <c r="W628" s="4"/>
      <c r="X628" s="4"/>
      <c r="Y628" s="4"/>
      <c r="Z628" s="4"/>
      <c r="AA628" s="21"/>
    </row>
    <row r="629">
      <c r="A629" s="4"/>
      <c r="B629" s="4"/>
      <c r="C629" s="4"/>
      <c r="D629" s="26"/>
      <c r="E629" s="4"/>
      <c r="F629" s="4"/>
      <c r="G629" s="4"/>
      <c r="H629" s="4"/>
      <c r="I629" s="4"/>
      <c r="J629" s="4"/>
      <c r="K629" s="4"/>
      <c r="L629" s="4"/>
      <c r="M629" s="4"/>
      <c r="N629" s="4"/>
      <c r="O629" s="4"/>
      <c r="P629" s="4"/>
      <c r="Q629" s="4"/>
      <c r="R629" s="4"/>
      <c r="S629" s="4"/>
      <c r="T629" s="4"/>
      <c r="U629" s="4"/>
      <c r="V629" s="4"/>
      <c r="W629" s="4"/>
      <c r="X629" s="4"/>
      <c r="Y629" s="4"/>
      <c r="Z629" s="4"/>
      <c r="AA629" s="21"/>
    </row>
    <row r="630">
      <c r="A630" s="4"/>
      <c r="B630" s="4"/>
      <c r="C630" s="4"/>
      <c r="D630" s="26"/>
      <c r="E630" s="4"/>
      <c r="F630" s="4"/>
      <c r="G630" s="4"/>
      <c r="H630" s="4"/>
      <c r="I630" s="4"/>
      <c r="J630" s="4"/>
      <c r="K630" s="4"/>
      <c r="L630" s="4"/>
      <c r="M630" s="4"/>
      <c r="N630" s="4"/>
      <c r="O630" s="4"/>
      <c r="P630" s="4"/>
      <c r="Q630" s="4"/>
      <c r="R630" s="4"/>
      <c r="S630" s="4"/>
      <c r="T630" s="4"/>
      <c r="U630" s="4"/>
      <c r="V630" s="4"/>
      <c r="W630" s="4"/>
      <c r="X630" s="4"/>
      <c r="Y630" s="4"/>
      <c r="Z630" s="4"/>
      <c r="AA630" s="21"/>
    </row>
    <row r="631">
      <c r="A631" s="4"/>
      <c r="B631" s="4"/>
      <c r="C631" s="4"/>
      <c r="D631" s="26"/>
      <c r="E631" s="4"/>
      <c r="F631" s="4"/>
      <c r="G631" s="4"/>
      <c r="H631" s="4"/>
      <c r="I631" s="4"/>
      <c r="J631" s="4"/>
      <c r="K631" s="4"/>
      <c r="L631" s="4"/>
      <c r="M631" s="4"/>
      <c r="N631" s="4"/>
      <c r="O631" s="4"/>
      <c r="P631" s="4"/>
      <c r="Q631" s="4"/>
      <c r="R631" s="4"/>
      <c r="S631" s="4"/>
      <c r="T631" s="4"/>
      <c r="U631" s="4"/>
      <c r="V631" s="4"/>
      <c r="W631" s="4"/>
      <c r="X631" s="4"/>
      <c r="Y631" s="4"/>
      <c r="Z631" s="4"/>
      <c r="AA631" s="21"/>
    </row>
    <row r="632">
      <c r="A632" s="4"/>
      <c r="B632" s="4"/>
      <c r="C632" s="4"/>
      <c r="D632" s="26"/>
      <c r="E632" s="4"/>
      <c r="F632" s="4"/>
      <c r="G632" s="4"/>
      <c r="H632" s="4"/>
      <c r="I632" s="4"/>
      <c r="J632" s="4"/>
      <c r="K632" s="4"/>
      <c r="L632" s="4"/>
      <c r="M632" s="4"/>
      <c r="N632" s="4"/>
      <c r="O632" s="4"/>
      <c r="P632" s="4"/>
      <c r="Q632" s="4"/>
      <c r="R632" s="4"/>
      <c r="S632" s="4"/>
      <c r="T632" s="4"/>
      <c r="U632" s="4"/>
      <c r="V632" s="4"/>
      <c r="W632" s="4"/>
      <c r="X632" s="4"/>
      <c r="Y632" s="4"/>
      <c r="Z632" s="4"/>
      <c r="AA632" s="21"/>
    </row>
    <row r="633">
      <c r="A633" s="4"/>
      <c r="B633" s="4"/>
      <c r="C633" s="4"/>
      <c r="D633" s="26"/>
      <c r="E633" s="4"/>
      <c r="F633" s="4"/>
      <c r="G633" s="4"/>
      <c r="H633" s="4"/>
      <c r="I633" s="4"/>
      <c r="J633" s="4"/>
      <c r="K633" s="4"/>
      <c r="L633" s="4"/>
      <c r="M633" s="4"/>
      <c r="N633" s="4"/>
      <c r="O633" s="4"/>
      <c r="P633" s="4"/>
      <c r="Q633" s="4"/>
      <c r="R633" s="4"/>
      <c r="S633" s="4"/>
      <c r="T633" s="4"/>
      <c r="U633" s="4"/>
      <c r="V633" s="4"/>
      <c r="W633" s="4"/>
      <c r="X633" s="4"/>
      <c r="Y633" s="4"/>
      <c r="Z633" s="4"/>
      <c r="AA633" s="21"/>
    </row>
    <row r="634">
      <c r="A634" s="4"/>
      <c r="B634" s="4"/>
      <c r="C634" s="4"/>
      <c r="D634" s="26"/>
      <c r="E634" s="4"/>
      <c r="F634" s="4"/>
      <c r="G634" s="4"/>
      <c r="H634" s="4"/>
      <c r="I634" s="4"/>
      <c r="J634" s="4"/>
      <c r="K634" s="4"/>
      <c r="L634" s="4"/>
      <c r="M634" s="4"/>
      <c r="N634" s="4"/>
      <c r="O634" s="4"/>
      <c r="P634" s="4"/>
      <c r="Q634" s="4"/>
      <c r="R634" s="4"/>
      <c r="S634" s="4"/>
      <c r="T634" s="4"/>
      <c r="U634" s="4"/>
      <c r="V634" s="4"/>
      <c r="W634" s="4"/>
      <c r="X634" s="4"/>
      <c r="Y634" s="4"/>
      <c r="Z634" s="4"/>
      <c r="AA634" s="21"/>
    </row>
    <row r="635">
      <c r="A635" s="4"/>
      <c r="B635" s="4"/>
      <c r="C635" s="4"/>
      <c r="D635" s="26"/>
      <c r="E635" s="4"/>
      <c r="F635" s="4"/>
      <c r="G635" s="4"/>
      <c r="H635" s="4"/>
      <c r="I635" s="4"/>
      <c r="J635" s="4"/>
      <c r="K635" s="4"/>
      <c r="L635" s="4"/>
      <c r="M635" s="4"/>
      <c r="N635" s="4"/>
      <c r="O635" s="4"/>
      <c r="P635" s="4"/>
      <c r="Q635" s="4"/>
      <c r="R635" s="4"/>
      <c r="S635" s="4"/>
      <c r="T635" s="4"/>
      <c r="U635" s="4"/>
      <c r="V635" s="4"/>
      <c r="W635" s="4"/>
      <c r="X635" s="4"/>
      <c r="Y635" s="4"/>
      <c r="Z635" s="4"/>
      <c r="AA635" s="21"/>
    </row>
    <row r="636">
      <c r="A636" s="4"/>
      <c r="B636" s="4"/>
      <c r="C636" s="4"/>
      <c r="D636" s="26"/>
      <c r="E636" s="4"/>
      <c r="F636" s="4"/>
      <c r="G636" s="4"/>
      <c r="H636" s="4"/>
      <c r="I636" s="4"/>
      <c r="J636" s="4"/>
      <c r="K636" s="4"/>
      <c r="L636" s="4"/>
      <c r="M636" s="4"/>
      <c r="N636" s="4"/>
      <c r="O636" s="4"/>
      <c r="P636" s="4"/>
      <c r="Q636" s="4"/>
      <c r="R636" s="4"/>
      <c r="S636" s="4"/>
      <c r="T636" s="4"/>
      <c r="U636" s="4"/>
      <c r="V636" s="4"/>
      <c r="W636" s="4"/>
      <c r="X636" s="4"/>
      <c r="Y636" s="4"/>
      <c r="Z636" s="4"/>
      <c r="AA636" s="21"/>
    </row>
    <row r="637">
      <c r="A637" s="4"/>
      <c r="B637" s="4"/>
      <c r="C637" s="4"/>
      <c r="D637" s="26"/>
      <c r="E637" s="4"/>
      <c r="F637" s="4"/>
      <c r="G637" s="4"/>
      <c r="H637" s="4"/>
      <c r="I637" s="4"/>
      <c r="J637" s="4"/>
      <c r="K637" s="4"/>
      <c r="L637" s="4"/>
      <c r="M637" s="4"/>
      <c r="N637" s="4"/>
      <c r="O637" s="4"/>
      <c r="P637" s="4"/>
      <c r="Q637" s="4"/>
      <c r="R637" s="4"/>
      <c r="S637" s="4"/>
      <c r="T637" s="4"/>
      <c r="U637" s="4"/>
      <c r="V637" s="4"/>
      <c r="W637" s="4"/>
      <c r="X637" s="4"/>
      <c r="Y637" s="4"/>
      <c r="Z637" s="4"/>
      <c r="AA637" s="21"/>
    </row>
    <row r="638">
      <c r="A638" s="4"/>
      <c r="B638" s="4"/>
      <c r="C638" s="4"/>
      <c r="D638" s="26"/>
      <c r="E638" s="4"/>
      <c r="F638" s="4"/>
      <c r="G638" s="4"/>
      <c r="H638" s="4"/>
      <c r="I638" s="4"/>
      <c r="J638" s="4"/>
      <c r="K638" s="4"/>
      <c r="L638" s="4"/>
      <c r="M638" s="4"/>
      <c r="N638" s="4"/>
      <c r="O638" s="4"/>
      <c r="P638" s="4"/>
      <c r="Q638" s="4"/>
      <c r="R638" s="4"/>
      <c r="S638" s="4"/>
      <c r="T638" s="4"/>
      <c r="U638" s="4"/>
      <c r="V638" s="4"/>
      <c r="W638" s="4"/>
      <c r="X638" s="4"/>
      <c r="Y638" s="4"/>
      <c r="Z638" s="4"/>
      <c r="AA638" s="21"/>
    </row>
    <row r="639">
      <c r="A639" s="4"/>
      <c r="B639" s="4"/>
      <c r="C639" s="4"/>
      <c r="D639" s="26"/>
      <c r="E639" s="4"/>
      <c r="F639" s="4"/>
      <c r="G639" s="4"/>
      <c r="H639" s="4"/>
      <c r="I639" s="4"/>
      <c r="J639" s="4"/>
      <c r="K639" s="4"/>
      <c r="L639" s="4"/>
      <c r="M639" s="4"/>
      <c r="N639" s="4"/>
      <c r="O639" s="4"/>
      <c r="P639" s="4"/>
      <c r="Q639" s="4"/>
      <c r="R639" s="4"/>
      <c r="S639" s="4"/>
      <c r="T639" s="4"/>
      <c r="U639" s="4"/>
      <c r="V639" s="4"/>
      <c r="W639" s="4"/>
      <c r="X639" s="4"/>
      <c r="Y639" s="4"/>
      <c r="Z639" s="4"/>
      <c r="AA639" s="21"/>
    </row>
    <row r="640">
      <c r="A640" s="4"/>
      <c r="B640" s="4"/>
      <c r="C640" s="4"/>
      <c r="D640" s="26"/>
      <c r="E640" s="4"/>
      <c r="F640" s="4"/>
      <c r="G640" s="4"/>
      <c r="H640" s="4"/>
      <c r="I640" s="4"/>
      <c r="J640" s="4"/>
      <c r="K640" s="4"/>
      <c r="L640" s="4"/>
      <c r="M640" s="4"/>
      <c r="N640" s="4"/>
      <c r="O640" s="4"/>
      <c r="P640" s="4"/>
      <c r="Q640" s="4"/>
      <c r="R640" s="4"/>
      <c r="S640" s="4"/>
      <c r="T640" s="4"/>
      <c r="U640" s="4"/>
      <c r="V640" s="4"/>
      <c r="W640" s="4"/>
      <c r="X640" s="4"/>
      <c r="Y640" s="4"/>
      <c r="Z640" s="4"/>
      <c r="AA640" s="21"/>
    </row>
    <row r="641">
      <c r="A641" s="4"/>
      <c r="B641" s="4"/>
      <c r="C641" s="4"/>
      <c r="D641" s="26"/>
      <c r="E641" s="4"/>
      <c r="F641" s="4"/>
      <c r="G641" s="4"/>
      <c r="H641" s="4"/>
      <c r="I641" s="4"/>
      <c r="J641" s="4"/>
      <c r="K641" s="4"/>
      <c r="L641" s="4"/>
      <c r="M641" s="4"/>
      <c r="N641" s="4"/>
      <c r="O641" s="4"/>
      <c r="P641" s="4"/>
      <c r="Q641" s="4"/>
      <c r="R641" s="4"/>
      <c r="S641" s="4"/>
      <c r="T641" s="4"/>
      <c r="U641" s="4"/>
      <c r="V641" s="4"/>
      <c r="W641" s="4"/>
      <c r="X641" s="4"/>
      <c r="Y641" s="4"/>
      <c r="Z641" s="4"/>
      <c r="AA641" s="21"/>
    </row>
    <row r="642">
      <c r="A642" s="4"/>
      <c r="B642" s="4"/>
      <c r="C642" s="4"/>
      <c r="D642" s="26"/>
      <c r="E642" s="4"/>
      <c r="F642" s="4"/>
      <c r="G642" s="4"/>
      <c r="H642" s="4"/>
      <c r="I642" s="4"/>
      <c r="J642" s="4"/>
      <c r="K642" s="4"/>
      <c r="L642" s="4"/>
      <c r="M642" s="4"/>
      <c r="N642" s="4"/>
      <c r="O642" s="4"/>
      <c r="P642" s="4"/>
      <c r="Q642" s="4"/>
      <c r="R642" s="4"/>
      <c r="S642" s="4"/>
      <c r="T642" s="4"/>
      <c r="U642" s="4"/>
      <c r="V642" s="4"/>
      <c r="W642" s="4"/>
      <c r="X642" s="4"/>
      <c r="Y642" s="4"/>
      <c r="Z642" s="4"/>
      <c r="AA642" s="21"/>
    </row>
    <row r="643">
      <c r="A643" s="4"/>
      <c r="B643" s="4"/>
      <c r="C643" s="4"/>
      <c r="D643" s="26"/>
      <c r="E643" s="4"/>
      <c r="F643" s="4"/>
      <c r="G643" s="4"/>
      <c r="H643" s="4"/>
      <c r="I643" s="4"/>
      <c r="J643" s="4"/>
      <c r="K643" s="4"/>
      <c r="L643" s="4"/>
      <c r="M643" s="4"/>
      <c r="N643" s="4"/>
      <c r="O643" s="4"/>
      <c r="P643" s="4"/>
      <c r="Q643" s="4"/>
      <c r="R643" s="4"/>
      <c r="S643" s="4"/>
      <c r="T643" s="4"/>
      <c r="U643" s="4"/>
      <c r="V643" s="4"/>
      <c r="W643" s="4"/>
      <c r="X643" s="4"/>
      <c r="Y643" s="4"/>
      <c r="Z643" s="4"/>
      <c r="AA643" s="21"/>
    </row>
    <row r="644">
      <c r="A644" s="4"/>
      <c r="B644" s="4"/>
      <c r="C644" s="4"/>
      <c r="D644" s="26"/>
      <c r="E644" s="4"/>
      <c r="F644" s="4"/>
      <c r="G644" s="4"/>
      <c r="H644" s="4"/>
      <c r="I644" s="4"/>
      <c r="J644" s="4"/>
      <c r="K644" s="4"/>
      <c r="L644" s="4"/>
      <c r="M644" s="4"/>
      <c r="N644" s="4"/>
      <c r="O644" s="4"/>
      <c r="P644" s="4"/>
      <c r="Q644" s="4"/>
      <c r="R644" s="4"/>
      <c r="S644" s="4"/>
      <c r="T644" s="4"/>
      <c r="U644" s="4"/>
      <c r="V644" s="4"/>
      <c r="W644" s="4"/>
      <c r="X644" s="4"/>
      <c r="Y644" s="4"/>
      <c r="Z644" s="4"/>
      <c r="AA644" s="21"/>
    </row>
    <row r="645">
      <c r="A645" s="4"/>
      <c r="B645" s="4"/>
      <c r="C645" s="4"/>
      <c r="D645" s="26"/>
      <c r="E645" s="4"/>
      <c r="F645" s="4"/>
      <c r="G645" s="4"/>
      <c r="H645" s="4"/>
      <c r="I645" s="4"/>
      <c r="J645" s="4"/>
      <c r="K645" s="4"/>
      <c r="L645" s="4"/>
      <c r="M645" s="4"/>
      <c r="N645" s="4"/>
      <c r="O645" s="4"/>
      <c r="P645" s="4"/>
      <c r="Q645" s="4"/>
      <c r="R645" s="4"/>
      <c r="S645" s="4"/>
      <c r="T645" s="4"/>
      <c r="U645" s="4"/>
      <c r="V645" s="4"/>
      <c r="W645" s="4"/>
      <c r="X645" s="4"/>
      <c r="Y645" s="4"/>
      <c r="Z645" s="4"/>
      <c r="AA645" s="21"/>
    </row>
    <row r="646">
      <c r="A646" s="4"/>
      <c r="B646" s="4"/>
      <c r="C646" s="4"/>
      <c r="D646" s="26"/>
      <c r="E646" s="4"/>
      <c r="F646" s="4"/>
      <c r="G646" s="4"/>
      <c r="H646" s="4"/>
      <c r="I646" s="4"/>
      <c r="J646" s="4"/>
      <c r="K646" s="4"/>
      <c r="L646" s="4"/>
      <c r="M646" s="4"/>
      <c r="N646" s="4"/>
      <c r="O646" s="4"/>
      <c r="P646" s="4"/>
      <c r="Q646" s="4"/>
      <c r="R646" s="4"/>
      <c r="S646" s="4"/>
      <c r="T646" s="4"/>
      <c r="U646" s="4"/>
      <c r="V646" s="4"/>
      <c r="W646" s="4"/>
      <c r="X646" s="4"/>
      <c r="Y646" s="4"/>
      <c r="Z646" s="4"/>
      <c r="AA646" s="21"/>
    </row>
    <row r="647">
      <c r="A647" s="4"/>
      <c r="B647" s="4"/>
      <c r="C647" s="4"/>
      <c r="D647" s="26"/>
      <c r="E647" s="4"/>
      <c r="F647" s="4"/>
      <c r="G647" s="4"/>
      <c r="H647" s="4"/>
      <c r="I647" s="4"/>
      <c r="J647" s="4"/>
      <c r="K647" s="4"/>
      <c r="L647" s="4"/>
      <c r="M647" s="4"/>
      <c r="N647" s="4"/>
      <c r="O647" s="4"/>
      <c r="P647" s="4"/>
      <c r="Q647" s="4"/>
      <c r="R647" s="4"/>
      <c r="S647" s="4"/>
      <c r="T647" s="4"/>
      <c r="U647" s="4"/>
      <c r="V647" s="4"/>
      <c r="W647" s="4"/>
      <c r="X647" s="4"/>
      <c r="Y647" s="4"/>
      <c r="Z647" s="4"/>
      <c r="AA647" s="21"/>
    </row>
    <row r="648">
      <c r="A648" s="4"/>
      <c r="B648" s="4"/>
      <c r="C648" s="4"/>
      <c r="D648" s="26"/>
      <c r="E648" s="4"/>
      <c r="F648" s="4"/>
      <c r="G648" s="4"/>
      <c r="H648" s="4"/>
      <c r="I648" s="4"/>
      <c r="J648" s="4"/>
      <c r="K648" s="4"/>
      <c r="L648" s="4"/>
      <c r="M648" s="4"/>
      <c r="N648" s="4"/>
      <c r="O648" s="4"/>
      <c r="P648" s="4"/>
      <c r="Q648" s="4"/>
      <c r="R648" s="4"/>
      <c r="S648" s="4"/>
      <c r="T648" s="4"/>
      <c r="U648" s="4"/>
      <c r="V648" s="4"/>
      <c r="W648" s="4"/>
      <c r="X648" s="4"/>
      <c r="Y648" s="4"/>
      <c r="Z648" s="4"/>
      <c r="AA648" s="21"/>
    </row>
    <row r="649">
      <c r="A649" s="4"/>
      <c r="B649" s="4"/>
      <c r="C649" s="4"/>
      <c r="D649" s="26"/>
      <c r="E649" s="4"/>
      <c r="F649" s="4"/>
      <c r="G649" s="4"/>
      <c r="H649" s="4"/>
      <c r="I649" s="4"/>
      <c r="J649" s="4"/>
      <c r="K649" s="4"/>
      <c r="L649" s="4"/>
      <c r="M649" s="4"/>
      <c r="N649" s="4"/>
      <c r="O649" s="4"/>
      <c r="P649" s="4"/>
      <c r="Q649" s="4"/>
      <c r="R649" s="4"/>
      <c r="S649" s="4"/>
      <c r="T649" s="4"/>
      <c r="U649" s="4"/>
      <c r="V649" s="4"/>
      <c r="W649" s="4"/>
      <c r="X649" s="4"/>
      <c r="Y649" s="4"/>
      <c r="Z649" s="4"/>
      <c r="AA649" s="21"/>
    </row>
    <row r="650">
      <c r="A650" s="4"/>
      <c r="B650" s="4"/>
      <c r="C650" s="4"/>
      <c r="D650" s="26"/>
      <c r="E650" s="4"/>
      <c r="F650" s="4"/>
      <c r="G650" s="4"/>
      <c r="H650" s="4"/>
      <c r="I650" s="4"/>
      <c r="J650" s="4"/>
      <c r="K650" s="4"/>
      <c r="L650" s="4"/>
      <c r="M650" s="4"/>
      <c r="N650" s="4"/>
      <c r="O650" s="4"/>
      <c r="P650" s="4"/>
      <c r="Q650" s="4"/>
      <c r="R650" s="4"/>
      <c r="S650" s="4"/>
      <c r="T650" s="4"/>
      <c r="U650" s="4"/>
      <c r="V650" s="4"/>
      <c r="W650" s="4"/>
      <c r="X650" s="4"/>
      <c r="Y650" s="4"/>
      <c r="Z650" s="4"/>
      <c r="AA650" s="21"/>
    </row>
    <row r="651">
      <c r="A651" s="4"/>
      <c r="B651" s="4"/>
      <c r="C651" s="4"/>
      <c r="D651" s="26"/>
      <c r="E651" s="4"/>
      <c r="F651" s="4"/>
      <c r="G651" s="4"/>
      <c r="H651" s="4"/>
      <c r="I651" s="4"/>
      <c r="J651" s="4"/>
      <c r="K651" s="4"/>
      <c r="L651" s="4"/>
      <c r="M651" s="4"/>
      <c r="N651" s="4"/>
      <c r="O651" s="4"/>
      <c r="P651" s="4"/>
      <c r="Q651" s="4"/>
      <c r="R651" s="4"/>
      <c r="S651" s="4"/>
      <c r="T651" s="4"/>
      <c r="U651" s="4"/>
      <c r="V651" s="4"/>
      <c r="W651" s="4"/>
      <c r="X651" s="4"/>
      <c r="Y651" s="4"/>
      <c r="Z651" s="4"/>
      <c r="AA651" s="21"/>
    </row>
    <row r="652">
      <c r="A652" s="4"/>
      <c r="B652" s="4"/>
      <c r="C652" s="4"/>
      <c r="D652" s="26"/>
      <c r="E652" s="4"/>
      <c r="F652" s="4"/>
      <c r="G652" s="4"/>
      <c r="H652" s="4"/>
      <c r="I652" s="4"/>
      <c r="J652" s="4"/>
      <c r="K652" s="4"/>
      <c r="L652" s="4"/>
      <c r="M652" s="4"/>
      <c r="N652" s="4"/>
      <c r="O652" s="4"/>
      <c r="P652" s="4"/>
      <c r="Q652" s="4"/>
      <c r="R652" s="4"/>
      <c r="S652" s="4"/>
      <c r="T652" s="4"/>
      <c r="U652" s="4"/>
      <c r="V652" s="4"/>
      <c r="W652" s="4"/>
      <c r="X652" s="4"/>
      <c r="Y652" s="4"/>
      <c r="Z652" s="4"/>
      <c r="AA652" s="21"/>
    </row>
    <row r="653">
      <c r="A653" s="4"/>
      <c r="B653" s="4"/>
      <c r="C653" s="4"/>
      <c r="D653" s="26"/>
      <c r="E653" s="4"/>
      <c r="F653" s="4"/>
      <c r="G653" s="4"/>
      <c r="H653" s="4"/>
      <c r="I653" s="4"/>
      <c r="J653" s="4"/>
      <c r="K653" s="4"/>
      <c r="L653" s="4"/>
      <c r="M653" s="4"/>
      <c r="N653" s="4"/>
      <c r="O653" s="4"/>
      <c r="P653" s="4"/>
      <c r="Q653" s="4"/>
      <c r="R653" s="4"/>
      <c r="S653" s="4"/>
      <c r="T653" s="4"/>
      <c r="U653" s="4"/>
      <c r="V653" s="4"/>
      <c r="W653" s="4"/>
      <c r="X653" s="4"/>
      <c r="Y653" s="4"/>
      <c r="Z653" s="4"/>
      <c r="AA653" s="21"/>
    </row>
    <row r="654">
      <c r="A654" s="4"/>
      <c r="B654" s="4"/>
      <c r="C654" s="4"/>
      <c r="D654" s="26"/>
      <c r="E654" s="4"/>
      <c r="F654" s="4"/>
      <c r="G654" s="4"/>
      <c r="H654" s="4"/>
      <c r="I654" s="4"/>
      <c r="J654" s="4"/>
      <c r="K654" s="4"/>
      <c r="L654" s="4"/>
      <c r="M654" s="4"/>
      <c r="N654" s="4"/>
      <c r="O654" s="4"/>
      <c r="P654" s="4"/>
      <c r="Q654" s="4"/>
      <c r="R654" s="4"/>
      <c r="S654" s="4"/>
      <c r="T654" s="4"/>
      <c r="U654" s="4"/>
      <c r="V654" s="4"/>
      <c r="W654" s="4"/>
      <c r="X654" s="4"/>
      <c r="Y654" s="4"/>
      <c r="Z654" s="4"/>
      <c r="AA654" s="21"/>
    </row>
    <row r="655">
      <c r="A655" s="4"/>
      <c r="B655" s="4"/>
      <c r="C655" s="4"/>
      <c r="D655" s="26"/>
      <c r="E655" s="4"/>
      <c r="F655" s="4"/>
      <c r="G655" s="4"/>
      <c r="H655" s="4"/>
      <c r="I655" s="4"/>
      <c r="J655" s="4"/>
      <c r="K655" s="4"/>
      <c r="L655" s="4"/>
      <c r="M655" s="4"/>
      <c r="N655" s="4"/>
      <c r="O655" s="4"/>
      <c r="P655" s="4"/>
      <c r="Q655" s="4"/>
      <c r="R655" s="4"/>
      <c r="S655" s="4"/>
      <c r="T655" s="4"/>
      <c r="U655" s="4"/>
      <c r="V655" s="4"/>
      <c r="W655" s="4"/>
      <c r="X655" s="4"/>
      <c r="Y655" s="4"/>
      <c r="Z655" s="4"/>
      <c r="AA655" s="21"/>
    </row>
    <row r="656">
      <c r="A656" s="4"/>
      <c r="B656" s="4"/>
      <c r="C656" s="4"/>
      <c r="D656" s="26"/>
      <c r="E656" s="4"/>
      <c r="F656" s="4"/>
      <c r="G656" s="4"/>
      <c r="H656" s="4"/>
      <c r="I656" s="4"/>
      <c r="J656" s="4"/>
      <c r="K656" s="4"/>
      <c r="L656" s="4"/>
      <c r="M656" s="4"/>
      <c r="N656" s="4"/>
      <c r="O656" s="4"/>
      <c r="P656" s="4"/>
      <c r="Q656" s="4"/>
      <c r="R656" s="4"/>
      <c r="S656" s="4"/>
      <c r="T656" s="4"/>
      <c r="U656" s="4"/>
      <c r="V656" s="4"/>
      <c r="W656" s="4"/>
      <c r="X656" s="4"/>
      <c r="Y656" s="4"/>
      <c r="Z656" s="4"/>
      <c r="AA656" s="21"/>
    </row>
    <row r="657">
      <c r="A657" s="4"/>
      <c r="B657" s="4"/>
      <c r="C657" s="4"/>
      <c r="D657" s="26"/>
      <c r="E657" s="4"/>
      <c r="F657" s="4"/>
      <c r="G657" s="4"/>
      <c r="H657" s="4"/>
      <c r="I657" s="4"/>
      <c r="J657" s="4"/>
      <c r="K657" s="4"/>
      <c r="L657" s="4"/>
      <c r="M657" s="4"/>
      <c r="N657" s="4"/>
      <c r="O657" s="4"/>
      <c r="P657" s="4"/>
      <c r="Q657" s="4"/>
      <c r="R657" s="4"/>
      <c r="S657" s="4"/>
      <c r="T657" s="4"/>
      <c r="U657" s="4"/>
      <c r="V657" s="4"/>
      <c r="W657" s="4"/>
      <c r="X657" s="4"/>
      <c r="Y657" s="4"/>
      <c r="Z657" s="4"/>
      <c r="AA657" s="21"/>
    </row>
    <row r="658">
      <c r="A658" s="4"/>
      <c r="B658" s="4"/>
      <c r="C658" s="4"/>
      <c r="D658" s="26"/>
      <c r="E658" s="4"/>
      <c r="F658" s="4"/>
      <c r="G658" s="4"/>
      <c r="H658" s="4"/>
      <c r="I658" s="4"/>
      <c r="J658" s="4"/>
      <c r="K658" s="4"/>
      <c r="L658" s="4"/>
      <c r="M658" s="4"/>
      <c r="N658" s="4"/>
      <c r="O658" s="4"/>
      <c r="P658" s="4"/>
      <c r="Q658" s="4"/>
      <c r="R658" s="4"/>
      <c r="S658" s="4"/>
      <c r="T658" s="4"/>
      <c r="U658" s="4"/>
      <c r="V658" s="4"/>
      <c r="W658" s="4"/>
      <c r="X658" s="4"/>
      <c r="Y658" s="4"/>
      <c r="Z658" s="4"/>
      <c r="AA658" s="21"/>
    </row>
    <row r="659">
      <c r="A659" s="4"/>
      <c r="B659" s="4"/>
      <c r="C659" s="4"/>
      <c r="D659" s="26"/>
      <c r="E659" s="4"/>
      <c r="F659" s="4"/>
      <c r="G659" s="4"/>
      <c r="H659" s="4"/>
      <c r="I659" s="4"/>
      <c r="J659" s="4"/>
      <c r="K659" s="4"/>
      <c r="L659" s="4"/>
      <c r="M659" s="4"/>
      <c r="N659" s="4"/>
      <c r="O659" s="4"/>
      <c r="P659" s="4"/>
      <c r="Q659" s="4"/>
      <c r="R659" s="4"/>
      <c r="S659" s="4"/>
      <c r="T659" s="4"/>
      <c r="U659" s="4"/>
      <c r="V659" s="4"/>
      <c r="W659" s="4"/>
      <c r="X659" s="4"/>
      <c r="Y659" s="4"/>
      <c r="Z659" s="4"/>
      <c r="AA659" s="21"/>
    </row>
    <row r="660">
      <c r="A660" s="4"/>
      <c r="B660" s="4"/>
      <c r="C660" s="4"/>
      <c r="D660" s="26"/>
      <c r="E660" s="4"/>
      <c r="F660" s="4"/>
      <c r="G660" s="4"/>
      <c r="H660" s="4"/>
      <c r="I660" s="4"/>
      <c r="J660" s="4"/>
      <c r="K660" s="4"/>
      <c r="L660" s="4"/>
      <c r="M660" s="4"/>
      <c r="N660" s="4"/>
      <c r="O660" s="4"/>
      <c r="P660" s="4"/>
      <c r="Q660" s="4"/>
      <c r="R660" s="4"/>
      <c r="S660" s="4"/>
      <c r="T660" s="4"/>
      <c r="U660" s="4"/>
      <c r="V660" s="4"/>
      <c r="W660" s="4"/>
      <c r="X660" s="4"/>
      <c r="Y660" s="4"/>
      <c r="Z660" s="4"/>
      <c r="AA660" s="21"/>
    </row>
    <row r="661">
      <c r="A661" s="4"/>
      <c r="B661" s="4"/>
      <c r="C661" s="4"/>
      <c r="D661" s="26"/>
      <c r="E661" s="4"/>
      <c r="F661" s="4"/>
      <c r="G661" s="4"/>
      <c r="H661" s="4"/>
      <c r="I661" s="4"/>
      <c r="J661" s="4"/>
      <c r="K661" s="4"/>
      <c r="L661" s="4"/>
      <c r="M661" s="4"/>
      <c r="N661" s="4"/>
      <c r="O661" s="4"/>
      <c r="P661" s="4"/>
      <c r="Q661" s="4"/>
      <c r="R661" s="4"/>
      <c r="S661" s="4"/>
      <c r="T661" s="4"/>
      <c r="U661" s="4"/>
      <c r="V661" s="4"/>
      <c r="W661" s="4"/>
      <c r="X661" s="4"/>
      <c r="Y661" s="4"/>
      <c r="Z661" s="4"/>
      <c r="AA661" s="21"/>
    </row>
    <row r="662">
      <c r="A662" s="4"/>
      <c r="B662" s="4"/>
      <c r="C662" s="4"/>
      <c r="D662" s="26"/>
      <c r="E662" s="4"/>
      <c r="F662" s="4"/>
      <c r="G662" s="4"/>
      <c r="H662" s="4"/>
      <c r="I662" s="4"/>
      <c r="J662" s="4"/>
      <c r="K662" s="4"/>
      <c r="L662" s="4"/>
      <c r="M662" s="4"/>
      <c r="N662" s="4"/>
      <c r="O662" s="4"/>
      <c r="P662" s="4"/>
      <c r="Q662" s="4"/>
      <c r="R662" s="4"/>
      <c r="S662" s="4"/>
      <c r="T662" s="4"/>
      <c r="U662" s="4"/>
      <c r="V662" s="4"/>
      <c r="W662" s="4"/>
      <c r="X662" s="4"/>
      <c r="Y662" s="4"/>
      <c r="Z662" s="4"/>
      <c r="AA662" s="21"/>
    </row>
    <row r="663">
      <c r="A663" s="4"/>
      <c r="B663" s="4"/>
      <c r="C663" s="4"/>
      <c r="D663" s="26"/>
      <c r="E663" s="4"/>
      <c r="F663" s="4"/>
      <c r="G663" s="4"/>
      <c r="H663" s="4"/>
      <c r="I663" s="4"/>
      <c r="J663" s="4"/>
      <c r="K663" s="4"/>
      <c r="L663" s="4"/>
      <c r="M663" s="4"/>
      <c r="N663" s="4"/>
      <c r="O663" s="4"/>
      <c r="P663" s="4"/>
      <c r="Q663" s="4"/>
      <c r="R663" s="4"/>
      <c r="S663" s="4"/>
      <c r="T663" s="4"/>
      <c r="U663" s="4"/>
      <c r="V663" s="4"/>
      <c r="W663" s="4"/>
      <c r="X663" s="4"/>
      <c r="Y663" s="4"/>
      <c r="Z663" s="4"/>
      <c r="AA663" s="21"/>
    </row>
    <row r="664">
      <c r="A664" s="4"/>
      <c r="B664" s="4"/>
      <c r="C664" s="4"/>
      <c r="D664" s="26"/>
      <c r="E664" s="4"/>
      <c r="F664" s="4"/>
      <c r="G664" s="4"/>
      <c r="H664" s="4"/>
      <c r="I664" s="4"/>
      <c r="J664" s="4"/>
      <c r="K664" s="4"/>
      <c r="L664" s="4"/>
      <c r="M664" s="4"/>
      <c r="N664" s="4"/>
      <c r="O664" s="4"/>
      <c r="P664" s="4"/>
      <c r="Q664" s="4"/>
      <c r="R664" s="4"/>
      <c r="S664" s="4"/>
      <c r="T664" s="4"/>
      <c r="U664" s="4"/>
      <c r="V664" s="4"/>
      <c r="W664" s="4"/>
      <c r="X664" s="4"/>
      <c r="Y664" s="4"/>
      <c r="Z664" s="4"/>
      <c r="AA664" s="21"/>
    </row>
    <row r="665">
      <c r="A665" s="4"/>
      <c r="B665" s="4"/>
      <c r="C665" s="4"/>
      <c r="D665" s="26"/>
      <c r="E665" s="4"/>
      <c r="F665" s="4"/>
      <c r="G665" s="4"/>
      <c r="H665" s="4"/>
      <c r="I665" s="4"/>
      <c r="J665" s="4"/>
      <c r="K665" s="4"/>
      <c r="L665" s="4"/>
      <c r="M665" s="4"/>
      <c r="N665" s="4"/>
      <c r="O665" s="4"/>
      <c r="P665" s="4"/>
      <c r="Q665" s="4"/>
      <c r="R665" s="4"/>
      <c r="S665" s="4"/>
      <c r="T665" s="4"/>
      <c r="U665" s="4"/>
      <c r="V665" s="4"/>
      <c r="W665" s="4"/>
      <c r="X665" s="4"/>
      <c r="Y665" s="4"/>
      <c r="Z665" s="4"/>
      <c r="AA665" s="21"/>
    </row>
    <row r="666">
      <c r="A666" s="4"/>
      <c r="B666" s="4"/>
      <c r="C666" s="4"/>
      <c r="D666" s="26"/>
      <c r="E666" s="4"/>
      <c r="F666" s="4"/>
      <c r="G666" s="4"/>
      <c r="H666" s="4"/>
      <c r="I666" s="4"/>
      <c r="J666" s="4"/>
      <c r="K666" s="4"/>
      <c r="L666" s="4"/>
      <c r="M666" s="4"/>
      <c r="N666" s="4"/>
      <c r="O666" s="4"/>
      <c r="P666" s="4"/>
      <c r="Q666" s="4"/>
      <c r="R666" s="4"/>
      <c r="S666" s="4"/>
      <c r="T666" s="4"/>
      <c r="U666" s="4"/>
      <c r="V666" s="4"/>
      <c r="W666" s="4"/>
      <c r="X666" s="4"/>
      <c r="Y666" s="4"/>
      <c r="Z666" s="4"/>
      <c r="AA666" s="21"/>
    </row>
    <row r="667">
      <c r="A667" s="4"/>
      <c r="B667" s="4"/>
      <c r="C667" s="4"/>
      <c r="D667" s="26"/>
      <c r="E667" s="4"/>
      <c r="F667" s="4"/>
      <c r="G667" s="4"/>
      <c r="H667" s="4"/>
      <c r="I667" s="4"/>
      <c r="J667" s="4"/>
      <c r="K667" s="4"/>
      <c r="L667" s="4"/>
      <c r="M667" s="4"/>
      <c r="N667" s="4"/>
      <c r="O667" s="4"/>
      <c r="P667" s="4"/>
      <c r="Q667" s="4"/>
      <c r="R667" s="4"/>
      <c r="S667" s="4"/>
      <c r="T667" s="4"/>
      <c r="U667" s="4"/>
      <c r="V667" s="4"/>
      <c r="W667" s="4"/>
      <c r="X667" s="4"/>
      <c r="Y667" s="4"/>
      <c r="Z667" s="4"/>
      <c r="AA667" s="21"/>
    </row>
    <row r="668">
      <c r="A668" s="4"/>
      <c r="B668" s="4"/>
      <c r="C668" s="4"/>
      <c r="D668" s="26"/>
      <c r="E668" s="4"/>
      <c r="F668" s="4"/>
      <c r="G668" s="4"/>
      <c r="H668" s="4"/>
      <c r="I668" s="4"/>
      <c r="J668" s="4"/>
      <c r="K668" s="4"/>
      <c r="L668" s="4"/>
      <c r="M668" s="4"/>
      <c r="N668" s="4"/>
      <c r="O668" s="4"/>
      <c r="P668" s="4"/>
      <c r="Q668" s="4"/>
      <c r="R668" s="4"/>
      <c r="S668" s="4"/>
      <c r="T668" s="4"/>
      <c r="U668" s="4"/>
      <c r="V668" s="4"/>
      <c r="W668" s="4"/>
      <c r="X668" s="4"/>
      <c r="Y668" s="4"/>
      <c r="Z668" s="4"/>
      <c r="AA668" s="21"/>
    </row>
    <row r="669">
      <c r="A669" s="4"/>
      <c r="B669" s="4"/>
      <c r="C669" s="4"/>
      <c r="D669" s="26"/>
      <c r="E669" s="4"/>
      <c r="F669" s="4"/>
      <c r="G669" s="4"/>
      <c r="H669" s="4"/>
      <c r="I669" s="4"/>
      <c r="J669" s="4"/>
      <c r="K669" s="4"/>
      <c r="L669" s="4"/>
      <c r="M669" s="4"/>
      <c r="N669" s="4"/>
      <c r="O669" s="4"/>
      <c r="P669" s="4"/>
      <c r="Q669" s="4"/>
      <c r="R669" s="4"/>
      <c r="S669" s="4"/>
      <c r="T669" s="4"/>
      <c r="U669" s="4"/>
      <c r="V669" s="4"/>
      <c r="W669" s="4"/>
      <c r="X669" s="4"/>
      <c r="Y669" s="4"/>
      <c r="Z669" s="4"/>
      <c r="AA669" s="21"/>
    </row>
    <row r="670">
      <c r="A670" s="4"/>
      <c r="B670" s="4"/>
      <c r="C670" s="4"/>
      <c r="D670" s="26"/>
      <c r="E670" s="4"/>
      <c r="F670" s="4"/>
      <c r="G670" s="4"/>
      <c r="H670" s="4"/>
      <c r="I670" s="4"/>
      <c r="J670" s="4"/>
      <c r="K670" s="4"/>
      <c r="L670" s="4"/>
      <c r="M670" s="4"/>
      <c r="N670" s="4"/>
      <c r="O670" s="4"/>
      <c r="P670" s="4"/>
      <c r="Q670" s="4"/>
      <c r="R670" s="4"/>
      <c r="S670" s="4"/>
      <c r="T670" s="4"/>
      <c r="U670" s="4"/>
      <c r="V670" s="4"/>
      <c r="W670" s="4"/>
      <c r="X670" s="4"/>
      <c r="Y670" s="4"/>
      <c r="Z670" s="4"/>
      <c r="AA670" s="21"/>
    </row>
    <row r="671">
      <c r="A671" s="4"/>
      <c r="B671" s="4"/>
      <c r="C671" s="4"/>
      <c r="D671" s="26"/>
      <c r="E671" s="4"/>
      <c r="F671" s="4"/>
      <c r="G671" s="4"/>
      <c r="H671" s="4"/>
      <c r="I671" s="4"/>
      <c r="J671" s="4"/>
      <c r="K671" s="4"/>
      <c r="L671" s="4"/>
      <c r="M671" s="4"/>
      <c r="N671" s="4"/>
      <c r="O671" s="4"/>
      <c r="P671" s="4"/>
      <c r="Q671" s="4"/>
      <c r="R671" s="4"/>
      <c r="S671" s="4"/>
      <c r="T671" s="4"/>
      <c r="U671" s="4"/>
      <c r="V671" s="4"/>
      <c r="W671" s="4"/>
      <c r="X671" s="4"/>
      <c r="Y671" s="4"/>
      <c r="Z671" s="4"/>
      <c r="AA671" s="21"/>
    </row>
    <row r="672">
      <c r="A672" s="4"/>
      <c r="B672" s="4"/>
      <c r="C672" s="4"/>
      <c r="D672" s="26"/>
      <c r="E672" s="4"/>
      <c r="F672" s="4"/>
      <c r="G672" s="4"/>
      <c r="H672" s="4"/>
      <c r="I672" s="4"/>
      <c r="J672" s="4"/>
      <c r="K672" s="4"/>
      <c r="L672" s="4"/>
      <c r="M672" s="4"/>
      <c r="N672" s="4"/>
      <c r="O672" s="4"/>
      <c r="P672" s="4"/>
      <c r="Q672" s="4"/>
      <c r="R672" s="4"/>
      <c r="S672" s="4"/>
      <c r="T672" s="4"/>
      <c r="U672" s="4"/>
      <c r="V672" s="4"/>
      <c r="W672" s="4"/>
      <c r="X672" s="4"/>
      <c r="Y672" s="4"/>
      <c r="Z672" s="4"/>
      <c r="AA672" s="21"/>
    </row>
    <row r="673">
      <c r="A673" s="4"/>
      <c r="B673" s="4"/>
      <c r="C673" s="4"/>
      <c r="D673" s="26"/>
      <c r="E673" s="4"/>
      <c r="F673" s="4"/>
      <c r="G673" s="4"/>
      <c r="H673" s="4"/>
      <c r="I673" s="4"/>
      <c r="J673" s="4"/>
      <c r="K673" s="4"/>
      <c r="L673" s="4"/>
      <c r="M673" s="4"/>
      <c r="N673" s="4"/>
      <c r="O673" s="4"/>
      <c r="P673" s="4"/>
      <c r="Q673" s="4"/>
      <c r="R673" s="4"/>
      <c r="S673" s="4"/>
      <c r="T673" s="4"/>
      <c r="U673" s="4"/>
      <c r="V673" s="4"/>
      <c r="W673" s="4"/>
      <c r="X673" s="4"/>
      <c r="Y673" s="4"/>
      <c r="Z673" s="4"/>
      <c r="AA673" s="21"/>
    </row>
    <row r="674">
      <c r="A674" s="4"/>
      <c r="B674" s="4"/>
      <c r="C674" s="4"/>
      <c r="D674" s="26"/>
      <c r="E674" s="4"/>
      <c r="F674" s="4"/>
      <c r="G674" s="4"/>
      <c r="H674" s="4"/>
      <c r="I674" s="4"/>
      <c r="J674" s="4"/>
      <c r="K674" s="4"/>
      <c r="L674" s="4"/>
      <c r="M674" s="4"/>
      <c r="N674" s="4"/>
      <c r="O674" s="4"/>
      <c r="P674" s="4"/>
      <c r="Q674" s="4"/>
      <c r="R674" s="4"/>
      <c r="S674" s="4"/>
      <c r="T674" s="4"/>
      <c r="U674" s="4"/>
      <c r="V674" s="4"/>
      <c r="W674" s="4"/>
      <c r="X674" s="4"/>
      <c r="Y674" s="4"/>
      <c r="Z674" s="4"/>
      <c r="AA674" s="21"/>
    </row>
    <row r="675">
      <c r="A675" s="4"/>
      <c r="B675" s="4"/>
      <c r="C675" s="4"/>
      <c r="D675" s="26"/>
      <c r="E675" s="4"/>
      <c r="F675" s="4"/>
      <c r="G675" s="4"/>
      <c r="H675" s="4"/>
      <c r="I675" s="4"/>
      <c r="J675" s="4"/>
      <c r="K675" s="4"/>
      <c r="L675" s="4"/>
      <c r="M675" s="4"/>
      <c r="N675" s="4"/>
      <c r="O675" s="4"/>
      <c r="P675" s="4"/>
      <c r="Q675" s="4"/>
      <c r="R675" s="4"/>
      <c r="S675" s="4"/>
      <c r="T675" s="4"/>
      <c r="U675" s="4"/>
      <c r="V675" s="4"/>
      <c r="W675" s="4"/>
      <c r="X675" s="4"/>
      <c r="Y675" s="4"/>
      <c r="Z675" s="4"/>
      <c r="AA675" s="21"/>
    </row>
    <row r="676">
      <c r="A676" s="4"/>
      <c r="B676" s="4"/>
      <c r="C676" s="4"/>
      <c r="D676" s="26"/>
      <c r="E676" s="4"/>
      <c r="F676" s="4"/>
      <c r="G676" s="4"/>
      <c r="H676" s="4"/>
      <c r="I676" s="4"/>
      <c r="J676" s="4"/>
      <c r="K676" s="4"/>
      <c r="L676" s="4"/>
      <c r="M676" s="4"/>
      <c r="N676" s="4"/>
      <c r="O676" s="4"/>
      <c r="P676" s="4"/>
      <c r="Q676" s="4"/>
      <c r="R676" s="4"/>
      <c r="S676" s="4"/>
      <c r="T676" s="4"/>
      <c r="U676" s="4"/>
      <c r="V676" s="4"/>
      <c r="W676" s="4"/>
      <c r="X676" s="4"/>
      <c r="Y676" s="4"/>
      <c r="Z676" s="4"/>
      <c r="AA676" s="21"/>
    </row>
    <row r="677">
      <c r="A677" s="4"/>
      <c r="B677" s="4"/>
      <c r="C677" s="4"/>
      <c r="D677" s="26"/>
      <c r="E677" s="4"/>
      <c r="F677" s="4"/>
      <c r="G677" s="4"/>
      <c r="H677" s="4"/>
      <c r="I677" s="4"/>
      <c r="J677" s="4"/>
      <c r="K677" s="4"/>
      <c r="L677" s="4"/>
      <c r="M677" s="4"/>
      <c r="N677" s="4"/>
      <c r="O677" s="4"/>
      <c r="P677" s="4"/>
      <c r="Q677" s="4"/>
      <c r="R677" s="4"/>
      <c r="S677" s="4"/>
      <c r="T677" s="4"/>
      <c r="U677" s="4"/>
      <c r="V677" s="4"/>
      <c r="W677" s="4"/>
      <c r="X677" s="4"/>
      <c r="Y677" s="4"/>
      <c r="Z677" s="4"/>
      <c r="AA677" s="21"/>
    </row>
    <row r="678">
      <c r="A678" s="4"/>
      <c r="B678" s="4"/>
      <c r="C678" s="4"/>
      <c r="D678" s="26"/>
      <c r="E678" s="4"/>
      <c r="F678" s="4"/>
      <c r="G678" s="4"/>
      <c r="H678" s="4"/>
      <c r="I678" s="4"/>
      <c r="J678" s="4"/>
      <c r="K678" s="4"/>
      <c r="L678" s="4"/>
      <c r="M678" s="4"/>
      <c r="N678" s="4"/>
      <c r="O678" s="4"/>
      <c r="P678" s="4"/>
      <c r="Q678" s="4"/>
      <c r="R678" s="4"/>
      <c r="S678" s="4"/>
      <c r="T678" s="4"/>
      <c r="U678" s="4"/>
      <c r="V678" s="4"/>
      <c r="W678" s="4"/>
      <c r="X678" s="4"/>
      <c r="Y678" s="4"/>
      <c r="Z678" s="4"/>
      <c r="AA678" s="21"/>
    </row>
    <row r="679">
      <c r="A679" s="4"/>
      <c r="B679" s="4"/>
      <c r="C679" s="4"/>
      <c r="D679" s="26"/>
      <c r="E679" s="4"/>
      <c r="F679" s="4"/>
      <c r="G679" s="4"/>
      <c r="H679" s="4"/>
      <c r="I679" s="4"/>
      <c r="J679" s="4"/>
      <c r="K679" s="4"/>
      <c r="L679" s="4"/>
      <c r="M679" s="4"/>
      <c r="N679" s="4"/>
      <c r="O679" s="4"/>
      <c r="P679" s="4"/>
      <c r="Q679" s="4"/>
      <c r="R679" s="4"/>
      <c r="S679" s="4"/>
      <c r="T679" s="4"/>
      <c r="U679" s="4"/>
      <c r="V679" s="4"/>
      <c r="W679" s="4"/>
      <c r="X679" s="4"/>
      <c r="Y679" s="4"/>
      <c r="Z679" s="4"/>
      <c r="AA679" s="21"/>
    </row>
    <row r="680">
      <c r="A680" s="4"/>
      <c r="B680" s="4"/>
      <c r="C680" s="4"/>
      <c r="D680" s="26"/>
      <c r="E680" s="4"/>
      <c r="F680" s="4"/>
      <c r="G680" s="4"/>
      <c r="H680" s="4"/>
      <c r="I680" s="4"/>
      <c r="J680" s="4"/>
      <c r="K680" s="4"/>
      <c r="L680" s="4"/>
      <c r="M680" s="4"/>
      <c r="N680" s="4"/>
      <c r="O680" s="4"/>
      <c r="P680" s="4"/>
      <c r="Q680" s="4"/>
      <c r="R680" s="4"/>
      <c r="S680" s="4"/>
      <c r="T680" s="4"/>
      <c r="U680" s="4"/>
      <c r="V680" s="4"/>
      <c r="W680" s="4"/>
      <c r="X680" s="4"/>
      <c r="Y680" s="4"/>
      <c r="Z680" s="4"/>
      <c r="AA680" s="21"/>
    </row>
    <row r="681">
      <c r="A681" s="4"/>
      <c r="B681" s="4"/>
      <c r="C681" s="4"/>
      <c r="D681" s="26"/>
      <c r="E681" s="4"/>
      <c r="F681" s="4"/>
      <c r="G681" s="4"/>
      <c r="H681" s="4"/>
      <c r="I681" s="4"/>
      <c r="J681" s="4"/>
      <c r="K681" s="4"/>
      <c r="L681" s="4"/>
      <c r="M681" s="4"/>
      <c r="N681" s="4"/>
      <c r="O681" s="4"/>
      <c r="P681" s="4"/>
      <c r="Q681" s="4"/>
      <c r="R681" s="4"/>
      <c r="S681" s="4"/>
      <c r="T681" s="4"/>
      <c r="U681" s="4"/>
      <c r="V681" s="4"/>
      <c r="W681" s="4"/>
      <c r="X681" s="4"/>
      <c r="Y681" s="4"/>
      <c r="Z681" s="4"/>
      <c r="AA681" s="21"/>
    </row>
    <row r="682">
      <c r="A682" s="4"/>
      <c r="B682" s="4"/>
      <c r="C682" s="4"/>
      <c r="D682" s="26"/>
      <c r="E682" s="4"/>
      <c r="F682" s="4"/>
      <c r="G682" s="4"/>
      <c r="H682" s="4"/>
      <c r="I682" s="4"/>
      <c r="J682" s="4"/>
      <c r="K682" s="4"/>
      <c r="L682" s="4"/>
      <c r="M682" s="4"/>
      <c r="N682" s="4"/>
      <c r="O682" s="4"/>
      <c r="P682" s="4"/>
      <c r="Q682" s="4"/>
      <c r="R682" s="4"/>
      <c r="S682" s="4"/>
      <c r="T682" s="4"/>
      <c r="U682" s="4"/>
      <c r="V682" s="4"/>
      <c r="W682" s="4"/>
      <c r="X682" s="4"/>
      <c r="Y682" s="4"/>
      <c r="Z682" s="4"/>
      <c r="AA682" s="21"/>
    </row>
    <row r="683">
      <c r="A683" s="4"/>
      <c r="B683" s="4"/>
      <c r="C683" s="4"/>
      <c r="D683" s="26"/>
      <c r="E683" s="4"/>
      <c r="F683" s="4"/>
      <c r="G683" s="4"/>
      <c r="H683" s="4"/>
      <c r="I683" s="4"/>
      <c r="J683" s="4"/>
      <c r="K683" s="4"/>
      <c r="L683" s="4"/>
      <c r="M683" s="4"/>
      <c r="N683" s="4"/>
      <c r="O683" s="4"/>
      <c r="P683" s="4"/>
      <c r="Q683" s="4"/>
      <c r="R683" s="4"/>
      <c r="S683" s="4"/>
      <c r="T683" s="4"/>
      <c r="U683" s="4"/>
      <c r="V683" s="4"/>
      <c r="W683" s="4"/>
      <c r="X683" s="4"/>
      <c r="Y683" s="4"/>
      <c r="Z683" s="4"/>
      <c r="AA683" s="21"/>
    </row>
    <row r="684">
      <c r="A684" s="4"/>
      <c r="B684" s="4"/>
      <c r="C684" s="4"/>
      <c r="D684" s="26"/>
      <c r="E684" s="4"/>
      <c r="F684" s="4"/>
      <c r="G684" s="4"/>
      <c r="H684" s="4"/>
      <c r="I684" s="4"/>
      <c r="J684" s="4"/>
      <c r="K684" s="4"/>
      <c r="L684" s="4"/>
      <c r="M684" s="4"/>
      <c r="N684" s="4"/>
      <c r="O684" s="4"/>
      <c r="P684" s="4"/>
      <c r="Q684" s="4"/>
      <c r="R684" s="4"/>
      <c r="S684" s="4"/>
      <c r="T684" s="4"/>
      <c r="U684" s="4"/>
      <c r="V684" s="4"/>
      <c r="W684" s="4"/>
      <c r="X684" s="4"/>
      <c r="Y684" s="4"/>
      <c r="Z684" s="4"/>
      <c r="AA684" s="21"/>
    </row>
    <row r="685">
      <c r="A685" s="4"/>
      <c r="B685" s="4"/>
      <c r="C685" s="4"/>
      <c r="D685" s="26"/>
      <c r="E685" s="4"/>
      <c r="F685" s="4"/>
      <c r="G685" s="4"/>
      <c r="H685" s="4"/>
      <c r="I685" s="4"/>
      <c r="J685" s="4"/>
      <c r="K685" s="4"/>
      <c r="L685" s="4"/>
      <c r="M685" s="4"/>
      <c r="N685" s="4"/>
      <c r="O685" s="4"/>
      <c r="P685" s="4"/>
      <c r="Q685" s="4"/>
      <c r="R685" s="4"/>
      <c r="S685" s="4"/>
      <c r="T685" s="4"/>
      <c r="U685" s="4"/>
      <c r="V685" s="4"/>
      <c r="W685" s="4"/>
      <c r="X685" s="4"/>
      <c r="Y685" s="4"/>
      <c r="Z685" s="4"/>
      <c r="AA685" s="21"/>
    </row>
    <row r="686">
      <c r="A686" s="4"/>
      <c r="B686" s="4"/>
      <c r="C686" s="4"/>
      <c r="D686" s="26"/>
      <c r="E686" s="4"/>
      <c r="F686" s="4"/>
      <c r="G686" s="4"/>
      <c r="H686" s="4"/>
      <c r="I686" s="4"/>
      <c r="J686" s="4"/>
      <c r="K686" s="4"/>
      <c r="L686" s="4"/>
      <c r="M686" s="4"/>
      <c r="N686" s="4"/>
      <c r="O686" s="4"/>
      <c r="P686" s="4"/>
      <c r="Q686" s="4"/>
      <c r="R686" s="4"/>
      <c r="S686" s="4"/>
      <c r="T686" s="4"/>
      <c r="U686" s="4"/>
      <c r="V686" s="4"/>
      <c r="W686" s="4"/>
      <c r="X686" s="4"/>
      <c r="Y686" s="4"/>
      <c r="Z686" s="4"/>
      <c r="AA686" s="21"/>
    </row>
    <row r="687">
      <c r="A687" s="4"/>
      <c r="B687" s="4"/>
      <c r="C687" s="4"/>
      <c r="D687" s="26"/>
      <c r="E687" s="4"/>
      <c r="F687" s="4"/>
      <c r="G687" s="4"/>
      <c r="H687" s="4"/>
      <c r="I687" s="4"/>
      <c r="J687" s="4"/>
      <c r="K687" s="4"/>
      <c r="L687" s="4"/>
      <c r="M687" s="4"/>
      <c r="N687" s="4"/>
      <c r="O687" s="4"/>
      <c r="P687" s="4"/>
      <c r="Q687" s="4"/>
      <c r="R687" s="4"/>
      <c r="S687" s="4"/>
      <c r="T687" s="4"/>
      <c r="U687" s="4"/>
      <c r="V687" s="4"/>
      <c r="W687" s="4"/>
      <c r="X687" s="4"/>
      <c r="Y687" s="4"/>
      <c r="Z687" s="4"/>
      <c r="AA687" s="21"/>
    </row>
    <row r="688">
      <c r="A688" s="4"/>
      <c r="B688" s="4"/>
      <c r="C688" s="4"/>
      <c r="D688" s="26"/>
      <c r="E688" s="4"/>
      <c r="F688" s="4"/>
      <c r="G688" s="4"/>
      <c r="H688" s="4"/>
      <c r="I688" s="4"/>
      <c r="J688" s="4"/>
      <c r="K688" s="4"/>
      <c r="L688" s="4"/>
      <c r="M688" s="4"/>
      <c r="N688" s="4"/>
      <c r="O688" s="4"/>
      <c r="P688" s="4"/>
      <c r="Q688" s="4"/>
      <c r="R688" s="4"/>
      <c r="S688" s="4"/>
      <c r="T688" s="4"/>
      <c r="U688" s="4"/>
      <c r="V688" s="4"/>
      <c r="W688" s="4"/>
      <c r="X688" s="4"/>
      <c r="Y688" s="4"/>
      <c r="Z688" s="4"/>
      <c r="AA688" s="21"/>
    </row>
    <row r="689">
      <c r="A689" s="4"/>
      <c r="B689" s="4"/>
      <c r="C689" s="4"/>
      <c r="D689" s="26"/>
      <c r="E689" s="4"/>
      <c r="F689" s="4"/>
      <c r="G689" s="4"/>
      <c r="H689" s="4"/>
      <c r="I689" s="4"/>
      <c r="J689" s="4"/>
      <c r="K689" s="4"/>
      <c r="L689" s="4"/>
      <c r="M689" s="4"/>
      <c r="N689" s="4"/>
      <c r="O689" s="4"/>
      <c r="P689" s="4"/>
      <c r="Q689" s="4"/>
      <c r="R689" s="4"/>
      <c r="S689" s="4"/>
      <c r="T689" s="4"/>
      <c r="U689" s="4"/>
      <c r="V689" s="4"/>
      <c r="W689" s="4"/>
      <c r="X689" s="4"/>
      <c r="Y689" s="4"/>
      <c r="Z689" s="4"/>
      <c r="AA689" s="21"/>
    </row>
    <row r="690">
      <c r="A690" s="4"/>
      <c r="B690" s="4"/>
      <c r="C690" s="4"/>
      <c r="D690" s="26"/>
      <c r="E690" s="4"/>
      <c r="F690" s="4"/>
      <c r="G690" s="4"/>
      <c r="H690" s="4"/>
      <c r="I690" s="4"/>
      <c r="J690" s="4"/>
      <c r="K690" s="4"/>
      <c r="L690" s="4"/>
      <c r="M690" s="4"/>
      <c r="N690" s="4"/>
      <c r="O690" s="4"/>
      <c r="P690" s="4"/>
      <c r="Q690" s="4"/>
      <c r="R690" s="4"/>
      <c r="S690" s="4"/>
      <c r="T690" s="4"/>
      <c r="U690" s="4"/>
      <c r="V690" s="4"/>
      <c r="W690" s="4"/>
      <c r="X690" s="4"/>
      <c r="Y690" s="4"/>
      <c r="Z690" s="4"/>
      <c r="AA690" s="21"/>
    </row>
    <row r="691">
      <c r="A691" s="4"/>
      <c r="B691" s="4"/>
      <c r="C691" s="4"/>
      <c r="D691" s="26"/>
      <c r="E691" s="4"/>
      <c r="F691" s="4"/>
      <c r="G691" s="4"/>
      <c r="H691" s="4"/>
      <c r="I691" s="4"/>
      <c r="J691" s="4"/>
      <c r="K691" s="4"/>
      <c r="L691" s="4"/>
      <c r="M691" s="4"/>
      <c r="N691" s="4"/>
      <c r="O691" s="4"/>
      <c r="P691" s="4"/>
      <c r="Q691" s="4"/>
      <c r="R691" s="4"/>
      <c r="S691" s="4"/>
      <c r="T691" s="4"/>
      <c r="U691" s="4"/>
      <c r="V691" s="4"/>
      <c r="W691" s="4"/>
      <c r="X691" s="4"/>
      <c r="Y691" s="4"/>
      <c r="Z691" s="4"/>
      <c r="AA691" s="21"/>
    </row>
    <row r="692">
      <c r="A692" s="4"/>
      <c r="B692" s="4"/>
      <c r="C692" s="4"/>
      <c r="D692" s="26"/>
      <c r="E692" s="4"/>
      <c r="F692" s="4"/>
      <c r="G692" s="4"/>
      <c r="H692" s="4"/>
      <c r="I692" s="4"/>
      <c r="J692" s="4"/>
      <c r="K692" s="4"/>
      <c r="L692" s="4"/>
      <c r="M692" s="4"/>
      <c r="N692" s="4"/>
      <c r="O692" s="4"/>
      <c r="P692" s="4"/>
      <c r="Q692" s="4"/>
      <c r="R692" s="4"/>
      <c r="S692" s="4"/>
      <c r="T692" s="4"/>
      <c r="U692" s="4"/>
      <c r="V692" s="4"/>
      <c r="W692" s="4"/>
      <c r="X692" s="4"/>
      <c r="Y692" s="4"/>
      <c r="Z692" s="4"/>
      <c r="AA692" s="21"/>
    </row>
    <row r="693">
      <c r="A693" s="4"/>
      <c r="B693" s="4"/>
      <c r="C693" s="4"/>
      <c r="D693" s="26"/>
      <c r="E693" s="4"/>
      <c r="F693" s="4"/>
      <c r="G693" s="4"/>
      <c r="H693" s="4"/>
      <c r="I693" s="4"/>
      <c r="J693" s="4"/>
      <c r="K693" s="4"/>
      <c r="L693" s="4"/>
      <c r="M693" s="4"/>
      <c r="N693" s="4"/>
      <c r="O693" s="4"/>
      <c r="P693" s="4"/>
      <c r="Q693" s="4"/>
      <c r="R693" s="4"/>
      <c r="S693" s="4"/>
      <c r="T693" s="4"/>
      <c r="U693" s="4"/>
      <c r="V693" s="4"/>
      <c r="W693" s="4"/>
      <c r="X693" s="4"/>
      <c r="Y693" s="4"/>
      <c r="Z693" s="4"/>
      <c r="AA693" s="21"/>
    </row>
    <row r="694">
      <c r="A694" s="4"/>
      <c r="B694" s="4"/>
      <c r="C694" s="4"/>
      <c r="D694" s="26"/>
      <c r="E694" s="4"/>
      <c r="F694" s="4"/>
      <c r="G694" s="4"/>
      <c r="H694" s="4"/>
      <c r="I694" s="4"/>
      <c r="J694" s="4"/>
      <c r="K694" s="4"/>
      <c r="L694" s="4"/>
      <c r="M694" s="4"/>
      <c r="N694" s="4"/>
      <c r="O694" s="4"/>
      <c r="P694" s="4"/>
      <c r="Q694" s="4"/>
      <c r="R694" s="4"/>
      <c r="S694" s="4"/>
      <c r="T694" s="4"/>
      <c r="U694" s="4"/>
      <c r="V694" s="4"/>
      <c r="W694" s="4"/>
      <c r="X694" s="4"/>
      <c r="Y694" s="4"/>
      <c r="Z694" s="4"/>
      <c r="AA694" s="21"/>
    </row>
    <row r="695">
      <c r="A695" s="4"/>
      <c r="B695" s="4"/>
      <c r="C695" s="4"/>
      <c r="D695" s="26"/>
      <c r="E695" s="4"/>
      <c r="F695" s="4"/>
      <c r="G695" s="4"/>
      <c r="H695" s="4"/>
      <c r="I695" s="4"/>
      <c r="J695" s="4"/>
      <c r="K695" s="4"/>
      <c r="L695" s="4"/>
      <c r="M695" s="4"/>
      <c r="N695" s="4"/>
      <c r="O695" s="4"/>
      <c r="P695" s="4"/>
      <c r="Q695" s="4"/>
      <c r="R695" s="4"/>
      <c r="S695" s="4"/>
      <c r="T695" s="4"/>
      <c r="U695" s="4"/>
      <c r="V695" s="4"/>
      <c r="W695" s="4"/>
      <c r="X695" s="4"/>
      <c r="Y695" s="4"/>
      <c r="Z695" s="4"/>
      <c r="AA695" s="21"/>
    </row>
    <row r="696">
      <c r="A696" s="4"/>
      <c r="B696" s="4"/>
      <c r="C696" s="4"/>
      <c r="D696" s="26"/>
      <c r="E696" s="4"/>
      <c r="F696" s="4"/>
      <c r="G696" s="4"/>
      <c r="H696" s="4"/>
      <c r="I696" s="4"/>
      <c r="J696" s="4"/>
      <c r="K696" s="4"/>
      <c r="L696" s="4"/>
      <c r="M696" s="4"/>
      <c r="N696" s="4"/>
      <c r="O696" s="4"/>
      <c r="P696" s="4"/>
      <c r="Q696" s="4"/>
      <c r="R696" s="4"/>
      <c r="S696" s="4"/>
      <c r="T696" s="4"/>
      <c r="U696" s="4"/>
      <c r="V696" s="4"/>
      <c r="W696" s="4"/>
      <c r="X696" s="4"/>
      <c r="Y696" s="4"/>
      <c r="Z696" s="4"/>
      <c r="AA696" s="21"/>
    </row>
    <row r="697">
      <c r="A697" s="4"/>
      <c r="B697" s="4"/>
      <c r="C697" s="4"/>
      <c r="D697" s="26"/>
      <c r="E697" s="4"/>
      <c r="F697" s="4"/>
      <c r="G697" s="4"/>
      <c r="H697" s="4"/>
      <c r="I697" s="4"/>
      <c r="J697" s="4"/>
      <c r="K697" s="4"/>
      <c r="L697" s="4"/>
      <c r="M697" s="4"/>
      <c r="N697" s="4"/>
      <c r="O697" s="4"/>
      <c r="P697" s="4"/>
      <c r="Q697" s="4"/>
      <c r="R697" s="4"/>
      <c r="S697" s="4"/>
      <c r="T697" s="4"/>
      <c r="U697" s="4"/>
      <c r="V697" s="4"/>
      <c r="W697" s="4"/>
      <c r="X697" s="4"/>
      <c r="Y697" s="4"/>
      <c r="Z697" s="4"/>
      <c r="AA697" s="21"/>
    </row>
    <row r="698">
      <c r="A698" s="4"/>
      <c r="B698" s="4"/>
      <c r="C698" s="4"/>
      <c r="D698" s="26"/>
      <c r="E698" s="4"/>
      <c r="F698" s="4"/>
      <c r="G698" s="4"/>
      <c r="H698" s="4"/>
      <c r="I698" s="4"/>
      <c r="J698" s="4"/>
      <c r="K698" s="4"/>
      <c r="L698" s="4"/>
      <c r="M698" s="4"/>
      <c r="N698" s="4"/>
      <c r="O698" s="4"/>
      <c r="P698" s="4"/>
      <c r="Q698" s="4"/>
      <c r="R698" s="4"/>
      <c r="S698" s="4"/>
      <c r="T698" s="4"/>
      <c r="U698" s="4"/>
      <c r="V698" s="4"/>
      <c r="W698" s="4"/>
      <c r="X698" s="4"/>
      <c r="Y698" s="4"/>
      <c r="Z698" s="4"/>
      <c r="AA698" s="21"/>
    </row>
    <row r="699">
      <c r="A699" s="4"/>
      <c r="B699" s="4"/>
      <c r="C699" s="4"/>
      <c r="D699" s="26"/>
      <c r="E699" s="4"/>
      <c r="F699" s="4"/>
      <c r="G699" s="4"/>
      <c r="H699" s="4"/>
      <c r="I699" s="4"/>
      <c r="J699" s="4"/>
      <c r="K699" s="4"/>
      <c r="L699" s="4"/>
      <c r="M699" s="4"/>
      <c r="N699" s="4"/>
      <c r="O699" s="4"/>
      <c r="P699" s="4"/>
      <c r="Q699" s="4"/>
      <c r="R699" s="4"/>
      <c r="S699" s="4"/>
      <c r="T699" s="4"/>
      <c r="U699" s="4"/>
      <c r="V699" s="4"/>
      <c r="W699" s="4"/>
      <c r="X699" s="4"/>
      <c r="Y699" s="4"/>
      <c r="Z699" s="4"/>
      <c r="AA699" s="21"/>
    </row>
    <row r="700">
      <c r="A700" s="4"/>
      <c r="B700" s="4"/>
      <c r="C700" s="4"/>
      <c r="D700" s="26"/>
      <c r="E700" s="4"/>
      <c r="F700" s="4"/>
      <c r="G700" s="4"/>
      <c r="H700" s="4"/>
      <c r="I700" s="4"/>
      <c r="J700" s="4"/>
      <c r="K700" s="4"/>
      <c r="L700" s="4"/>
      <c r="M700" s="4"/>
      <c r="N700" s="4"/>
      <c r="O700" s="4"/>
      <c r="P700" s="4"/>
      <c r="Q700" s="4"/>
      <c r="R700" s="4"/>
      <c r="S700" s="4"/>
      <c r="T700" s="4"/>
      <c r="U700" s="4"/>
      <c r="V700" s="4"/>
      <c r="W700" s="4"/>
      <c r="X700" s="4"/>
      <c r="Y700" s="4"/>
      <c r="Z700" s="4"/>
      <c r="AA700" s="21"/>
    </row>
    <row r="701">
      <c r="A701" s="4"/>
      <c r="B701" s="4"/>
      <c r="C701" s="4"/>
      <c r="D701" s="26"/>
      <c r="E701" s="4"/>
      <c r="F701" s="4"/>
      <c r="G701" s="4"/>
      <c r="H701" s="4"/>
      <c r="I701" s="4"/>
      <c r="J701" s="4"/>
      <c r="K701" s="4"/>
      <c r="L701" s="4"/>
      <c r="M701" s="4"/>
      <c r="N701" s="4"/>
      <c r="O701" s="4"/>
      <c r="P701" s="4"/>
      <c r="Q701" s="4"/>
      <c r="R701" s="4"/>
      <c r="S701" s="4"/>
      <c r="T701" s="4"/>
      <c r="U701" s="4"/>
      <c r="V701" s="4"/>
      <c r="W701" s="4"/>
      <c r="X701" s="4"/>
      <c r="Y701" s="4"/>
      <c r="Z701" s="4"/>
      <c r="AA701" s="21"/>
    </row>
    <row r="702">
      <c r="A702" s="4"/>
      <c r="B702" s="4"/>
      <c r="C702" s="4"/>
      <c r="D702" s="26"/>
      <c r="E702" s="4"/>
      <c r="F702" s="4"/>
      <c r="G702" s="4"/>
      <c r="H702" s="4"/>
      <c r="I702" s="4"/>
      <c r="J702" s="4"/>
      <c r="K702" s="4"/>
      <c r="L702" s="4"/>
      <c r="M702" s="4"/>
      <c r="N702" s="4"/>
      <c r="O702" s="4"/>
      <c r="P702" s="4"/>
      <c r="Q702" s="4"/>
      <c r="R702" s="4"/>
      <c r="S702" s="4"/>
      <c r="T702" s="4"/>
      <c r="U702" s="4"/>
      <c r="V702" s="4"/>
      <c r="W702" s="4"/>
      <c r="X702" s="4"/>
      <c r="Y702" s="4"/>
      <c r="Z702" s="4"/>
      <c r="AA702" s="21"/>
    </row>
    <row r="703">
      <c r="A703" s="4"/>
      <c r="B703" s="4"/>
      <c r="C703" s="4"/>
      <c r="D703" s="26"/>
      <c r="E703" s="4"/>
      <c r="F703" s="4"/>
      <c r="G703" s="4"/>
      <c r="H703" s="4"/>
      <c r="I703" s="4"/>
      <c r="J703" s="4"/>
      <c r="K703" s="4"/>
      <c r="L703" s="4"/>
      <c r="M703" s="4"/>
      <c r="N703" s="4"/>
      <c r="O703" s="4"/>
      <c r="P703" s="4"/>
      <c r="Q703" s="4"/>
      <c r="R703" s="4"/>
      <c r="S703" s="4"/>
      <c r="T703" s="4"/>
      <c r="U703" s="4"/>
      <c r="V703" s="4"/>
      <c r="W703" s="4"/>
      <c r="X703" s="4"/>
      <c r="Y703" s="4"/>
      <c r="Z703" s="4"/>
      <c r="AA703" s="21"/>
    </row>
    <row r="704">
      <c r="A704" s="4"/>
      <c r="B704" s="4"/>
      <c r="C704" s="4"/>
      <c r="D704" s="26"/>
      <c r="E704" s="4"/>
      <c r="F704" s="4"/>
      <c r="G704" s="4"/>
      <c r="H704" s="4"/>
      <c r="I704" s="4"/>
      <c r="J704" s="4"/>
      <c r="K704" s="4"/>
      <c r="L704" s="4"/>
      <c r="M704" s="4"/>
      <c r="N704" s="4"/>
      <c r="O704" s="4"/>
      <c r="P704" s="4"/>
      <c r="Q704" s="4"/>
      <c r="R704" s="4"/>
      <c r="S704" s="4"/>
      <c r="T704" s="4"/>
      <c r="U704" s="4"/>
      <c r="V704" s="4"/>
      <c r="W704" s="4"/>
      <c r="X704" s="4"/>
      <c r="Y704" s="4"/>
      <c r="Z704" s="4"/>
      <c r="AA704" s="21"/>
    </row>
    <row r="705">
      <c r="A705" s="4"/>
      <c r="B705" s="4"/>
      <c r="C705" s="4"/>
      <c r="D705" s="26"/>
      <c r="E705" s="4"/>
      <c r="F705" s="4"/>
      <c r="G705" s="4"/>
      <c r="H705" s="4"/>
      <c r="I705" s="4"/>
      <c r="J705" s="4"/>
      <c r="K705" s="4"/>
      <c r="L705" s="4"/>
      <c r="M705" s="4"/>
      <c r="N705" s="4"/>
      <c r="O705" s="4"/>
      <c r="P705" s="4"/>
      <c r="Q705" s="4"/>
      <c r="R705" s="4"/>
      <c r="S705" s="4"/>
      <c r="T705" s="4"/>
      <c r="U705" s="4"/>
      <c r="V705" s="4"/>
      <c r="W705" s="4"/>
      <c r="X705" s="4"/>
      <c r="Y705" s="4"/>
      <c r="Z705" s="4"/>
      <c r="AA705" s="21"/>
    </row>
    <row r="706">
      <c r="A706" s="4"/>
      <c r="B706" s="4"/>
      <c r="C706" s="4"/>
      <c r="D706" s="26"/>
      <c r="E706" s="4"/>
      <c r="F706" s="4"/>
      <c r="G706" s="4"/>
      <c r="H706" s="4"/>
      <c r="I706" s="4"/>
      <c r="J706" s="4"/>
      <c r="K706" s="4"/>
      <c r="L706" s="4"/>
      <c r="M706" s="4"/>
      <c r="N706" s="4"/>
      <c r="O706" s="4"/>
      <c r="P706" s="4"/>
      <c r="Q706" s="4"/>
      <c r="R706" s="4"/>
      <c r="S706" s="4"/>
      <c r="T706" s="4"/>
      <c r="U706" s="4"/>
      <c r="V706" s="4"/>
      <c r="W706" s="4"/>
      <c r="X706" s="4"/>
      <c r="Y706" s="4"/>
      <c r="Z706" s="4"/>
      <c r="AA706" s="21"/>
    </row>
    <row r="707">
      <c r="A707" s="4"/>
      <c r="B707" s="4"/>
      <c r="C707" s="4"/>
      <c r="D707" s="26"/>
      <c r="E707" s="4"/>
      <c r="F707" s="4"/>
      <c r="G707" s="4"/>
      <c r="H707" s="4"/>
      <c r="I707" s="4"/>
      <c r="J707" s="4"/>
      <c r="K707" s="4"/>
      <c r="L707" s="4"/>
      <c r="M707" s="4"/>
      <c r="N707" s="4"/>
      <c r="O707" s="4"/>
      <c r="P707" s="4"/>
      <c r="Q707" s="4"/>
      <c r="R707" s="4"/>
      <c r="S707" s="4"/>
      <c r="T707" s="4"/>
      <c r="U707" s="4"/>
      <c r="V707" s="4"/>
      <c r="W707" s="4"/>
      <c r="X707" s="4"/>
      <c r="Y707" s="4"/>
      <c r="Z707" s="4"/>
      <c r="AA707" s="21"/>
    </row>
    <row r="708">
      <c r="A708" s="4"/>
      <c r="B708" s="4"/>
      <c r="C708" s="4"/>
      <c r="D708" s="26"/>
      <c r="E708" s="4"/>
      <c r="F708" s="4"/>
      <c r="G708" s="4"/>
      <c r="H708" s="4"/>
      <c r="I708" s="4"/>
      <c r="J708" s="4"/>
      <c r="K708" s="4"/>
      <c r="L708" s="4"/>
      <c r="M708" s="4"/>
      <c r="N708" s="4"/>
      <c r="O708" s="4"/>
      <c r="P708" s="4"/>
      <c r="Q708" s="4"/>
      <c r="R708" s="4"/>
      <c r="S708" s="4"/>
      <c r="T708" s="4"/>
      <c r="U708" s="4"/>
      <c r="V708" s="4"/>
      <c r="W708" s="4"/>
      <c r="X708" s="4"/>
      <c r="Y708" s="4"/>
      <c r="Z708" s="4"/>
      <c r="AA708" s="21"/>
    </row>
    <row r="709">
      <c r="A709" s="4"/>
      <c r="B709" s="4"/>
      <c r="C709" s="4"/>
      <c r="D709" s="26"/>
      <c r="E709" s="4"/>
      <c r="F709" s="4"/>
      <c r="G709" s="4"/>
      <c r="H709" s="4"/>
      <c r="I709" s="4"/>
      <c r="J709" s="4"/>
      <c r="K709" s="4"/>
      <c r="L709" s="4"/>
      <c r="M709" s="4"/>
      <c r="N709" s="4"/>
      <c r="O709" s="4"/>
      <c r="P709" s="4"/>
      <c r="Q709" s="4"/>
      <c r="R709" s="4"/>
      <c r="S709" s="4"/>
      <c r="T709" s="4"/>
      <c r="U709" s="4"/>
      <c r="V709" s="4"/>
      <c r="W709" s="4"/>
      <c r="X709" s="4"/>
      <c r="Y709" s="4"/>
      <c r="Z709" s="4"/>
      <c r="AA709" s="21"/>
    </row>
    <row r="710">
      <c r="A710" s="4"/>
      <c r="B710" s="4"/>
      <c r="C710" s="4"/>
      <c r="D710" s="26"/>
      <c r="E710" s="4"/>
      <c r="F710" s="4"/>
      <c r="G710" s="4"/>
      <c r="H710" s="4"/>
      <c r="I710" s="4"/>
      <c r="J710" s="4"/>
      <c r="K710" s="4"/>
      <c r="L710" s="4"/>
      <c r="M710" s="4"/>
      <c r="N710" s="4"/>
      <c r="O710" s="4"/>
      <c r="P710" s="4"/>
      <c r="Q710" s="4"/>
      <c r="R710" s="4"/>
      <c r="S710" s="4"/>
      <c r="T710" s="4"/>
      <c r="U710" s="4"/>
      <c r="V710" s="4"/>
      <c r="W710" s="4"/>
      <c r="X710" s="4"/>
      <c r="Y710" s="4"/>
      <c r="Z710" s="4"/>
      <c r="AA710" s="21"/>
    </row>
    <row r="711">
      <c r="A711" s="4"/>
      <c r="B711" s="4"/>
      <c r="C711" s="4"/>
      <c r="D711" s="26"/>
      <c r="E711" s="4"/>
      <c r="F711" s="4"/>
      <c r="G711" s="4"/>
      <c r="H711" s="4"/>
      <c r="I711" s="4"/>
      <c r="J711" s="4"/>
      <c r="K711" s="4"/>
      <c r="L711" s="4"/>
      <c r="M711" s="4"/>
      <c r="N711" s="4"/>
      <c r="O711" s="4"/>
      <c r="P711" s="4"/>
      <c r="Q711" s="4"/>
      <c r="R711" s="4"/>
      <c r="S711" s="4"/>
      <c r="T711" s="4"/>
      <c r="U711" s="4"/>
      <c r="V711" s="4"/>
      <c r="W711" s="4"/>
      <c r="X711" s="4"/>
      <c r="Y711" s="4"/>
      <c r="Z711" s="4"/>
      <c r="AA711" s="21"/>
    </row>
    <row r="712">
      <c r="A712" s="4"/>
      <c r="B712" s="4"/>
      <c r="C712" s="4"/>
      <c r="D712" s="26"/>
      <c r="E712" s="4"/>
      <c r="F712" s="4"/>
      <c r="G712" s="4"/>
      <c r="H712" s="4"/>
      <c r="I712" s="4"/>
      <c r="J712" s="4"/>
      <c r="K712" s="4"/>
      <c r="L712" s="4"/>
      <c r="M712" s="4"/>
      <c r="N712" s="4"/>
      <c r="O712" s="4"/>
      <c r="P712" s="4"/>
      <c r="Q712" s="4"/>
      <c r="R712" s="4"/>
      <c r="S712" s="4"/>
      <c r="T712" s="4"/>
      <c r="U712" s="4"/>
      <c r="V712" s="4"/>
      <c r="W712" s="4"/>
      <c r="X712" s="4"/>
      <c r="Y712" s="4"/>
      <c r="Z712" s="4"/>
      <c r="AA712" s="21"/>
    </row>
    <row r="713">
      <c r="A713" s="4"/>
      <c r="B713" s="4"/>
      <c r="C713" s="4"/>
      <c r="D713" s="26"/>
      <c r="E713" s="4"/>
      <c r="F713" s="4"/>
      <c r="G713" s="4"/>
      <c r="H713" s="4"/>
      <c r="I713" s="4"/>
      <c r="J713" s="4"/>
      <c r="K713" s="4"/>
      <c r="L713" s="4"/>
      <c r="M713" s="4"/>
      <c r="N713" s="4"/>
      <c r="O713" s="4"/>
      <c r="P713" s="4"/>
      <c r="Q713" s="4"/>
      <c r="R713" s="4"/>
      <c r="S713" s="4"/>
      <c r="T713" s="4"/>
      <c r="U713" s="4"/>
      <c r="V713" s="4"/>
      <c r="W713" s="4"/>
      <c r="X713" s="4"/>
      <c r="Y713" s="4"/>
      <c r="Z713" s="4"/>
      <c r="AA713" s="21"/>
    </row>
    <row r="714">
      <c r="A714" s="4"/>
      <c r="B714" s="4"/>
      <c r="C714" s="4"/>
      <c r="D714" s="26"/>
      <c r="E714" s="4"/>
      <c r="F714" s="4"/>
      <c r="G714" s="4"/>
      <c r="H714" s="4"/>
      <c r="I714" s="4"/>
      <c r="J714" s="4"/>
      <c r="K714" s="4"/>
      <c r="L714" s="4"/>
      <c r="M714" s="4"/>
      <c r="N714" s="4"/>
      <c r="O714" s="4"/>
      <c r="P714" s="4"/>
      <c r="Q714" s="4"/>
      <c r="R714" s="4"/>
      <c r="S714" s="4"/>
      <c r="T714" s="4"/>
      <c r="U714" s="4"/>
      <c r="V714" s="4"/>
      <c r="W714" s="4"/>
      <c r="X714" s="4"/>
      <c r="Y714" s="4"/>
      <c r="Z714" s="4"/>
      <c r="AA714" s="21"/>
    </row>
    <row r="715">
      <c r="A715" s="4"/>
      <c r="B715" s="4"/>
      <c r="C715" s="4"/>
      <c r="D715" s="26"/>
      <c r="E715" s="4"/>
      <c r="F715" s="4"/>
      <c r="G715" s="4"/>
      <c r="H715" s="4"/>
      <c r="I715" s="4"/>
      <c r="J715" s="4"/>
      <c r="K715" s="4"/>
      <c r="L715" s="4"/>
      <c r="M715" s="4"/>
      <c r="N715" s="4"/>
      <c r="O715" s="4"/>
      <c r="P715" s="4"/>
      <c r="Q715" s="4"/>
      <c r="R715" s="4"/>
      <c r="S715" s="4"/>
      <c r="T715" s="4"/>
      <c r="U715" s="4"/>
      <c r="V715" s="4"/>
      <c r="W715" s="4"/>
      <c r="X715" s="4"/>
      <c r="Y715" s="4"/>
      <c r="Z715" s="4"/>
      <c r="AA715" s="21"/>
    </row>
    <row r="716">
      <c r="A716" s="4"/>
      <c r="B716" s="4"/>
      <c r="C716" s="4"/>
      <c r="D716" s="26"/>
      <c r="E716" s="4"/>
      <c r="F716" s="4"/>
      <c r="G716" s="4"/>
      <c r="H716" s="4"/>
      <c r="I716" s="4"/>
      <c r="J716" s="4"/>
      <c r="K716" s="4"/>
      <c r="L716" s="4"/>
      <c r="M716" s="4"/>
      <c r="N716" s="4"/>
      <c r="O716" s="4"/>
      <c r="P716" s="4"/>
      <c r="Q716" s="4"/>
      <c r="R716" s="4"/>
      <c r="S716" s="4"/>
      <c r="T716" s="4"/>
      <c r="U716" s="4"/>
      <c r="V716" s="4"/>
      <c r="W716" s="4"/>
      <c r="X716" s="4"/>
      <c r="Y716" s="4"/>
      <c r="Z716" s="4"/>
      <c r="AA716" s="21"/>
    </row>
    <row r="717">
      <c r="A717" s="4"/>
      <c r="B717" s="4"/>
      <c r="C717" s="4"/>
      <c r="D717" s="26"/>
      <c r="E717" s="4"/>
      <c r="F717" s="4"/>
      <c r="G717" s="4"/>
      <c r="H717" s="4"/>
      <c r="I717" s="4"/>
      <c r="J717" s="4"/>
      <c r="K717" s="4"/>
      <c r="L717" s="4"/>
      <c r="M717" s="4"/>
      <c r="N717" s="4"/>
      <c r="O717" s="4"/>
      <c r="P717" s="4"/>
      <c r="Q717" s="4"/>
      <c r="R717" s="4"/>
      <c r="S717" s="4"/>
      <c r="T717" s="4"/>
      <c r="U717" s="4"/>
      <c r="V717" s="4"/>
      <c r="W717" s="4"/>
      <c r="X717" s="4"/>
      <c r="Y717" s="4"/>
      <c r="Z717" s="4"/>
      <c r="AA717" s="21"/>
    </row>
    <row r="718">
      <c r="A718" s="4"/>
      <c r="B718" s="4"/>
      <c r="C718" s="4"/>
      <c r="D718" s="26"/>
      <c r="E718" s="4"/>
      <c r="F718" s="4"/>
      <c r="G718" s="4"/>
      <c r="H718" s="4"/>
      <c r="I718" s="4"/>
      <c r="J718" s="4"/>
      <c r="K718" s="4"/>
      <c r="L718" s="4"/>
      <c r="M718" s="4"/>
      <c r="N718" s="4"/>
      <c r="O718" s="4"/>
      <c r="P718" s="4"/>
      <c r="Q718" s="4"/>
      <c r="R718" s="4"/>
      <c r="S718" s="4"/>
      <c r="T718" s="4"/>
      <c r="U718" s="4"/>
      <c r="V718" s="4"/>
      <c r="W718" s="4"/>
      <c r="X718" s="4"/>
      <c r="Y718" s="4"/>
      <c r="Z718" s="4"/>
      <c r="AA718" s="21"/>
    </row>
    <row r="719">
      <c r="A719" s="4"/>
      <c r="B719" s="4"/>
      <c r="C719" s="4"/>
      <c r="D719" s="26"/>
      <c r="E719" s="4"/>
      <c r="F719" s="4"/>
      <c r="G719" s="4"/>
      <c r="H719" s="4"/>
      <c r="I719" s="4"/>
      <c r="J719" s="4"/>
      <c r="K719" s="4"/>
      <c r="L719" s="4"/>
      <c r="M719" s="4"/>
      <c r="N719" s="4"/>
      <c r="O719" s="4"/>
      <c r="P719" s="4"/>
      <c r="Q719" s="4"/>
      <c r="R719" s="4"/>
      <c r="S719" s="4"/>
      <c r="T719" s="4"/>
      <c r="U719" s="4"/>
      <c r="V719" s="4"/>
      <c r="W719" s="4"/>
      <c r="X719" s="4"/>
      <c r="Y719" s="4"/>
      <c r="Z719" s="4"/>
      <c r="AA719" s="21"/>
    </row>
    <row r="720">
      <c r="A720" s="4"/>
      <c r="B720" s="4"/>
      <c r="C720" s="4"/>
      <c r="D720" s="26"/>
      <c r="E720" s="4"/>
      <c r="F720" s="4"/>
      <c r="G720" s="4"/>
      <c r="H720" s="4"/>
      <c r="I720" s="4"/>
      <c r="J720" s="4"/>
      <c r="K720" s="4"/>
      <c r="L720" s="4"/>
      <c r="M720" s="4"/>
      <c r="N720" s="4"/>
      <c r="O720" s="4"/>
      <c r="P720" s="4"/>
      <c r="Q720" s="4"/>
      <c r="R720" s="4"/>
      <c r="S720" s="4"/>
      <c r="T720" s="4"/>
      <c r="U720" s="4"/>
      <c r="V720" s="4"/>
      <c r="W720" s="4"/>
      <c r="X720" s="4"/>
      <c r="Y720" s="4"/>
      <c r="Z720" s="4"/>
      <c r="AA720" s="21"/>
    </row>
    <row r="721">
      <c r="A721" s="4"/>
      <c r="B721" s="4"/>
      <c r="C721" s="4"/>
      <c r="D721" s="26"/>
      <c r="E721" s="4"/>
      <c r="F721" s="4"/>
      <c r="G721" s="4"/>
      <c r="H721" s="4"/>
      <c r="I721" s="4"/>
      <c r="J721" s="4"/>
      <c r="K721" s="4"/>
      <c r="L721" s="4"/>
      <c r="M721" s="4"/>
      <c r="N721" s="4"/>
      <c r="O721" s="4"/>
      <c r="P721" s="4"/>
      <c r="Q721" s="4"/>
      <c r="R721" s="4"/>
      <c r="S721" s="4"/>
      <c r="T721" s="4"/>
      <c r="U721" s="4"/>
      <c r="V721" s="4"/>
      <c r="W721" s="4"/>
      <c r="X721" s="4"/>
      <c r="Y721" s="4"/>
      <c r="Z721" s="4"/>
      <c r="AA721" s="21"/>
    </row>
    <row r="722">
      <c r="A722" s="4"/>
      <c r="B722" s="4"/>
      <c r="C722" s="4"/>
      <c r="D722" s="26"/>
      <c r="E722" s="4"/>
      <c r="F722" s="4"/>
      <c r="G722" s="4"/>
      <c r="H722" s="4"/>
      <c r="I722" s="4"/>
      <c r="J722" s="4"/>
      <c r="K722" s="4"/>
      <c r="L722" s="4"/>
      <c r="M722" s="4"/>
      <c r="N722" s="4"/>
      <c r="O722" s="4"/>
      <c r="P722" s="4"/>
      <c r="Q722" s="4"/>
      <c r="R722" s="4"/>
      <c r="S722" s="4"/>
      <c r="T722" s="4"/>
      <c r="U722" s="4"/>
      <c r="V722" s="4"/>
      <c r="W722" s="4"/>
      <c r="X722" s="4"/>
      <c r="Y722" s="4"/>
      <c r="Z722" s="4"/>
      <c r="AA722" s="21"/>
    </row>
    <row r="723">
      <c r="A723" s="4"/>
      <c r="B723" s="4"/>
      <c r="C723" s="4"/>
      <c r="D723" s="26"/>
      <c r="E723" s="4"/>
      <c r="F723" s="4"/>
      <c r="G723" s="4"/>
      <c r="H723" s="4"/>
      <c r="I723" s="4"/>
      <c r="J723" s="4"/>
      <c r="K723" s="4"/>
      <c r="L723" s="4"/>
      <c r="M723" s="4"/>
      <c r="N723" s="4"/>
      <c r="O723" s="4"/>
      <c r="P723" s="4"/>
      <c r="Q723" s="4"/>
      <c r="R723" s="4"/>
      <c r="S723" s="4"/>
      <c r="T723" s="4"/>
      <c r="U723" s="4"/>
      <c r="V723" s="4"/>
      <c r="W723" s="4"/>
      <c r="X723" s="4"/>
      <c r="Y723" s="4"/>
      <c r="Z723" s="4"/>
      <c r="AA723" s="21"/>
    </row>
    <row r="724">
      <c r="A724" s="4"/>
      <c r="B724" s="4"/>
      <c r="C724" s="4"/>
      <c r="D724" s="26"/>
      <c r="E724" s="4"/>
      <c r="F724" s="4"/>
      <c r="G724" s="4"/>
      <c r="H724" s="4"/>
      <c r="I724" s="4"/>
      <c r="J724" s="4"/>
      <c r="K724" s="4"/>
      <c r="L724" s="4"/>
      <c r="M724" s="4"/>
      <c r="N724" s="4"/>
      <c r="O724" s="4"/>
      <c r="P724" s="4"/>
      <c r="Q724" s="4"/>
      <c r="R724" s="4"/>
      <c r="S724" s="4"/>
      <c r="T724" s="4"/>
      <c r="U724" s="4"/>
      <c r="V724" s="4"/>
      <c r="W724" s="4"/>
      <c r="X724" s="4"/>
      <c r="Y724" s="4"/>
      <c r="Z724" s="4"/>
      <c r="AA724" s="21"/>
    </row>
    <row r="725">
      <c r="A725" s="4"/>
      <c r="B725" s="4"/>
      <c r="C725" s="4"/>
      <c r="D725" s="26"/>
      <c r="E725" s="4"/>
      <c r="F725" s="4"/>
      <c r="G725" s="4"/>
      <c r="H725" s="4"/>
      <c r="I725" s="4"/>
      <c r="J725" s="4"/>
      <c r="K725" s="4"/>
      <c r="L725" s="4"/>
      <c r="M725" s="4"/>
      <c r="N725" s="4"/>
      <c r="O725" s="4"/>
      <c r="P725" s="4"/>
      <c r="Q725" s="4"/>
      <c r="R725" s="4"/>
      <c r="S725" s="4"/>
      <c r="T725" s="4"/>
      <c r="U725" s="4"/>
      <c r="V725" s="4"/>
      <c r="W725" s="4"/>
      <c r="X725" s="4"/>
      <c r="Y725" s="4"/>
      <c r="Z725" s="4"/>
      <c r="AA725" s="21"/>
    </row>
    <row r="726">
      <c r="A726" s="4"/>
      <c r="B726" s="4"/>
      <c r="C726" s="4"/>
      <c r="D726" s="26"/>
      <c r="E726" s="4"/>
      <c r="F726" s="4"/>
      <c r="G726" s="4"/>
      <c r="H726" s="4"/>
      <c r="I726" s="4"/>
      <c r="J726" s="4"/>
      <c r="K726" s="4"/>
      <c r="L726" s="4"/>
      <c r="M726" s="4"/>
      <c r="N726" s="4"/>
      <c r="O726" s="4"/>
      <c r="P726" s="4"/>
      <c r="Q726" s="4"/>
      <c r="R726" s="4"/>
      <c r="S726" s="4"/>
      <c r="T726" s="4"/>
      <c r="U726" s="4"/>
      <c r="V726" s="4"/>
      <c r="W726" s="4"/>
      <c r="X726" s="4"/>
      <c r="Y726" s="4"/>
      <c r="Z726" s="4"/>
      <c r="AA726" s="21"/>
    </row>
    <row r="727">
      <c r="A727" s="4"/>
      <c r="B727" s="4"/>
      <c r="C727" s="4"/>
      <c r="D727" s="26"/>
      <c r="E727" s="4"/>
      <c r="F727" s="4"/>
      <c r="G727" s="4"/>
      <c r="H727" s="4"/>
      <c r="I727" s="4"/>
      <c r="J727" s="4"/>
      <c r="K727" s="4"/>
      <c r="L727" s="4"/>
      <c r="M727" s="4"/>
      <c r="N727" s="4"/>
      <c r="O727" s="4"/>
      <c r="P727" s="4"/>
      <c r="Q727" s="4"/>
      <c r="R727" s="4"/>
      <c r="S727" s="4"/>
      <c r="T727" s="4"/>
      <c r="U727" s="4"/>
      <c r="V727" s="4"/>
      <c r="W727" s="4"/>
      <c r="X727" s="4"/>
      <c r="Y727" s="4"/>
      <c r="Z727" s="4"/>
      <c r="AA727" s="21"/>
    </row>
    <row r="728">
      <c r="A728" s="4"/>
      <c r="B728" s="4"/>
      <c r="C728" s="4"/>
      <c r="D728" s="26"/>
      <c r="E728" s="4"/>
      <c r="F728" s="4"/>
      <c r="G728" s="4"/>
      <c r="H728" s="4"/>
      <c r="I728" s="4"/>
      <c r="J728" s="4"/>
      <c r="K728" s="4"/>
      <c r="L728" s="4"/>
      <c r="M728" s="4"/>
      <c r="N728" s="4"/>
      <c r="O728" s="4"/>
      <c r="P728" s="4"/>
      <c r="Q728" s="4"/>
      <c r="R728" s="4"/>
      <c r="S728" s="4"/>
      <c r="T728" s="4"/>
      <c r="U728" s="4"/>
      <c r="V728" s="4"/>
      <c r="W728" s="4"/>
      <c r="X728" s="4"/>
      <c r="Y728" s="4"/>
      <c r="Z728" s="4"/>
      <c r="AA728" s="21"/>
    </row>
    <row r="729">
      <c r="A729" s="4"/>
      <c r="B729" s="4"/>
      <c r="C729" s="4"/>
      <c r="D729" s="26"/>
      <c r="E729" s="4"/>
      <c r="F729" s="4"/>
      <c r="G729" s="4"/>
      <c r="H729" s="4"/>
      <c r="I729" s="4"/>
      <c r="J729" s="4"/>
      <c r="K729" s="4"/>
      <c r="L729" s="4"/>
      <c r="M729" s="4"/>
      <c r="N729" s="4"/>
      <c r="O729" s="4"/>
      <c r="P729" s="4"/>
      <c r="Q729" s="4"/>
      <c r="R729" s="4"/>
      <c r="S729" s="4"/>
      <c r="T729" s="4"/>
      <c r="U729" s="4"/>
      <c r="V729" s="4"/>
      <c r="W729" s="4"/>
      <c r="X729" s="4"/>
      <c r="Y729" s="4"/>
      <c r="Z729" s="4"/>
      <c r="AA729" s="21"/>
    </row>
    <row r="730">
      <c r="A730" s="4"/>
      <c r="B730" s="4"/>
      <c r="C730" s="4"/>
      <c r="D730" s="26"/>
      <c r="E730" s="4"/>
      <c r="F730" s="4"/>
      <c r="G730" s="4"/>
      <c r="H730" s="4"/>
      <c r="I730" s="4"/>
      <c r="J730" s="4"/>
      <c r="K730" s="4"/>
      <c r="L730" s="4"/>
      <c r="M730" s="4"/>
      <c r="N730" s="4"/>
      <c r="O730" s="4"/>
      <c r="P730" s="4"/>
      <c r="Q730" s="4"/>
      <c r="R730" s="4"/>
      <c r="S730" s="4"/>
      <c r="T730" s="4"/>
      <c r="U730" s="4"/>
      <c r="V730" s="4"/>
      <c r="W730" s="4"/>
      <c r="X730" s="4"/>
      <c r="Y730" s="4"/>
      <c r="Z730" s="4"/>
      <c r="AA730" s="21"/>
    </row>
    <row r="731">
      <c r="A731" s="4"/>
      <c r="B731" s="4"/>
      <c r="C731" s="4"/>
      <c r="D731" s="26"/>
      <c r="E731" s="4"/>
      <c r="F731" s="4"/>
      <c r="G731" s="4"/>
      <c r="H731" s="4"/>
      <c r="I731" s="4"/>
      <c r="J731" s="4"/>
      <c r="K731" s="4"/>
      <c r="L731" s="4"/>
      <c r="M731" s="4"/>
      <c r="N731" s="4"/>
      <c r="O731" s="4"/>
      <c r="P731" s="4"/>
      <c r="Q731" s="4"/>
      <c r="R731" s="4"/>
      <c r="S731" s="4"/>
      <c r="T731" s="4"/>
      <c r="U731" s="4"/>
      <c r="V731" s="4"/>
      <c r="W731" s="4"/>
      <c r="X731" s="4"/>
      <c r="Y731" s="4"/>
      <c r="Z731" s="4"/>
      <c r="AA731" s="21"/>
    </row>
    <row r="732">
      <c r="A732" s="4"/>
      <c r="B732" s="4"/>
      <c r="C732" s="4"/>
      <c r="D732" s="26"/>
      <c r="E732" s="4"/>
      <c r="F732" s="4"/>
      <c r="G732" s="4"/>
      <c r="H732" s="4"/>
      <c r="I732" s="4"/>
      <c r="J732" s="4"/>
      <c r="K732" s="4"/>
      <c r="L732" s="4"/>
      <c r="M732" s="4"/>
      <c r="N732" s="4"/>
      <c r="O732" s="4"/>
      <c r="P732" s="4"/>
      <c r="Q732" s="4"/>
      <c r="R732" s="4"/>
      <c r="S732" s="4"/>
      <c r="T732" s="4"/>
      <c r="U732" s="4"/>
      <c r="V732" s="4"/>
      <c r="W732" s="4"/>
      <c r="X732" s="4"/>
      <c r="Y732" s="4"/>
      <c r="Z732" s="4"/>
      <c r="AA732" s="21"/>
    </row>
    <row r="733">
      <c r="A733" s="4"/>
      <c r="B733" s="4"/>
      <c r="C733" s="4"/>
      <c r="D733" s="26"/>
      <c r="E733" s="4"/>
      <c r="F733" s="4"/>
      <c r="G733" s="4"/>
      <c r="H733" s="4"/>
      <c r="I733" s="4"/>
      <c r="J733" s="4"/>
      <c r="K733" s="4"/>
      <c r="L733" s="4"/>
      <c r="M733" s="4"/>
      <c r="N733" s="4"/>
      <c r="O733" s="4"/>
      <c r="P733" s="4"/>
      <c r="Q733" s="4"/>
      <c r="R733" s="4"/>
      <c r="S733" s="4"/>
      <c r="T733" s="4"/>
      <c r="U733" s="4"/>
      <c r="V733" s="4"/>
      <c r="W733" s="4"/>
      <c r="X733" s="4"/>
      <c r="Y733" s="4"/>
      <c r="Z733" s="4"/>
      <c r="AA733" s="21"/>
    </row>
    <row r="734">
      <c r="A734" s="4"/>
      <c r="B734" s="4"/>
      <c r="C734" s="4"/>
      <c r="D734" s="26"/>
      <c r="E734" s="4"/>
      <c r="F734" s="4"/>
      <c r="G734" s="4"/>
      <c r="H734" s="4"/>
      <c r="I734" s="4"/>
      <c r="J734" s="4"/>
      <c r="K734" s="4"/>
      <c r="L734" s="4"/>
      <c r="M734" s="4"/>
      <c r="N734" s="4"/>
      <c r="O734" s="4"/>
      <c r="P734" s="4"/>
      <c r="Q734" s="4"/>
      <c r="R734" s="4"/>
      <c r="S734" s="4"/>
      <c r="T734" s="4"/>
      <c r="U734" s="4"/>
      <c r="V734" s="4"/>
      <c r="W734" s="4"/>
      <c r="X734" s="4"/>
      <c r="Y734" s="4"/>
      <c r="Z734" s="4"/>
      <c r="AA734" s="21"/>
    </row>
    <row r="735">
      <c r="A735" s="4"/>
      <c r="B735" s="4"/>
      <c r="C735" s="4"/>
      <c r="D735" s="26"/>
      <c r="E735" s="4"/>
      <c r="F735" s="4"/>
      <c r="G735" s="4"/>
      <c r="H735" s="4"/>
      <c r="I735" s="4"/>
      <c r="J735" s="4"/>
      <c r="K735" s="4"/>
      <c r="L735" s="4"/>
      <c r="M735" s="4"/>
      <c r="N735" s="4"/>
      <c r="O735" s="4"/>
      <c r="P735" s="4"/>
      <c r="Q735" s="4"/>
      <c r="R735" s="4"/>
      <c r="S735" s="4"/>
      <c r="T735" s="4"/>
      <c r="U735" s="4"/>
      <c r="V735" s="4"/>
      <c r="W735" s="4"/>
      <c r="X735" s="4"/>
      <c r="Y735" s="4"/>
      <c r="Z735" s="4"/>
      <c r="AA735" s="21"/>
    </row>
    <row r="736">
      <c r="A736" s="4"/>
      <c r="B736" s="4"/>
      <c r="C736" s="4"/>
      <c r="D736" s="26"/>
      <c r="E736" s="4"/>
      <c r="F736" s="4"/>
      <c r="G736" s="4"/>
      <c r="H736" s="4"/>
      <c r="I736" s="4"/>
      <c r="J736" s="4"/>
      <c r="K736" s="4"/>
      <c r="L736" s="4"/>
      <c r="M736" s="4"/>
      <c r="N736" s="4"/>
      <c r="O736" s="4"/>
      <c r="P736" s="4"/>
      <c r="Q736" s="4"/>
      <c r="R736" s="4"/>
      <c r="S736" s="4"/>
      <c r="T736" s="4"/>
      <c r="U736" s="4"/>
      <c r="V736" s="4"/>
      <c r="W736" s="4"/>
      <c r="X736" s="4"/>
      <c r="Y736" s="4"/>
      <c r="Z736" s="4"/>
      <c r="AA736" s="21"/>
    </row>
    <row r="737">
      <c r="A737" s="4"/>
      <c r="B737" s="4"/>
      <c r="C737" s="4"/>
      <c r="D737" s="26"/>
      <c r="E737" s="4"/>
      <c r="F737" s="4"/>
      <c r="G737" s="4"/>
      <c r="H737" s="4"/>
      <c r="I737" s="4"/>
      <c r="J737" s="4"/>
      <c r="K737" s="4"/>
      <c r="L737" s="4"/>
      <c r="M737" s="4"/>
      <c r="N737" s="4"/>
      <c r="O737" s="4"/>
      <c r="P737" s="4"/>
      <c r="Q737" s="4"/>
      <c r="R737" s="4"/>
      <c r="S737" s="4"/>
      <c r="T737" s="4"/>
      <c r="U737" s="4"/>
      <c r="V737" s="4"/>
      <c r="W737" s="4"/>
      <c r="X737" s="4"/>
      <c r="Y737" s="4"/>
      <c r="Z737" s="4"/>
      <c r="AA737" s="21"/>
    </row>
    <row r="738">
      <c r="A738" s="4"/>
      <c r="B738" s="4"/>
      <c r="C738" s="4"/>
      <c r="D738" s="26"/>
      <c r="E738" s="4"/>
      <c r="F738" s="4"/>
      <c r="G738" s="4"/>
      <c r="H738" s="4"/>
      <c r="I738" s="4"/>
      <c r="J738" s="4"/>
      <c r="K738" s="4"/>
      <c r="L738" s="4"/>
      <c r="M738" s="4"/>
      <c r="N738" s="4"/>
      <c r="O738" s="4"/>
      <c r="P738" s="4"/>
      <c r="Q738" s="4"/>
      <c r="R738" s="4"/>
      <c r="S738" s="4"/>
      <c r="T738" s="4"/>
      <c r="U738" s="4"/>
      <c r="V738" s="4"/>
      <c r="W738" s="4"/>
      <c r="X738" s="4"/>
      <c r="Y738" s="4"/>
      <c r="Z738" s="4"/>
      <c r="AA738" s="21"/>
    </row>
    <row r="739">
      <c r="A739" s="4"/>
      <c r="B739" s="4"/>
      <c r="C739" s="4"/>
      <c r="D739" s="26"/>
      <c r="E739" s="4"/>
      <c r="F739" s="4"/>
      <c r="G739" s="4"/>
      <c r="H739" s="4"/>
      <c r="I739" s="4"/>
      <c r="J739" s="4"/>
      <c r="K739" s="4"/>
      <c r="L739" s="4"/>
      <c r="M739" s="4"/>
      <c r="N739" s="4"/>
      <c r="O739" s="4"/>
      <c r="P739" s="4"/>
      <c r="Q739" s="4"/>
      <c r="R739" s="4"/>
      <c r="S739" s="4"/>
      <c r="T739" s="4"/>
      <c r="U739" s="4"/>
      <c r="V739" s="4"/>
      <c r="W739" s="4"/>
      <c r="X739" s="4"/>
      <c r="Y739" s="4"/>
      <c r="Z739" s="4"/>
      <c r="AA739" s="21"/>
    </row>
    <row r="740">
      <c r="A740" s="4"/>
      <c r="B740" s="4"/>
      <c r="C740" s="4"/>
      <c r="D740" s="26"/>
      <c r="E740" s="4"/>
      <c r="F740" s="4"/>
      <c r="G740" s="4"/>
      <c r="H740" s="4"/>
      <c r="I740" s="4"/>
      <c r="J740" s="4"/>
      <c r="K740" s="4"/>
      <c r="L740" s="4"/>
      <c r="M740" s="4"/>
      <c r="N740" s="4"/>
      <c r="O740" s="4"/>
      <c r="P740" s="4"/>
      <c r="Q740" s="4"/>
      <c r="R740" s="4"/>
      <c r="S740" s="4"/>
      <c r="T740" s="4"/>
      <c r="U740" s="4"/>
      <c r="V740" s="4"/>
      <c r="W740" s="4"/>
      <c r="X740" s="4"/>
      <c r="Y740" s="4"/>
      <c r="Z740" s="4"/>
      <c r="AA740" s="21"/>
    </row>
    <row r="741">
      <c r="A741" s="4"/>
      <c r="B741" s="4"/>
      <c r="C741" s="4"/>
      <c r="D741" s="26"/>
      <c r="E741" s="4"/>
      <c r="F741" s="4"/>
      <c r="G741" s="4"/>
      <c r="H741" s="4"/>
      <c r="I741" s="4"/>
      <c r="J741" s="4"/>
      <c r="K741" s="4"/>
      <c r="L741" s="4"/>
      <c r="M741" s="4"/>
      <c r="N741" s="4"/>
      <c r="O741" s="4"/>
      <c r="P741" s="4"/>
      <c r="Q741" s="4"/>
      <c r="R741" s="4"/>
      <c r="S741" s="4"/>
      <c r="T741" s="4"/>
      <c r="U741" s="4"/>
      <c r="V741" s="4"/>
      <c r="W741" s="4"/>
      <c r="X741" s="4"/>
      <c r="Y741" s="4"/>
      <c r="Z741" s="4"/>
      <c r="AA741" s="21"/>
    </row>
    <row r="742">
      <c r="A742" s="4"/>
      <c r="B742" s="4"/>
      <c r="C742" s="4"/>
      <c r="D742" s="26"/>
      <c r="E742" s="4"/>
      <c r="F742" s="4"/>
      <c r="G742" s="4"/>
      <c r="H742" s="4"/>
      <c r="I742" s="4"/>
      <c r="J742" s="4"/>
      <c r="K742" s="4"/>
      <c r="L742" s="4"/>
      <c r="M742" s="4"/>
      <c r="N742" s="4"/>
      <c r="O742" s="4"/>
      <c r="P742" s="4"/>
      <c r="Q742" s="4"/>
      <c r="R742" s="4"/>
      <c r="S742" s="4"/>
      <c r="T742" s="4"/>
      <c r="U742" s="4"/>
      <c r="V742" s="4"/>
      <c r="W742" s="4"/>
      <c r="X742" s="4"/>
      <c r="Y742" s="4"/>
      <c r="Z742" s="4"/>
      <c r="AA742" s="21"/>
    </row>
    <row r="743">
      <c r="A743" s="4"/>
      <c r="B743" s="4"/>
      <c r="C743" s="4"/>
      <c r="D743" s="26"/>
      <c r="E743" s="4"/>
      <c r="F743" s="4"/>
      <c r="G743" s="4"/>
      <c r="H743" s="4"/>
      <c r="I743" s="4"/>
      <c r="J743" s="4"/>
      <c r="K743" s="4"/>
      <c r="L743" s="4"/>
      <c r="M743" s="4"/>
      <c r="N743" s="4"/>
      <c r="O743" s="4"/>
      <c r="P743" s="4"/>
      <c r="Q743" s="4"/>
      <c r="R743" s="4"/>
      <c r="S743" s="4"/>
      <c r="T743" s="4"/>
      <c r="U743" s="4"/>
      <c r="V743" s="4"/>
      <c r="W743" s="4"/>
      <c r="X743" s="4"/>
      <c r="Y743" s="4"/>
      <c r="Z743" s="4"/>
      <c r="AA743" s="21"/>
    </row>
    <row r="744">
      <c r="A744" s="4"/>
      <c r="B744" s="4"/>
      <c r="C744" s="4"/>
      <c r="D744" s="26"/>
      <c r="E744" s="4"/>
      <c r="F744" s="4"/>
      <c r="G744" s="4"/>
      <c r="H744" s="4"/>
      <c r="I744" s="4"/>
      <c r="J744" s="4"/>
      <c r="K744" s="4"/>
      <c r="L744" s="4"/>
      <c r="M744" s="4"/>
      <c r="N744" s="4"/>
      <c r="O744" s="4"/>
      <c r="P744" s="4"/>
      <c r="Q744" s="4"/>
      <c r="R744" s="4"/>
      <c r="S744" s="4"/>
      <c r="T744" s="4"/>
      <c r="U744" s="4"/>
      <c r="V744" s="4"/>
      <c r="W744" s="4"/>
      <c r="X744" s="4"/>
      <c r="Y744" s="4"/>
      <c r="Z744" s="4"/>
      <c r="AA744" s="21"/>
    </row>
    <row r="745">
      <c r="A745" s="4"/>
      <c r="B745" s="4"/>
      <c r="C745" s="4"/>
      <c r="D745" s="26"/>
      <c r="E745" s="4"/>
      <c r="F745" s="4"/>
      <c r="G745" s="4"/>
      <c r="H745" s="4"/>
      <c r="I745" s="4"/>
      <c r="J745" s="4"/>
      <c r="K745" s="4"/>
      <c r="L745" s="4"/>
      <c r="M745" s="4"/>
      <c r="N745" s="4"/>
      <c r="O745" s="4"/>
      <c r="P745" s="4"/>
      <c r="Q745" s="4"/>
      <c r="R745" s="4"/>
      <c r="S745" s="4"/>
      <c r="T745" s="4"/>
      <c r="U745" s="4"/>
      <c r="V745" s="4"/>
      <c r="W745" s="4"/>
      <c r="X745" s="4"/>
      <c r="Y745" s="4"/>
      <c r="Z745" s="4"/>
      <c r="AA745" s="21"/>
    </row>
    <row r="746">
      <c r="A746" s="4"/>
      <c r="B746" s="4"/>
      <c r="C746" s="4"/>
      <c r="D746" s="26"/>
      <c r="E746" s="4"/>
      <c r="F746" s="4"/>
      <c r="G746" s="4"/>
      <c r="H746" s="4"/>
      <c r="I746" s="4"/>
      <c r="J746" s="4"/>
      <c r="K746" s="4"/>
      <c r="L746" s="4"/>
      <c r="M746" s="4"/>
      <c r="N746" s="4"/>
      <c r="O746" s="4"/>
      <c r="P746" s="4"/>
      <c r="Q746" s="4"/>
      <c r="R746" s="4"/>
      <c r="S746" s="4"/>
      <c r="T746" s="4"/>
      <c r="U746" s="4"/>
      <c r="V746" s="4"/>
      <c r="W746" s="4"/>
      <c r="X746" s="4"/>
      <c r="Y746" s="4"/>
      <c r="Z746" s="4"/>
      <c r="AA746" s="21"/>
    </row>
    <row r="747">
      <c r="A747" s="4"/>
      <c r="B747" s="4"/>
      <c r="C747" s="4"/>
      <c r="D747" s="26"/>
      <c r="E747" s="4"/>
      <c r="F747" s="4"/>
      <c r="G747" s="4"/>
      <c r="H747" s="4"/>
      <c r="I747" s="4"/>
      <c r="J747" s="4"/>
      <c r="K747" s="4"/>
      <c r="L747" s="4"/>
      <c r="M747" s="4"/>
      <c r="N747" s="4"/>
      <c r="O747" s="4"/>
      <c r="P747" s="4"/>
      <c r="Q747" s="4"/>
      <c r="R747" s="4"/>
      <c r="S747" s="4"/>
      <c r="T747" s="4"/>
      <c r="U747" s="4"/>
      <c r="V747" s="4"/>
      <c r="W747" s="4"/>
      <c r="X747" s="4"/>
      <c r="Y747" s="4"/>
      <c r="Z747" s="4"/>
      <c r="AA747" s="21"/>
    </row>
    <row r="748">
      <c r="A748" s="4"/>
      <c r="B748" s="4"/>
      <c r="C748" s="4"/>
      <c r="D748" s="26"/>
      <c r="E748" s="4"/>
      <c r="F748" s="4"/>
      <c r="G748" s="4"/>
      <c r="H748" s="4"/>
      <c r="I748" s="4"/>
      <c r="J748" s="4"/>
      <c r="K748" s="4"/>
      <c r="L748" s="4"/>
      <c r="M748" s="4"/>
      <c r="N748" s="4"/>
      <c r="O748" s="4"/>
      <c r="P748" s="4"/>
      <c r="Q748" s="4"/>
      <c r="R748" s="4"/>
      <c r="S748" s="4"/>
      <c r="T748" s="4"/>
      <c r="U748" s="4"/>
      <c r="V748" s="4"/>
      <c r="W748" s="4"/>
      <c r="X748" s="4"/>
      <c r="Y748" s="4"/>
      <c r="Z748" s="4"/>
      <c r="AA748" s="21"/>
    </row>
    <row r="749">
      <c r="A749" s="4"/>
      <c r="B749" s="4"/>
      <c r="C749" s="4"/>
      <c r="D749" s="26"/>
      <c r="E749" s="4"/>
      <c r="F749" s="4"/>
      <c r="G749" s="4"/>
      <c r="H749" s="4"/>
      <c r="I749" s="4"/>
      <c r="J749" s="4"/>
      <c r="K749" s="4"/>
      <c r="L749" s="4"/>
      <c r="M749" s="4"/>
      <c r="N749" s="4"/>
      <c r="O749" s="4"/>
      <c r="P749" s="4"/>
      <c r="Q749" s="4"/>
      <c r="R749" s="4"/>
      <c r="S749" s="4"/>
      <c r="T749" s="4"/>
      <c r="U749" s="4"/>
      <c r="V749" s="4"/>
      <c r="W749" s="4"/>
      <c r="X749" s="4"/>
      <c r="Y749" s="4"/>
      <c r="Z749" s="4"/>
      <c r="AA749" s="21"/>
    </row>
    <row r="750">
      <c r="A750" s="4"/>
      <c r="B750" s="4"/>
      <c r="C750" s="4"/>
      <c r="D750" s="26"/>
      <c r="E750" s="4"/>
      <c r="F750" s="4"/>
      <c r="G750" s="4"/>
      <c r="H750" s="4"/>
      <c r="I750" s="4"/>
      <c r="J750" s="4"/>
      <c r="K750" s="4"/>
      <c r="L750" s="4"/>
      <c r="M750" s="4"/>
      <c r="N750" s="4"/>
      <c r="O750" s="4"/>
      <c r="P750" s="4"/>
      <c r="Q750" s="4"/>
      <c r="R750" s="4"/>
      <c r="S750" s="4"/>
      <c r="T750" s="4"/>
      <c r="U750" s="4"/>
      <c r="V750" s="4"/>
      <c r="W750" s="4"/>
      <c r="X750" s="4"/>
      <c r="Y750" s="4"/>
      <c r="Z750" s="4"/>
      <c r="AA750" s="21"/>
    </row>
    <row r="751">
      <c r="A751" s="4"/>
      <c r="B751" s="4"/>
      <c r="C751" s="4"/>
      <c r="D751" s="26"/>
      <c r="E751" s="4"/>
      <c r="F751" s="4"/>
      <c r="G751" s="4"/>
      <c r="H751" s="4"/>
      <c r="I751" s="4"/>
      <c r="J751" s="4"/>
      <c r="K751" s="4"/>
      <c r="L751" s="4"/>
      <c r="M751" s="4"/>
      <c r="N751" s="4"/>
      <c r="O751" s="4"/>
      <c r="P751" s="4"/>
      <c r="Q751" s="4"/>
      <c r="R751" s="4"/>
      <c r="S751" s="4"/>
      <c r="T751" s="4"/>
      <c r="U751" s="4"/>
      <c r="V751" s="4"/>
      <c r="W751" s="4"/>
      <c r="X751" s="4"/>
      <c r="Y751" s="4"/>
      <c r="Z751" s="4"/>
      <c r="AA751" s="21"/>
    </row>
    <row r="752">
      <c r="A752" s="4"/>
      <c r="B752" s="4"/>
      <c r="C752" s="4"/>
      <c r="D752" s="26"/>
      <c r="E752" s="4"/>
      <c r="F752" s="4"/>
      <c r="G752" s="4"/>
      <c r="H752" s="4"/>
      <c r="I752" s="4"/>
      <c r="J752" s="4"/>
      <c r="K752" s="4"/>
      <c r="L752" s="4"/>
      <c r="M752" s="4"/>
      <c r="N752" s="4"/>
      <c r="O752" s="4"/>
      <c r="P752" s="4"/>
      <c r="Q752" s="4"/>
      <c r="R752" s="4"/>
      <c r="S752" s="4"/>
      <c r="T752" s="4"/>
      <c r="U752" s="4"/>
      <c r="V752" s="4"/>
      <c r="W752" s="4"/>
      <c r="X752" s="4"/>
      <c r="Y752" s="4"/>
      <c r="Z752" s="4"/>
      <c r="AA752" s="21"/>
    </row>
    <row r="753">
      <c r="A753" s="4"/>
      <c r="B753" s="4"/>
      <c r="C753" s="4"/>
      <c r="D753" s="26"/>
      <c r="E753" s="4"/>
      <c r="F753" s="4"/>
      <c r="G753" s="4"/>
      <c r="H753" s="4"/>
      <c r="I753" s="4"/>
      <c r="J753" s="4"/>
      <c r="K753" s="4"/>
      <c r="L753" s="4"/>
      <c r="M753" s="4"/>
      <c r="N753" s="4"/>
      <c r="O753" s="4"/>
      <c r="P753" s="4"/>
      <c r="Q753" s="4"/>
      <c r="R753" s="4"/>
      <c r="S753" s="4"/>
      <c r="T753" s="4"/>
      <c r="U753" s="4"/>
      <c r="V753" s="4"/>
      <c r="W753" s="4"/>
      <c r="X753" s="4"/>
      <c r="Y753" s="4"/>
      <c r="Z753" s="4"/>
      <c r="AA753" s="21"/>
    </row>
    <row r="754">
      <c r="A754" s="4"/>
      <c r="B754" s="4"/>
      <c r="C754" s="4"/>
      <c r="D754" s="26"/>
      <c r="E754" s="4"/>
      <c r="F754" s="4"/>
      <c r="G754" s="4"/>
      <c r="H754" s="4"/>
      <c r="I754" s="4"/>
      <c r="J754" s="4"/>
      <c r="K754" s="4"/>
      <c r="L754" s="4"/>
      <c r="M754" s="4"/>
      <c r="N754" s="4"/>
      <c r="O754" s="4"/>
      <c r="P754" s="4"/>
      <c r="Q754" s="4"/>
      <c r="R754" s="4"/>
      <c r="S754" s="4"/>
      <c r="T754" s="4"/>
      <c r="U754" s="4"/>
      <c r="V754" s="4"/>
      <c r="W754" s="4"/>
      <c r="X754" s="4"/>
      <c r="Y754" s="4"/>
      <c r="Z754" s="4"/>
      <c r="AA754" s="21"/>
    </row>
    <row r="755">
      <c r="A755" s="4"/>
      <c r="B755" s="4"/>
      <c r="C755" s="4"/>
      <c r="D755" s="26"/>
      <c r="E755" s="4"/>
      <c r="F755" s="4"/>
      <c r="G755" s="4"/>
      <c r="H755" s="4"/>
      <c r="I755" s="4"/>
      <c r="J755" s="4"/>
      <c r="K755" s="4"/>
      <c r="L755" s="4"/>
      <c r="M755" s="4"/>
      <c r="N755" s="4"/>
      <c r="O755" s="4"/>
      <c r="P755" s="4"/>
      <c r="Q755" s="4"/>
      <c r="R755" s="4"/>
      <c r="S755" s="4"/>
      <c r="T755" s="4"/>
      <c r="U755" s="4"/>
      <c r="V755" s="4"/>
      <c r="W755" s="4"/>
      <c r="X755" s="4"/>
      <c r="Y755" s="4"/>
      <c r="Z755" s="4"/>
      <c r="AA755" s="21"/>
    </row>
    <row r="756">
      <c r="A756" s="4"/>
      <c r="B756" s="4"/>
      <c r="C756" s="4"/>
      <c r="D756" s="26"/>
      <c r="E756" s="4"/>
      <c r="F756" s="4"/>
      <c r="G756" s="4"/>
      <c r="H756" s="4"/>
      <c r="I756" s="4"/>
      <c r="J756" s="4"/>
      <c r="K756" s="4"/>
      <c r="L756" s="4"/>
      <c r="M756" s="4"/>
      <c r="N756" s="4"/>
      <c r="O756" s="4"/>
      <c r="P756" s="4"/>
      <c r="Q756" s="4"/>
      <c r="R756" s="4"/>
      <c r="S756" s="4"/>
      <c r="T756" s="4"/>
      <c r="U756" s="4"/>
      <c r="V756" s="4"/>
      <c r="W756" s="4"/>
      <c r="X756" s="4"/>
      <c r="Y756" s="4"/>
      <c r="Z756" s="4"/>
      <c r="AA756" s="21"/>
    </row>
    <row r="757">
      <c r="A757" s="4"/>
      <c r="B757" s="4"/>
      <c r="C757" s="4"/>
      <c r="D757" s="26"/>
      <c r="E757" s="4"/>
      <c r="F757" s="4"/>
      <c r="G757" s="4"/>
      <c r="H757" s="4"/>
      <c r="I757" s="4"/>
      <c r="J757" s="4"/>
      <c r="K757" s="4"/>
      <c r="L757" s="4"/>
      <c r="M757" s="4"/>
      <c r="N757" s="4"/>
      <c r="O757" s="4"/>
      <c r="P757" s="4"/>
      <c r="Q757" s="4"/>
      <c r="R757" s="4"/>
      <c r="S757" s="4"/>
      <c r="T757" s="4"/>
      <c r="U757" s="4"/>
      <c r="V757" s="4"/>
      <c r="W757" s="4"/>
      <c r="X757" s="4"/>
      <c r="Y757" s="4"/>
      <c r="Z757" s="4"/>
      <c r="AA757" s="21"/>
    </row>
    <row r="758">
      <c r="A758" s="4"/>
      <c r="B758" s="4"/>
      <c r="C758" s="4"/>
      <c r="D758" s="26"/>
      <c r="E758" s="4"/>
      <c r="F758" s="4"/>
      <c r="G758" s="4"/>
      <c r="H758" s="4"/>
      <c r="I758" s="4"/>
      <c r="J758" s="4"/>
      <c r="K758" s="4"/>
      <c r="L758" s="4"/>
      <c r="M758" s="4"/>
      <c r="N758" s="4"/>
      <c r="O758" s="4"/>
      <c r="P758" s="4"/>
      <c r="Q758" s="4"/>
      <c r="R758" s="4"/>
      <c r="S758" s="4"/>
      <c r="T758" s="4"/>
      <c r="U758" s="4"/>
      <c r="V758" s="4"/>
      <c r="W758" s="4"/>
      <c r="X758" s="4"/>
      <c r="Y758" s="4"/>
      <c r="Z758" s="4"/>
      <c r="AA758" s="21"/>
    </row>
    <row r="759">
      <c r="A759" s="4"/>
      <c r="B759" s="4"/>
      <c r="C759" s="4"/>
      <c r="D759" s="26"/>
      <c r="E759" s="4"/>
      <c r="F759" s="4"/>
      <c r="G759" s="4"/>
      <c r="H759" s="4"/>
      <c r="I759" s="4"/>
      <c r="J759" s="4"/>
      <c r="K759" s="4"/>
      <c r="L759" s="4"/>
      <c r="M759" s="4"/>
      <c r="N759" s="4"/>
      <c r="O759" s="4"/>
      <c r="P759" s="4"/>
      <c r="Q759" s="4"/>
      <c r="R759" s="4"/>
      <c r="S759" s="4"/>
      <c r="T759" s="4"/>
      <c r="U759" s="4"/>
      <c r="V759" s="4"/>
      <c r="W759" s="4"/>
      <c r="X759" s="4"/>
      <c r="Y759" s="4"/>
      <c r="Z759" s="4"/>
      <c r="AA759" s="21"/>
    </row>
    <row r="760">
      <c r="A760" s="4"/>
      <c r="B760" s="4"/>
      <c r="C760" s="4"/>
      <c r="D760" s="26"/>
      <c r="E760" s="4"/>
      <c r="F760" s="4"/>
      <c r="G760" s="4"/>
      <c r="H760" s="4"/>
      <c r="I760" s="4"/>
      <c r="J760" s="4"/>
      <c r="K760" s="4"/>
      <c r="L760" s="4"/>
      <c r="M760" s="4"/>
      <c r="N760" s="4"/>
      <c r="O760" s="4"/>
      <c r="P760" s="4"/>
      <c r="Q760" s="4"/>
      <c r="R760" s="4"/>
      <c r="S760" s="4"/>
      <c r="T760" s="4"/>
      <c r="U760" s="4"/>
      <c r="V760" s="4"/>
      <c r="W760" s="4"/>
      <c r="X760" s="4"/>
      <c r="Y760" s="4"/>
      <c r="Z760" s="4"/>
      <c r="AA760" s="21"/>
    </row>
    <row r="761">
      <c r="A761" s="4"/>
      <c r="B761" s="4"/>
      <c r="C761" s="4"/>
      <c r="D761" s="26"/>
      <c r="E761" s="4"/>
      <c r="F761" s="4"/>
      <c r="G761" s="4"/>
      <c r="H761" s="4"/>
      <c r="I761" s="4"/>
      <c r="J761" s="4"/>
      <c r="K761" s="4"/>
      <c r="L761" s="4"/>
      <c r="M761" s="4"/>
      <c r="N761" s="4"/>
      <c r="O761" s="4"/>
      <c r="P761" s="4"/>
      <c r="Q761" s="4"/>
      <c r="R761" s="4"/>
      <c r="S761" s="4"/>
      <c r="T761" s="4"/>
      <c r="U761" s="4"/>
      <c r="V761" s="4"/>
      <c r="W761" s="4"/>
      <c r="X761" s="4"/>
      <c r="Y761" s="4"/>
      <c r="Z761" s="4"/>
      <c r="AA761" s="21"/>
    </row>
    <row r="762">
      <c r="A762" s="4"/>
      <c r="B762" s="4"/>
      <c r="C762" s="4"/>
      <c r="D762" s="26"/>
      <c r="E762" s="4"/>
      <c r="F762" s="4"/>
      <c r="G762" s="4"/>
      <c r="H762" s="4"/>
      <c r="I762" s="4"/>
      <c r="J762" s="4"/>
      <c r="K762" s="4"/>
      <c r="L762" s="4"/>
      <c r="M762" s="4"/>
      <c r="N762" s="4"/>
      <c r="O762" s="4"/>
      <c r="P762" s="4"/>
      <c r="Q762" s="4"/>
      <c r="R762" s="4"/>
      <c r="S762" s="4"/>
      <c r="T762" s="4"/>
      <c r="U762" s="4"/>
      <c r="V762" s="4"/>
      <c r="W762" s="4"/>
      <c r="X762" s="4"/>
      <c r="Y762" s="4"/>
      <c r="Z762" s="4"/>
      <c r="AA762" s="21"/>
    </row>
    <row r="763">
      <c r="A763" s="4"/>
      <c r="B763" s="4"/>
      <c r="C763" s="4"/>
      <c r="D763" s="26"/>
      <c r="E763" s="4"/>
      <c r="F763" s="4"/>
      <c r="G763" s="4"/>
      <c r="H763" s="4"/>
      <c r="I763" s="4"/>
      <c r="J763" s="4"/>
      <c r="K763" s="4"/>
      <c r="L763" s="4"/>
      <c r="M763" s="4"/>
      <c r="N763" s="4"/>
      <c r="O763" s="4"/>
      <c r="P763" s="4"/>
      <c r="Q763" s="4"/>
      <c r="R763" s="4"/>
      <c r="S763" s="4"/>
      <c r="T763" s="4"/>
      <c r="U763" s="4"/>
      <c r="V763" s="4"/>
      <c r="W763" s="4"/>
      <c r="X763" s="4"/>
      <c r="Y763" s="4"/>
      <c r="Z763" s="4"/>
      <c r="AA763" s="21"/>
    </row>
    <row r="764">
      <c r="A764" s="4"/>
      <c r="B764" s="4"/>
      <c r="C764" s="4"/>
      <c r="D764" s="26"/>
      <c r="E764" s="4"/>
      <c r="F764" s="4"/>
      <c r="G764" s="4"/>
      <c r="H764" s="4"/>
      <c r="I764" s="4"/>
      <c r="J764" s="4"/>
      <c r="K764" s="4"/>
      <c r="L764" s="4"/>
      <c r="M764" s="4"/>
      <c r="N764" s="4"/>
      <c r="O764" s="4"/>
      <c r="P764" s="4"/>
      <c r="Q764" s="4"/>
      <c r="R764" s="4"/>
      <c r="S764" s="4"/>
      <c r="T764" s="4"/>
      <c r="U764" s="4"/>
      <c r="V764" s="4"/>
      <c r="W764" s="4"/>
      <c r="X764" s="4"/>
      <c r="Y764" s="4"/>
      <c r="Z764" s="4"/>
      <c r="AA764" s="21"/>
    </row>
    <row r="765">
      <c r="A765" s="4"/>
      <c r="B765" s="4"/>
      <c r="C765" s="4"/>
      <c r="D765" s="26"/>
      <c r="E765" s="4"/>
      <c r="F765" s="4"/>
      <c r="G765" s="4"/>
      <c r="H765" s="4"/>
      <c r="I765" s="4"/>
      <c r="J765" s="4"/>
      <c r="K765" s="4"/>
      <c r="L765" s="4"/>
      <c r="M765" s="4"/>
      <c r="N765" s="4"/>
      <c r="O765" s="4"/>
      <c r="P765" s="4"/>
      <c r="Q765" s="4"/>
      <c r="R765" s="4"/>
      <c r="S765" s="4"/>
      <c r="T765" s="4"/>
      <c r="U765" s="4"/>
      <c r="V765" s="4"/>
      <c r="W765" s="4"/>
      <c r="X765" s="4"/>
      <c r="Y765" s="4"/>
      <c r="Z765" s="4"/>
      <c r="AA765" s="21"/>
    </row>
    <row r="766">
      <c r="A766" s="4"/>
      <c r="B766" s="4"/>
      <c r="C766" s="4"/>
      <c r="D766" s="26"/>
      <c r="E766" s="4"/>
      <c r="F766" s="4"/>
      <c r="G766" s="4"/>
      <c r="H766" s="4"/>
      <c r="I766" s="4"/>
      <c r="J766" s="4"/>
      <c r="K766" s="4"/>
      <c r="L766" s="4"/>
      <c r="M766" s="4"/>
      <c r="N766" s="4"/>
      <c r="O766" s="4"/>
      <c r="P766" s="4"/>
      <c r="Q766" s="4"/>
      <c r="R766" s="4"/>
      <c r="S766" s="4"/>
      <c r="T766" s="4"/>
      <c r="U766" s="4"/>
      <c r="V766" s="4"/>
      <c r="W766" s="4"/>
      <c r="X766" s="4"/>
      <c r="Y766" s="4"/>
      <c r="Z766" s="4"/>
      <c r="AA766" s="21"/>
    </row>
    <row r="767">
      <c r="A767" s="4"/>
      <c r="B767" s="4"/>
      <c r="C767" s="4"/>
      <c r="D767" s="26"/>
      <c r="E767" s="4"/>
      <c r="F767" s="4"/>
      <c r="G767" s="4"/>
      <c r="H767" s="4"/>
      <c r="I767" s="4"/>
      <c r="J767" s="4"/>
      <c r="K767" s="4"/>
      <c r="L767" s="4"/>
      <c r="M767" s="4"/>
      <c r="N767" s="4"/>
      <c r="O767" s="4"/>
      <c r="P767" s="4"/>
      <c r="Q767" s="4"/>
      <c r="R767" s="4"/>
      <c r="S767" s="4"/>
      <c r="T767" s="4"/>
      <c r="U767" s="4"/>
      <c r="V767" s="4"/>
      <c r="W767" s="4"/>
      <c r="X767" s="4"/>
      <c r="Y767" s="4"/>
      <c r="Z767" s="4"/>
      <c r="AA767" s="21"/>
    </row>
    <row r="768">
      <c r="A768" s="4"/>
      <c r="B768" s="4"/>
      <c r="C768" s="4"/>
      <c r="D768" s="26"/>
      <c r="E768" s="4"/>
      <c r="F768" s="4"/>
      <c r="G768" s="4"/>
      <c r="H768" s="4"/>
      <c r="I768" s="4"/>
      <c r="J768" s="4"/>
      <c r="K768" s="4"/>
      <c r="L768" s="4"/>
      <c r="M768" s="4"/>
      <c r="N768" s="4"/>
      <c r="O768" s="4"/>
      <c r="P768" s="4"/>
      <c r="Q768" s="4"/>
      <c r="R768" s="4"/>
      <c r="S768" s="4"/>
      <c r="T768" s="4"/>
      <c r="U768" s="4"/>
      <c r="V768" s="4"/>
      <c r="W768" s="4"/>
      <c r="X768" s="4"/>
      <c r="Y768" s="4"/>
      <c r="Z768" s="4"/>
      <c r="AA768" s="21"/>
    </row>
    <row r="769">
      <c r="A769" s="4"/>
      <c r="B769" s="4"/>
      <c r="C769" s="4"/>
      <c r="D769" s="26"/>
      <c r="E769" s="4"/>
      <c r="F769" s="4"/>
      <c r="G769" s="4"/>
      <c r="H769" s="4"/>
      <c r="I769" s="4"/>
      <c r="J769" s="4"/>
      <c r="K769" s="4"/>
      <c r="L769" s="4"/>
      <c r="M769" s="4"/>
      <c r="N769" s="4"/>
      <c r="O769" s="4"/>
      <c r="P769" s="4"/>
      <c r="Q769" s="4"/>
      <c r="R769" s="4"/>
      <c r="S769" s="4"/>
      <c r="T769" s="4"/>
      <c r="U769" s="4"/>
      <c r="V769" s="4"/>
      <c r="W769" s="4"/>
      <c r="X769" s="4"/>
      <c r="Y769" s="4"/>
      <c r="Z769" s="4"/>
      <c r="AA769" s="21"/>
    </row>
    <row r="770">
      <c r="A770" s="4"/>
      <c r="B770" s="4"/>
      <c r="C770" s="4"/>
      <c r="D770" s="26"/>
      <c r="E770" s="4"/>
      <c r="F770" s="4"/>
      <c r="G770" s="4"/>
      <c r="H770" s="4"/>
      <c r="I770" s="4"/>
      <c r="J770" s="4"/>
      <c r="K770" s="4"/>
      <c r="L770" s="4"/>
      <c r="M770" s="4"/>
      <c r="N770" s="4"/>
      <c r="O770" s="4"/>
      <c r="P770" s="4"/>
      <c r="Q770" s="4"/>
      <c r="R770" s="4"/>
      <c r="S770" s="4"/>
      <c r="T770" s="4"/>
      <c r="U770" s="4"/>
      <c r="V770" s="4"/>
      <c r="W770" s="4"/>
      <c r="X770" s="4"/>
      <c r="Y770" s="4"/>
      <c r="Z770" s="4"/>
      <c r="AA770" s="21"/>
    </row>
    <row r="771">
      <c r="A771" s="4"/>
      <c r="B771" s="4"/>
      <c r="C771" s="4"/>
      <c r="D771" s="26"/>
      <c r="E771" s="4"/>
      <c r="F771" s="4"/>
      <c r="G771" s="4"/>
      <c r="H771" s="4"/>
      <c r="I771" s="4"/>
      <c r="J771" s="4"/>
      <c r="K771" s="4"/>
      <c r="L771" s="4"/>
      <c r="M771" s="4"/>
      <c r="N771" s="4"/>
      <c r="O771" s="4"/>
      <c r="P771" s="4"/>
      <c r="Q771" s="4"/>
      <c r="R771" s="4"/>
      <c r="S771" s="4"/>
      <c r="T771" s="4"/>
      <c r="U771" s="4"/>
      <c r="V771" s="4"/>
      <c r="W771" s="4"/>
      <c r="X771" s="4"/>
      <c r="Y771" s="4"/>
      <c r="Z771" s="4"/>
      <c r="AA771" s="21"/>
    </row>
    <row r="772">
      <c r="A772" s="4"/>
      <c r="B772" s="4"/>
      <c r="C772" s="4"/>
      <c r="D772" s="26"/>
      <c r="E772" s="4"/>
      <c r="F772" s="4"/>
      <c r="G772" s="4"/>
      <c r="H772" s="4"/>
      <c r="I772" s="4"/>
      <c r="J772" s="4"/>
      <c r="K772" s="4"/>
      <c r="L772" s="4"/>
      <c r="M772" s="4"/>
      <c r="N772" s="4"/>
      <c r="O772" s="4"/>
      <c r="P772" s="4"/>
      <c r="Q772" s="4"/>
      <c r="R772" s="4"/>
      <c r="S772" s="4"/>
      <c r="T772" s="4"/>
      <c r="U772" s="4"/>
      <c r="V772" s="4"/>
      <c r="W772" s="4"/>
      <c r="X772" s="4"/>
      <c r="Y772" s="4"/>
      <c r="Z772" s="4"/>
      <c r="AA772" s="21"/>
    </row>
    <row r="773">
      <c r="A773" s="4"/>
      <c r="B773" s="4"/>
      <c r="C773" s="4"/>
      <c r="D773" s="26"/>
      <c r="E773" s="4"/>
      <c r="F773" s="4"/>
      <c r="G773" s="4"/>
      <c r="H773" s="4"/>
      <c r="I773" s="4"/>
      <c r="J773" s="4"/>
      <c r="K773" s="4"/>
      <c r="L773" s="4"/>
      <c r="M773" s="4"/>
      <c r="N773" s="4"/>
      <c r="O773" s="4"/>
      <c r="P773" s="4"/>
      <c r="Q773" s="4"/>
      <c r="R773" s="4"/>
      <c r="S773" s="4"/>
      <c r="T773" s="4"/>
      <c r="U773" s="4"/>
      <c r="V773" s="4"/>
      <c r="W773" s="4"/>
      <c r="X773" s="4"/>
      <c r="Y773" s="4"/>
      <c r="Z773" s="4"/>
      <c r="AA773" s="21"/>
    </row>
    <row r="774">
      <c r="A774" s="4"/>
      <c r="B774" s="4"/>
      <c r="C774" s="4"/>
      <c r="D774" s="26"/>
      <c r="E774" s="4"/>
      <c r="F774" s="4"/>
      <c r="G774" s="4"/>
      <c r="H774" s="4"/>
      <c r="I774" s="4"/>
      <c r="J774" s="4"/>
      <c r="K774" s="4"/>
      <c r="L774" s="4"/>
      <c r="M774" s="4"/>
      <c r="N774" s="4"/>
      <c r="O774" s="4"/>
      <c r="P774" s="4"/>
      <c r="Q774" s="4"/>
      <c r="R774" s="4"/>
      <c r="S774" s="4"/>
      <c r="T774" s="4"/>
      <c r="U774" s="4"/>
      <c r="V774" s="4"/>
      <c r="W774" s="4"/>
      <c r="X774" s="4"/>
      <c r="Y774" s="4"/>
      <c r="Z774" s="4"/>
      <c r="AA774" s="21"/>
    </row>
    <row r="775">
      <c r="A775" s="4"/>
      <c r="B775" s="4"/>
      <c r="C775" s="4"/>
      <c r="D775" s="26"/>
      <c r="E775" s="4"/>
      <c r="F775" s="4"/>
      <c r="G775" s="4"/>
      <c r="H775" s="4"/>
      <c r="I775" s="4"/>
      <c r="J775" s="4"/>
      <c r="K775" s="4"/>
      <c r="L775" s="4"/>
      <c r="M775" s="4"/>
      <c r="N775" s="4"/>
      <c r="O775" s="4"/>
      <c r="P775" s="4"/>
      <c r="Q775" s="4"/>
      <c r="R775" s="4"/>
      <c r="S775" s="4"/>
      <c r="T775" s="4"/>
      <c r="U775" s="4"/>
      <c r="V775" s="4"/>
      <c r="W775" s="4"/>
      <c r="X775" s="4"/>
      <c r="Y775" s="4"/>
      <c r="Z775" s="4"/>
      <c r="AA775" s="21"/>
    </row>
    <row r="776">
      <c r="A776" s="4"/>
      <c r="B776" s="4"/>
      <c r="C776" s="4"/>
      <c r="D776" s="26"/>
      <c r="E776" s="4"/>
      <c r="F776" s="4"/>
      <c r="G776" s="4"/>
      <c r="H776" s="4"/>
      <c r="I776" s="4"/>
      <c r="J776" s="4"/>
      <c r="K776" s="4"/>
      <c r="L776" s="4"/>
      <c r="M776" s="4"/>
      <c r="N776" s="4"/>
      <c r="O776" s="4"/>
      <c r="P776" s="4"/>
      <c r="Q776" s="4"/>
      <c r="R776" s="4"/>
      <c r="S776" s="4"/>
      <c r="T776" s="4"/>
      <c r="U776" s="4"/>
      <c r="V776" s="4"/>
      <c r="W776" s="4"/>
      <c r="X776" s="4"/>
      <c r="Y776" s="4"/>
      <c r="Z776" s="4"/>
      <c r="AA776" s="21"/>
    </row>
    <row r="777">
      <c r="A777" s="4"/>
      <c r="B777" s="4"/>
      <c r="C777" s="4"/>
      <c r="D777" s="26"/>
      <c r="E777" s="4"/>
      <c r="F777" s="4"/>
      <c r="G777" s="4"/>
      <c r="H777" s="4"/>
      <c r="I777" s="4"/>
      <c r="J777" s="4"/>
      <c r="K777" s="4"/>
      <c r="L777" s="4"/>
      <c r="M777" s="4"/>
      <c r="N777" s="4"/>
      <c r="O777" s="4"/>
      <c r="P777" s="4"/>
      <c r="Q777" s="4"/>
      <c r="R777" s="4"/>
      <c r="S777" s="4"/>
      <c r="T777" s="4"/>
      <c r="U777" s="4"/>
      <c r="V777" s="4"/>
      <c r="W777" s="4"/>
      <c r="X777" s="4"/>
      <c r="Y777" s="4"/>
      <c r="Z777" s="4"/>
      <c r="AA777" s="21"/>
    </row>
  </sheetData>
  <dataValidations>
    <dataValidation type="list" allowBlank="1" showErrorMessage="1" sqref="H2:H777">
      <formula1>"Conference,Journal"</formula1>
    </dataValidation>
    <dataValidation type="list" allowBlank="1" showErrorMessage="1" sqref="G2:G777">
      <formula1>"IEEE,Springer,Science Direct,ACM,Taylor and Francis ,Wiley ,Google Scholar ,Source "</formula1>
    </dataValidation>
    <dataValidation type="list" allowBlank="1" showErrorMessage="1" sqref="I2:J777">
      <formula1>"Yes,No"</formula1>
    </dataValidation>
    <dataValidation type="list" allowBlank="1" showErrorMessage="1" sqref="E2:E777">
      <formula1>"2025,2024,2023,2022,2021,2020,2019,2018,2017,2016,2015"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5.63"/>
    <col customWidth="1" min="3" max="3" width="30.25"/>
    <col customWidth="1" min="4" max="4" width="35.25"/>
    <col customWidth="1" min="6" max="6" width="19.5"/>
    <col customWidth="1" min="7" max="7" width="16.75"/>
    <col customWidth="1" min="8" max="8" width="15.75"/>
    <col customWidth="1" min="10" max="10" width="16.25"/>
  </cols>
  <sheetData>
    <row r="1">
      <c r="A1" s="14" t="s">
        <v>1289</v>
      </c>
      <c r="B1" s="13" t="s">
        <v>29</v>
      </c>
      <c r="C1" s="14" t="s">
        <v>30</v>
      </c>
      <c r="D1" s="20" t="s">
        <v>1234</v>
      </c>
      <c r="E1" s="13" t="s">
        <v>31</v>
      </c>
      <c r="F1" s="14" t="s">
        <v>32</v>
      </c>
      <c r="G1" s="14" t="s">
        <v>33</v>
      </c>
      <c r="H1" s="14" t="s">
        <v>34</v>
      </c>
      <c r="I1" s="14" t="s">
        <v>1235</v>
      </c>
      <c r="J1" s="14" t="s">
        <v>1236</v>
      </c>
      <c r="K1" s="4"/>
      <c r="L1" s="4"/>
      <c r="M1" s="4"/>
      <c r="N1" s="4"/>
      <c r="O1" s="4"/>
      <c r="P1" s="4"/>
      <c r="Q1" s="4"/>
      <c r="R1" s="4"/>
      <c r="S1" s="4"/>
      <c r="T1" s="4"/>
      <c r="U1" s="4"/>
      <c r="V1" s="4"/>
      <c r="W1" s="4"/>
      <c r="X1" s="4"/>
      <c r="Y1" s="4"/>
      <c r="Z1" s="4"/>
      <c r="AA1" s="21"/>
    </row>
    <row r="2">
      <c r="A2" s="11" t="s">
        <v>1290</v>
      </c>
      <c r="B2" s="11" t="s">
        <v>43</v>
      </c>
      <c r="C2" s="11" t="s">
        <v>44</v>
      </c>
      <c r="D2" s="22" t="s">
        <v>1237</v>
      </c>
      <c r="E2" s="11">
        <v>2020.0</v>
      </c>
      <c r="F2" s="11" t="s">
        <v>45</v>
      </c>
      <c r="G2" s="11" t="s">
        <v>38</v>
      </c>
      <c r="H2" s="11" t="s">
        <v>39</v>
      </c>
      <c r="I2" s="11" t="s">
        <v>1238</v>
      </c>
      <c r="J2" s="11" t="s">
        <v>1238</v>
      </c>
      <c r="K2" s="4"/>
      <c r="L2" s="4"/>
      <c r="M2" s="4"/>
      <c r="N2" s="4"/>
      <c r="O2" s="4"/>
      <c r="P2" s="4"/>
      <c r="Q2" s="4"/>
      <c r="R2" s="4"/>
      <c r="S2" s="4"/>
      <c r="T2" s="4"/>
      <c r="U2" s="4"/>
      <c r="V2" s="4"/>
      <c r="W2" s="4"/>
      <c r="X2" s="4"/>
      <c r="Y2" s="4"/>
      <c r="Z2" s="4"/>
      <c r="AA2" s="21"/>
    </row>
    <row r="3">
      <c r="A3" s="11" t="s">
        <v>1291</v>
      </c>
      <c r="B3" s="11" t="s">
        <v>53</v>
      </c>
      <c r="C3" s="11" t="s">
        <v>54</v>
      </c>
      <c r="D3" s="22" t="s">
        <v>1239</v>
      </c>
      <c r="E3" s="11">
        <v>2021.0</v>
      </c>
      <c r="F3" s="11" t="s">
        <v>55</v>
      </c>
      <c r="G3" s="11" t="s">
        <v>38</v>
      </c>
      <c r="H3" s="11" t="s">
        <v>39</v>
      </c>
      <c r="I3" s="11" t="s">
        <v>1238</v>
      </c>
      <c r="J3" s="11" t="s">
        <v>1238</v>
      </c>
      <c r="K3" s="4"/>
      <c r="L3" s="4"/>
      <c r="M3" s="4"/>
      <c r="N3" s="4"/>
      <c r="O3" s="4"/>
      <c r="P3" s="4"/>
      <c r="Q3" s="4"/>
      <c r="R3" s="4"/>
      <c r="S3" s="4"/>
      <c r="T3" s="4"/>
      <c r="U3" s="4"/>
      <c r="V3" s="4"/>
      <c r="W3" s="4"/>
      <c r="X3" s="4"/>
      <c r="Y3" s="4"/>
      <c r="Z3" s="4"/>
      <c r="AA3" s="21"/>
    </row>
    <row r="4">
      <c r="A4" s="11" t="s">
        <v>1292</v>
      </c>
      <c r="B4" s="11" t="s">
        <v>56</v>
      </c>
      <c r="C4" s="11" t="s">
        <v>57</v>
      </c>
      <c r="D4" s="22" t="s">
        <v>1240</v>
      </c>
      <c r="E4" s="11">
        <v>2015.0</v>
      </c>
      <c r="F4" s="11" t="s">
        <v>58</v>
      </c>
      <c r="G4" s="11" t="s">
        <v>38</v>
      </c>
      <c r="H4" s="11" t="s">
        <v>39</v>
      </c>
      <c r="I4" s="11" t="s">
        <v>1238</v>
      </c>
      <c r="J4" s="11" t="s">
        <v>1238</v>
      </c>
      <c r="K4" s="4"/>
      <c r="L4" s="4"/>
      <c r="M4" s="4"/>
      <c r="N4" s="4"/>
      <c r="O4" s="4"/>
      <c r="P4" s="4"/>
      <c r="Q4" s="4"/>
      <c r="R4" s="4"/>
      <c r="S4" s="4"/>
      <c r="T4" s="4"/>
      <c r="U4" s="4"/>
      <c r="V4" s="4"/>
      <c r="W4" s="4"/>
      <c r="X4" s="4"/>
      <c r="Y4" s="4"/>
      <c r="Z4" s="4"/>
      <c r="AA4" s="21"/>
    </row>
    <row r="5">
      <c r="A5" s="11" t="s">
        <v>1293</v>
      </c>
      <c r="B5" s="11" t="s">
        <v>69</v>
      </c>
      <c r="C5" s="11" t="s">
        <v>70</v>
      </c>
      <c r="D5" s="23" t="s">
        <v>1241</v>
      </c>
      <c r="E5" s="11">
        <v>2024.0</v>
      </c>
      <c r="F5" s="11" t="s">
        <v>71</v>
      </c>
      <c r="G5" s="11" t="s">
        <v>65</v>
      </c>
      <c r="H5" s="11" t="s">
        <v>49</v>
      </c>
      <c r="I5" s="11" t="s">
        <v>1238</v>
      </c>
      <c r="J5" s="11" t="s">
        <v>1238</v>
      </c>
      <c r="K5" s="4"/>
      <c r="L5" s="4"/>
      <c r="M5" s="4"/>
      <c r="N5" s="4"/>
      <c r="O5" s="4"/>
      <c r="P5" s="4"/>
      <c r="Q5" s="4"/>
      <c r="R5" s="4"/>
      <c r="S5" s="4"/>
      <c r="T5" s="4"/>
      <c r="U5" s="4"/>
      <c r="V5" s="4"/>
      <c r="W5" s="4"/>
      <c r="X5" s="4"/>
      <c r="Y5" s="4"/>
      <c r="Z5" s="4"/>
      <c r="AA5" s="21"/>
    </row>
    <row r="6">
      <c r="A6" s="11" t="s">
        <v>1294</v>
      </c>
      <c r="B6" s="11" t="s">
        <v>72</v>
      </c>
      <c r="C6" s="11" t="s">
        <v>73</v>
      </c>
      <c r="D6" s="23" t="s">
        <v>1242</v>
      </c>
      <c r="E6" s="11">
        <v>2024.0</v>
      </c>
      <c r="F6" s="11" t="s">
        <v>74</v>
      </c>
      <c r="G6" s="11" t="s">
        <v>65</v>
      </c>
      <c r="H6" s="11" t="s">
        <v>39</v>
      </c>
      <c r="I6" s="11" t="s">
        <v>1238</v>
      </c>
      <c r="J6" s="11" t="s">
        <v>1238</v>
      </c>
      <c r="K6" s="4"/>
      <c r="L6" s="4"/>
      <c r="M6" s="4"/>
      <c r="N6" s="4"/>
      <c r="O6" s="4"/>
      <c r="P6" s="4"/>
      <c r="Q6" s="4"/>
      <c r="R6" s="4"/>
      <c r="S6" s="4"/>
      <c r="T6" s="4"/>
      <c r="U6" s="4"/>
      <c r="V6" s="4"/>
      <c r="W6" s="4"/>
      <c r="X6" s="4"/>
      <c r="Y6" s="4"/>
      <c r="Z6" s="4"/>
      <c r="AA6" s="21"/>
    </row>
    <row r="7">
      <c r="A7" s="11" t="s">
        <v>1295</v>
      </c>
      <c r="B7" s="11" t="s">
        <v>75</v>
      </c>
      <c r="C7" s="11" t="s">
        <v>76</v>
      </c>
      <c r="D7" s="23" t="s">
        <v>1243</v>
      </c>
      <c r="E7" s="11">
        <v>2023.0</v>
      </c>
      <c r="F7" s="11" t="s">
        <v>77</v>
      </c>
      <c r="G7" s="11" t="s">
        <v>65</v>
      </c>
      <c r="H7" s="11" t="s">
        <v>49</v>
      </c>
      <c r="I7" s="11" t="s">
        <v>1238</v>
      </c>
      <c r="J7" s="11" t="s">
        <v>1238</v>
      </c>
      <c r="K7" s="4"/>
      <c r="L7" s="4"/>
      <c r="M7" s="4"/>
      <c r="N7" s="4"/>
      <c r="O7" s="4"/>
      <c r="P7" s="4"/>
      <c r="Q7" s="4"/>
      <c r="R7" s="4"/>
      <c r="S7" s="4"/>
      <c r="T7" s="4"/>
      <c r="U7" s="4"/>
      <c r="V7" s="4"/>
      <c r="W7" s="4"/>
      <c r="X7" s="4"/>
      <c r="Y7" s="4"/>
      <c r="Z7" s="4"/>
      <c r="AA7" s="21"/>
    </row>
    <row r="8">
      <c r="A8" s="11" t="s">
        <v>1296</v>
      </c>
      <c r="B8" s="11" t="s">
        <v>101</v>
      </c>
      <c r="C8" s="11" t="s">
        <v>102</v>
      </c>
      <c r="D8" s="23" t="s">
        <v>1246</v>
      </c>
      <c r="E8" s="11">
        <v>2025.0</v>
      </c>
      <c r="F8" s="11" t="s">
        <v>103</v>
      </c>
      <c r="G8" s="11" t="s">
        <v>65</v>
      </c>
      <c r="H8" s="11" t="s">
        <v>49</v>
      </c>
      <c r="I8" s="11" t="s">
        <v>1238</v>
      </c>
      <c r="J8" s="11" t="s">
        <v>1238</v>
      </c>
      <c r="K8" s="4"/>
      <c r="L8" s="4"/>
      <c r="M8" s="4"/>
      <c r="N8" s="4"/>
      <c r="O8" s="4"/>
      <c r="P8" s="4"/>
      <c r="Q8" s="4"/>
      <c r="R8" s="4"/>
      <c r="S8" s="4"/>
      <c r="T8" s="4"/>
      <c r="U8" s="4"/>
      <c r="V8" s="4"/>
      <c r="W8" s="4"/>
      <c r="X8" s="4"/>
      <c r="Y8" s="4"/>
      <c r="Z8" s="4"/>
      <c r="AA8" s="21"/>
    </row>
    <row r="9">
      <c r="A9" s="11" t="s">
        <v>1297</v>
      </c>
      <c r="B9" s="11" t="s">
        <v>104</v>
      </c>
      <c r="C9" s="11" t="s">
        <v>105</v>
      </c>
      <c r="D9" s="23" t="s">
        <v>1247</v>
      </c>
      <c r="E9" s="11">
        <v>2024.0</v>
      </c>
      <c r="F9" s="11" t="s">
        <v>106</v>
      </c>
      <c r="G9" s="11" t="s">
        <v>65</v>
      </c>
      <c r="H9" s="11" t="s">
        <v>49</v>
      </c>
      <c r="I9" s="11" t="s">
        <v>1238</v>
      </c>
      <c r="J9" s="11" t="s">
        <v>1238</v>
      </c>
      <c r="K9" s="4"/>
      <c r="L9" s="4"/>
      <c r="M9" s="4"/>
      <c r="N9" s="4"/>
      <c r="O9" s="4"/>
      <c r="P9" s="4"/>
      <c r="Q9" s="4"/>
      <c r="R9" s="4"/>
      <c r="S9" s="4"/>
      <c r="T9" s="4"/>
      <c r="U9" s="4"/>
      <c r="V9" s="4"/>
      <c r="W9" s="4"/>
      <c r="X9" s="4"/>
      <c r="Y9" s="4"/>
      <c r="Z9" s="4"/>
      <c r="AA9" s="21"/>
    </row>
    <row r="10">
      <c r="A10" s="11" t="s">
        <v>1298</v>
      </c>
      <c r="B10" s="11" t="s">
        <v>125</v>
      </c>
      <c r="C10" s="11" t="s">
        <v>126</v>
      </c>
      <c r="D10" s="23" t="s">
        <v>1249</v>
      </c>
      <c r="E10" s="11">
        <v>2025.0</v>
      </c>
      <c r="F10" s="11" t="s">
        <v>71</v>
      </c>
      <c r="G10" s="11" t="s">
        <v>65</v>
      </c>
      <c r="H10" s="11" t="s">
        <v>49</v>
      </c>
      <c r="I10" s="11" t="s">
        <v>1238</v>
      </c>
      <c r="J10" s="11" t="s">
        <v>1238</v>
      </c>
      <c r="K10" s="4"/>
      <c r="L10" s="4"/>
      <c r="M10" s="4"/>
      <c r="N10" s="4"/>
      <c r="O10" s="4"/>
      <c r="P10" s="4"/>
      <c r="Q10" s="4"/>
      <c r="R10" s="4"/>
      <c r="S10" s="4"/>
      <c r="T10" s="4"/>
      <c r="U10" s="4"/>
      <c r="V10" s="4"/>
      <c r="W10" s="4"/>
      <c r="X10" s="4"/>
      <c r="Y10" s="4"/>
      <c r="Z10" s="4"/>
      <c r="AA10" s="21"/>
    </row>
    <row r="11">
      <c r="A11" s="11" t="s">
        <v>1299</v>
      </c>
      <c r="B11" s="11" t="s">
        <v>156</v>
      </c>
      <c r="C11" s="11" t="s">
        <v>157</v>
      </c>
      <c r="D11" s="22" t="s">
        <v>1253</v>
      </c>
      <c r="E11" s="11">
        <v>2020.0</v>
      </c>
      <c r="F11" s="11" t="s">
        <v>158</v>
      </c>
      <c r="G11" s="11" t="s">
        <v>65</v>
      </c>
      <c r="H11" s="11" t="s">
        <v>39</v>
      </c>
      <c r="I11" s="11" t="s">
        <v>1238</v>
      </c>
      <c r="J11" s="11" t="s">
        <v>1238</v>
      </c>
      <c r="K11" s="4"/>
      <c r="L11" s="4"/>
      <c r="M11" s="4"/>
      <c r="N11" s="4"/>
      <c r="O11" s="4"/>
      <c r="P11" s="4"/>
      <c r="Q11" s="4"/>
      <c r="R11" s="4"/>
      <c r="S11" s="4"/>
      <c r="T11" s="4"/>
      <c r="U11" s="4"/>
      <c r="V11" s="4"/>
      <c r="W11" s="4"/>
      <c r="X11" s="4"/>
      <c r="Y11" s="4"/>
      <c r="Z11" s="4"/>
      <c r="AA11" s="21"/>
    </row>
    <row r="12">
      <c r="A12" s="11" t="s">
        <v>1300</v>
      </c>
      <c r="B12" s="11" t="s">
        <v>170</v>
      </c>
      <c r="C12" s="11" t="s">
        <v>171</v>
      </c>
      <c r="D12" s="22" t="s">
        <v>1255</v>
      </c>
      <c r="E12" s="11">
        <v>2024.0</v>
      </c>
      <c r="F12" s="11" t="s">
        <v>172</v>
      </c>
      <c r="G12" s="11" t="s">
        <v>65</v>
      </c>
      <c r="H12" s="11" t="s">
        <v>49</v>
      </c>
      <c r="I12" s="11" t="s">
        <v>1238</v>
      </c>
      <c r="J12" s="11" t="s">
        <v>1238</v>
      </c>
      <c r="K12" s="4"/>
      <c r="L12" s="4"/>
      <c r="M12" s="4"/>
      <c r="N12" s="4"/>
      <c r="O12" s="4"/>
      <c r="P12" s="4"/>
      <c r="Q12" s="4"/>
      <c r="R12" s="4"/>
      <c r="S12" s="4"/>
      <c r="T12" s="4"/>
      <c r="U12" s="4"/>
      <c r="V12" s="4"/>
      <c r="W12" s="4"/>
      <c r="X12" s="4"/>
      <c r="Y12" s="4"/>
      <c r="Z12" s="4"/>
      <c r="AA12" s="21"/>
    </row>
    <row r="13">
      <c r="A13" s="11" t="s">
        <v>1301</v>
      </c>
      <c r="B13" s="11" t="s">
        <v>240</v>
      </c>
      <c r="C13" s="11" t="s">
        <v>241</v>
      </c>
      <c r="D13" s="22" t="s">
        <v>1262</v>
      </c>
      <c r="E13" s="11">
        <v>2020.0</v>
      </c>
      <c r="F13" s="11" t="s">
        <v>242</v>
      </c>
      <c r="G13" s="11" t="s">
        <v>65</v>
      </c>
      <c r="H13" s="11" t="s">
        <v>39</v>
      </c>
      <c r="I13" s="11" t="s">
        <v>1238</v>
      </c>
      <c r="J13" s="11" t="s">
        <v>1238</v>
      </c>
      <c r="K13" s="4"/>
      <c r="L13" s="4"/>
      <c r="M13" s="4"/>
      <c r="N13" s="4"/>
      <c r="O13" s="4"/>
      <c r="P13" s="4"/>
      <c r="Q13" s="4"/>
      <c r="R13" s="4"/>
      <c r="S13" s="4"/>
      <c r="T13" s="4"/>
      <c r="U13" s="4"/>
      <c r="V13" s="4"/>
      <c r="W13" s="4"/>
      <c r="X13" s="4"/>
      <c r="Y13" s="4"/>
      <c r="Z13" s="4"/>
      <c r="AA13" s="21"/>
    </row>
    <row r="14">
      <c r="A14" s="11" t="s">
        <v>1302</v>
      </c>
      <c r="B14" s="11" t="s">
        <v>243</v>
      </c>
      <c r="C14" s="11" t="s">
        <v>244</v>
      </c>
      <c r="D14" s="22" t="s">
        <v>1263</v>
      </c>
      <c r="E14" s="11">
        <v>2019.0</v>
      </c>
      <c r="F14" s="11" t="s">
        <v>245</v>
      </c>
      <c r="G14" s="11" t="s">
        <v>65</v>
      </c>
      <c r="H14" s="11" t="s">
        <v>39</v>
      </c>
      <c r="I14" s="11" t="s">
        <v>1238</v>
      </c>
      <c r="J14" s="11" t="s">
        <v>1238</v>
      </c>
      <c r="K14" s="4"/>
      <c r="L14" s="4"/>
      <c r="M14" s="4"/>
      <c r="N14" s="4"/>
      <c r="O14" s="4"/>
      <c r="P14" s="4"/>
      <c r="Q14" s="4"/>
      <c r="R14" s="4"/>
      <c r="S14" s="4"/>
      <c r="T14" s="4"/>
      <c r="U14" s="4"/>
      <c r="V14" s="4"/>
      <c r="W14" s="4"/>
      <c r="X14" s="4"/>
      <c r="Y14" s="4"/>
      <c r="Z14" s="4"/>
      <c r="AA14" s="21"/>
    </row>
    <row r="15">
      <c r="A15" s="11" t="s">
        <v>1303</v>
      </c>
      <c r="B15" s="11" t="s">
        <v>263</v>
      </c>
      <c r="C15" s="11" t="s">
        <v>264</v>
      </c>
      <c r="D15" s="22" t="s">
        <v>1264</v>
      </c>
      <c r="E15" s="11">
        <v>2025.0</v>
      </c>
      <c r="F15" s="11" t="s">
        <v>181</v>
      </c>
      <c r="G15" s="11" t="s">
        <v>65</v>
      </c>
      <c r="H15" s="11" t="s">
        <v>49</v>
      </c>
      <c r="I15" s="11" t="s">
        <v>1238</v>
      </c>
      <c r="J15" s="11" t="s">
        <v>1238</v>
      </c>
      <c r="K15" s="4"/>
      <c r="L15" s="4"/>
      <c r="M15" s="4"/>
      <c r="N15" s="4"/>
      <c r="O15" s="4"/>
      <c r="P15" s="4"/>
      <c r="Q15" s="4"/>
      <c r="R15" s="4"/>
      <c r="S15" s="4"/>
      <c r="T15" s="4"/>
      <c r="U15" s="4"/>
      <c r="V15" s="4"/>
      <c r="W15" s="4"/>
      <c r="X15" s="4"/>
      <c r="Y15" s="4"/>
      <c r="Z15" s="4"/>
      <c r="AA15" s="21"/>
    </row>
    <row r="16">
      <c r="A16" s="11" t="s">
        <v>1304</v>
      </c>
      <c r="B16" s="11" t="s">
        <v>298</v>
      </c>
      <c r="C16" s="11" t="s">
        <v>299</v>
      </c>
      <c r="D16" s="22" t="s">
        <v>1265</v>
      </c>
      <c r="E16" s="11">
        <v>2021.0</v>
      </c>
      <c r="F16" s="11" t="s">
        <v>300</v>
      </c>
      <c r="G16" s="11" t="s">
        <v>65</v>
      </c>
      <c r="H16" s="11" t="s">
        <v>49</v>
      </c>
      <c r="I16" s="11" t="s">
        <v>1238</v>
      </c>
      <c r="J16" s="11" t="s">
        <v>1238</v>
      </c>
      <c r="K16" s="4"/>
      <c r="L16" s="4"/>
      <c r="M16" s="4"/>
      <c r="N16" s="4"/>
      <c r="O16" s="4"/>
      <c r="P16" s="4"/>
      <c r="Q16" s="4"/>
      <c r="R16" s="4"/>
      <c r="S16" s="4"/>
      <c r="T16" s="4"/>
      <c r="U16" s="4"/>
      <c r="V16" s="4"/>
      <c r="W16" s="4"/>
      <c r="X16" s="4"/>
      <c r="Y16" s="4"/>
      <c r="Z16" s="4"/>
      <c r="AA16" s="21"/>
    </row>
    <row r="17">
      <c r="A17" s="11" t="s">
        <v>1305</v>
      </c>
      <c r="B17" s="11" t="s">
        <v>314</v>
      </c>
      <c r="C17" s="11" t="s">
        <v>315</v>
      </c>
      <c r="D17" s="22" t="s">
        <v>1266</v>
      </c>
      <c r="E17" s="11">
        <v>2019.0</v>
      </c>
      <c r="F17" s="11" t="s">
        <v>316</v>
      </c>
      <c r="G17" s="11" t="s">
        <v>65</v>
      </c>
      <c r="H17" s="11" t="s">
        <v>49</v>
      </c>
      <c r="I17" s="11" t="s">
        <v>1238</v>
      </c>
      <c r="J17" s="11" t="s">
        <v>1238</v>
      </c>
      <c r="K17" s="4"/>
      <c r="L17" s="4"/>
      <c r="M17" s="4"/>
      <c r="N17" s="4"/>
      <c r="O17" s="4"/>
      <c r="P17" s="4"/>
      <c r="Q17" s="4"/>
      <c r="R17" s="4"/>
      <c r="S17" s="4"/>
      <c r="T17" s="4"/>
      <c r="U17" s="4"/>
      <c r="V17" s="4"/>
      <c r="W17" s="4"/>
      <c r="X17" s="4"/>
      <c r="Y17" s="4"/>
      <c r="Z17" s="4"/>
      <c r="AA17" s="21"/>
    </row>
    <row r="18">
      <c r="A18" s="11" t="s">
        <v>1306</v>
      </c>
      <c r="B18" s="11" t="s">
        <v>347</v>
      </c>
      <c r="C18" s="11" t="s">
        <v>348</v>
      </c>
      <c r="D18" s="22" t="s">
        <v>1268</v>
      </c>
      <c r="E18" s="11">
        <v>2019.0</v>
      </c>
      <c r="F18" s="11" t="s">
        <v>245</v>
      </c>
      <c r="G18" s="11" t="s">
        <v>65</v>
      </c>
      <c r="H18" s="11" t="s">
        <v>39</v>
      </c>
      <c r="I18" s="11" t="s">
        <v>1238</v>
      </c>
      <c r="J18" s="11" t="s">
        <v>1238</v>
      </c>
      <c r="K18" s="4"/>
      <c r="L18" s="4"/>
      <c r="M18" s="4"/>
      <c r="N18" s="4"/>
      <c r="O18" s="4"/>
      <c r="P18" s="4"/>
      <c r="Q18" s="4"/>
      <c r="R18" s="4"/>
      <c r="S18" s="4"/>
      <c r="T18" s="4"/>
      <c r="U18" s="4"/>
      <c r="V18" s="4"/>
      <c r="W18" s="4"/>
      <c r="X18" s="4"/>
      <c r="Y18" s="4"/>
      <c r="Z18" s="4"/>
      <c r="AA18" s="21"/>
    </row>
    <row r="19">
      <c r="A19" s="11" t="s">
        <v>1307</v>
      </c>
      <c r="B19" s="11" t="s">
        <v>355</v>
      </c>
      <c r="C19" s="11" t="s">
        <v>356</v>
      </c>
      <c r="D19" s="22" t="s">
        <v>1269</v>
      </c>
      <c r="E19" s="11">
        <v>2018.0</v>
      </c>
      <c r="F19" s="11" t="s">
        <v>357</v>
      </c>
      <c r="G19" s="11" t="s">
        <v>65</v>
      </c>
      <c r="H19" s="11" t="s">
        <v>39</v>
      </c>
      <c r="I19" s="24" t="s">
        <v>1238</v>
      </c>
      <c r="J19" s="11" t="s">
        <v>1238</v>
      </c>
      <c r="K19" s="4"/>
      <c r="L19" s="4"/>
      <c r="M19" s="4"/>
      <c r="N19" s="4"/>
      <c r="O19" s="4"/>
      <c r="P19" s="4"/>
      <c r="Q19" s="4"/>
      <c r="R19" s="4"/>
      <c r="S19" s="4"/>
      <c r="T19" s="4"/>
      <c r="U19" s="4"/>
      <c r="V19" s="4"/>
      <c r="W19" s="4"/>
      <c r="X19" s="4"/>
      <c r="Y19" s="4"/>
      <c r="Z19" s="4"/>
      <c r="AA19" s="21"/>
    </row>
    <row r="20">
      <c r="A20" s="11" t="s">
        <v>1308</v>
      </c>
      <c r="B20" s="11" t="s">
        <v>378</v>
      </c>
      <c r="C20" s="11" t="s">
        <v>379</v>
      </c>
      <c r="D20" s="22" t="s">
        <v>1270</v>
      </c>
      <c r="E20" s="11">
        <v>2017.0</v>
      </c>
      <c r="F20" s="11" t="s">
        <v>158</v>
      </c>
      <c r="G20" s="11" t="s">
        <v>65</v>
      </c>
      <c r="H20" s="11" t="s">
        <v>39</v>
      </c>
      <c r="I20" s="24" t="s">
        <v>1238</v>
      </c>
      <c r="J20" s="11" t="s">
        <v>1238</v>
      </c>
      <c r="K20" s="4"/>
      <c r="L20" s="4"/>
      <c r="M20" s="4"/>
      <c r="N20" s="4"/>
      <c r="O20" s="4"/>
      <c r="P20" s="4"/>
      <c r="Q20" s="4"/>
      <c r="R20" s="4"/>
      <c r="S20" s="4"/>
      <c r="T20" s="4"/>
      <c r="U20" s="4"/>
      <c r="V20" s="4"/>
      <c r="W20" s="4"/>
      <c r="X20" s="4"/>
      <c r="Y20" s="4"/>
      <c r="Z20" s="4"/>
      <c r="AA20" s="21"/>
    </row>
    <row r="21">
      <c r="A21" s="11" t="s">
        <v>1309</v>
      </c>
      <c r="B21" s="11" t="s">
        <v>504</v>
      </c>
      <c r="C21" s="16" t="s">
        <v>505</v>
      </c>
      <c r="D21" s="25" t="s">
        <v>1271</v>
      </c>
      <c r="E21" s="11">
        <v>2024.0</v>
      </c>
      <c r="F21" s="11" t="s">
        <v>449</v>
      </c>
      <c r="G21" s="11" t="s">
        <v>437</v>
      </c>
      <c r="H21" s="11" t="s">
        <v>49</v>
      </c>
      <c r="I21" s="24" t="s">
        <v>1238</v>
      </c>
      <c r="J21" s="11" t="s">
        <v>1238</v>
      </c>
      <c r="K21" s="4"/>
      <c r="L21" s="4"/>
      <c r="M21" s="4"/>
      <c r="N21" s="4"/>
      <c r="O21" s="4"/>
      <c r="P21" s="4"/>
      <c r="Q21" s="4"/>
      <c r="R21" s="4"/>
      <c r="S21" s="4"/>
      <c r="T21" s="4"/>
      <c r="U21" s="4"/>
      <c r="V21" s="4"/>
      <c r="W21" s="4"/>
      <c r="X21" s="4"/>
      <c r="Y21" s="4"/>
      <c r="Z21" s="4"/>
      <c r="AA21" s="21"/>
    </row>
    <row r="22">
      <c r="A22" s="11" t="s">
        <v>1310</v>
      </c>
      <c r="B22" s="11" t="s">
        <v>519</v>
      </c>
      <c r="C22" s="16" t="s">
        <v>520</v>
      </c>
      <c r="D22" s="25" t="s">
        <v>1272</v>
      </c>
      <c r="E22" s="11">
        <v>2021.0</v>
      </c>
      <c r="F22" s="11" t="s">
        <v>521</v>
      </c>
      <c r="G22" s="11" t="s">
        <v>437</v>
      </c>
      <c r="H22" s="11" t="s">
        <v>49</v>
      </c>
      <c r="I22" s="24" t="s">
        <v>1238</v>
      </c>
      <c r="J22" s="11" t="s">
        <v>1238</v>
      </c>
      <c r="K22" s="4"/>
      <c r="L22" s="4"/>
      <c r="M22" s="4"/>
      <c r="N22" s="4"/>
      <c r="O22" s="4"/>
      <c r="P22" s="4"/>
      <c r="Q22" s="4"/>
      <c r="R22" s="4"/>
      <c r="S22" s="4"/>
      <c r="T22" s="4"/>
      <c r="U22" s="4"/>
      <c r="V22" s="4"/>
      <c r="W22" s="4"/>
      <c r="X22" s="4"/>
      <c r="Y22" s="4"/>
      <c r="Z22" s="4"/>
      <c r="AA22" s="21"/>
    </row>
    <row r="23">
      <c r="A23" s="11" t="s">
        <v>1311</v>
      </c>
      <c r="B23" s="11" t="s">
        <v>592</v>
      </c>
      <c r="C23" s="11" t="s">
        <v>593</v>
      </c>
      <c r="D23" s="22" t="s">
        <v>1273</v>
      </c>
      <c r="E23" s="11">
        <v>2025.0</v>
      </c>
      <c r="F23" s="11" t="s">
        <v>580</v>
      </c>
      <c r="G23" s="11" t="s">
        <v>14</v>
      </c>
      <c r="H23" s="11" t="s">
        <v>49</v>
      </c>
      <c r="I23" s="24" t="s">
        <v>1238</v>
      </c>
      <c r="J23" s="11" t="s">
        <v>1238</v>
      </c>
      <c r="K23" s="4"/>
      <c r="L23" s="4"/>
      <c r="M23" s="4"/>
      <c r="N23" s="4"/>
      <c r="O23" s="4"/>
      <c r="P23" s="4"/>
      <c r="Q23" s="4"/>
      <c r="R23" s="4"/>
      <c r="S23" s="4"/>
      <c r="T23" s="4"/>
      <c r="U23" s="4"/>
      <c r="V23" s="4"/>
      <c r="W23" s="4"/>
      <c r="X23" s="4"/>
      <c r="Y23" s="4"/>
      <c r="Z23" s="4"/>
      <c r="AA23" s="21"/>
    </row>
    <row r="24">
      <c r="A24" s="11" t="s">
        <v>1312</v>
      </c>
      <c r="B24" s="11" t="s">
        <v>633</v>
      </c>
      <c r="C24" s="11" t="s">
        <v>634</v>
      </c>
      <c r="D24" s="22" t="s">
        <v>1274</v>
      </c>
      <c r="E24" s="11">
        <v>2024.0</v>
      </c>
      <c r="F24" s="11" t="s">
        <v>580</v>
      </c>
      <c r="G24" s="11" t="s">
        <v>14</v>
      </c>
      <c r="H24" s="11" t="s">
        <v>49</v>
      </c>
      <c r="I24" s="24" t="s">
        <v>1238</v>
      </c>
      <c r="J24" s="11" t="s">
        <v>1238</v>
      </c>
      <c r="K24" s="4"/>
      <c r="L24" s="4"/>
      <c r="M24" s="4"/>
      <c r="N24" s="4"/>
      <c r="O24" s="4"/>
      <c r="P24" s="4"/>
      <c r="Q24" s="4"/>
      <c r="R24" s="4"/>
      <c r="S24" s="4"/>
      <c r="T24" s="4"/>
      <c r="U24" s="4"/>
      <c r="V24" s="4"/>
      <c r="W24" s="4"/>
      <c r="X24" s="4"/>
      <c r="Y24" s="4"/>
      <c r="Z24" s="4"/>
      <c r="AA24" s="21"/>
    </row>
    <row r="25">
      <c r="A25" s="11" t="s">
        <v>1313</v>
      </c>
      <c r="B25" s="11" t="s">
        <v>641</v>
      </c>
      <c r="C25" s="11" t="s">
        <v>642</v>
      </c>
      <c r="D25" s="22" t="s">
        <v>1275</v>
      </c>
      <c r="E25" s="11">
        <v>2020.0</v>
      </c>
      <c r="F25" s="11" t="s">
        <v>643</v>
      </c>
      <c r="G25" s="11" t="s">
        <v>14</v>
      </c>
      <c r="H25" s="11" t="s">
        <v>39</v>
      </c>
      <c r="I25" s="24" t="s">
        <v>1238</v>
      </c>
      <c r="J25" s="11" t="s">
        <v>1238</v>
      </c>
      <c r="K25" s="4"/>
      <c r="L25" s="4"/>
      <c r="M25" s="4"/>
      <c r="N25" s="4"/>
      <c r="O25" s="4"/>
      <c r="P25" s="4"/>
      <c r="Q25" s="4"/>
      <c r="R25" s="4"/>
      <c r="S25" s="4"/>
      <c r="T25" s="4"/>
      <c r="U25" s="4"/>
      <c r="V25" s="4"/>
      <c r="W25" s="4"/>
      <c r="X25" s="4"/>
      <c r="Y25" s="4"/>
      <c r="Z25" s="4"/>
      <c r="AA25" s="21"/>
    </row>
    <row r="26">
      <c r="A26" s="11" t="s">
        <v>1314</v>
      </c>
      <c r="B26" s="11" t="s">
        <v>665</v>
      </c>
      <c r="C26" s="11" t="s">
        <v>666</v>
      </c>
      <c r="D26" s="22" t="s">
        <v>1276</v>
      </c>
      <c r="E26" s="11">
        <v>2018.0</v>
      </c>
      <c r="F26" s="11" t="s">
        <v>596</v>
      </c>
      <c r="G26" s="11" t="s">
        <v>14</v>
      </c>
      <c r="H26" s="11" t="s">
        <v>49</v>
      </c>
      <c r="I26" s="24" t="s">
        <v>1238</v>
      </c>
      <c r="J26" s="11" t="s">
        <v>1238</v>
      </c>
      <c r="K26" s="4"/>
      <c r="L26" s="4"/>
      <c r="M26" s="4"/>
      <c r="N26" s="4"/>
      <c r="O26" s="4"/>
      <c r="P26" s="4"/>
      <c r="Q26" s="4"/>
      <c r="R26" s="4"/>
      <c r="S26" s="4"/>
      <c r="T26" s="4"/>
      <c r="U26" s="4"/>
      <c r="V26" s="4"/>
      <c r="W26" s="4"/>
      <c r="X26" s="4"/>
      <c r="Y26" s="4"/>
      <c r="Z26" s="4"/>
      <c r="AA26" s="21"/>
    </row>
    <row r="27">
      <c r="A27" s="11" t="s">
        <v>1315</v>
      </c>
      <c r="B27" s="11" t="s">
        <v>679</v>
      </c>
      <c r="C27" s="11" t="s">
        <v>680</v>
      </c>
      <c r="D27" s="22" t="s">
        <v>1277</v>
      </c>
      <c r="E27" s="11">
        <v>2018.0</v>
      </c>
      <c r="F27" s="11" t="s">
        <v>580</v>
      </c>
      <c r="G27" s="11" t="s">
        <v>14</v>
      </c>
      <c r="H27" s="11" t="s">
        <v>49</v>
      </c>
      <c r="I27" s="24" t="s">
        <v>1238</v>
      </c>
      <c r="J27" s="11" t="s">
        <v>1238</v>
      </c>
      <c r="K27" s="4"/>
      <c r="L27" s="4"/>
      <c r="M27" s="4"/>
      <c r="N27" s="4"/>
      <c r="O27" s="4"/>
      <c r="P27" s="4"/>
      <c r="Q27" s="4"/>
      <c r="R27" s="4"/>
      <c r="S27" s="4"/>
      <c r="T27" s="4"/>
      <c r="U27" s="4"/>
      <c r="V27" s="4"/>
      <c r="W27" s="4"/>
      <c r="X27" s="4"/>
      <c r="Y27" s="4"/>
      <c r="Z27" s="4"/>
      <c r="AA27" s="21"/>
    </row>
    <row r="28">
      <c r="A28" s="11" t="s">
        <v>1316</v>
      </c>
      <c r="B28" s="11" t="s">
        <v>714</v>
      </c>
      <c r="C28" s="11" t="s">
        <v>715</v>
      </c>
      <c r="D28" s="22" t="s">
        <v>1278</v>
      </c>
      <c r="E28" s="11">
        <v>2022.0</v>
      </c>
      <c r="F28" s="11" t="s">
        <v>716</v>
      </c>
      <c r="G28" s="11" t="s">
        <v>14</v>
      </c>
      <c r="H28" s="11" t="s">
        <v>39</v>
      </c>
      <c r="I28" s="24" t="s">
        <v>1238</v>
      </c>
      <c r="J28" s="11" t="s">
        <v>1238</v>
      </c>
      <c r="K28" s="4"/>
      <c r="L28" s="4"/>
      <c r="M28" s="4"/>
      <c r="N28" s="4"/>
      <c r="O28" s="4"/>
      <c r="P28" s="4"/>
      <c r="Q28" s="4"/>
      <c r="R28" s="4"/>
      <c r="S28" s="4"/>
      <c r="T28" s="4"/>
      <c r="U28" s="4"/>
      <c r="V28" s="4"/>
      <c r="W28" s="4"/>
      <c r="X28" s="4"/>
      <c r="Y28" s="4"/>
      <c r="Z28" s="4"/>
      <c r="AA28" s="21"/>
    </row>
    <row r="29">
      <c r="A29" s="11" t="s">
        <v>1317</v>
      </c>
      <c r="B29" s="11" t="s">
        <v>722</v>
      </c>
      <c r="C29" s="11" t="s">
        <v>723</v>
      </c>
      <c r="D29" s="22" t="s">
        <v>1279</v>
      </c>
      <c r="E29" s="11">
        <v>2025.0</v>
      </c>
      <c r="F29" s="11" t="s">
        <v>574</v>
      </c>
      <c r="G29" s="11" t="s">
        <v>14</v>
      </c>
      <c r="H29" s="11" t="s">
        <v>49</v>
      </c>
      <c r="I29" s="24" t="s">
        <v>1238</v>
      </c>
      <c r="J29" s="11" t="s">
        <v>1238</v>
      </c>
      <c r="K29" s="4"/>
      <c r="L29" s="4"/>
      <c r="M29" s="4"/>
      <c r="N29" s="4"/>
      <c r="O29" s="4"/>
      <c r="P29" s="4"/>
      <c r="Q29" s="4"/>
      <c r="R29" s="4"/>
      <c r="S29" s="4"/>
      <c r="T29" s="4"/>
      <c r="U29" s="4"/>
      <c r="V29" s="4"/>
      <c r="W29" s="4"/>
      <c r="X29" s="4"/>
      <c r="Y29" s="4"/>
      <c r="Z29" s="4"/>
      <c r="AA29" s="21"/>
    </row>
    <row r="30">
      <c r="A30" s="11" t="s">
        <v>1318</v>
      </c>
      <c r="B30" s="11" t="s">
        <v>816</v>
      </c>
      <c r="C30" s="11" t="s">
        <v>817</v>
      </c>
      <c r="D30" s="22" t="s">
        <v>1280</v>
      </c>
      <c r="E30" s="11">
        <v>2025.0</v>
      </c>
      <c r="F30" s="11" t="s">
        <v>818</v>
      </c>
      <c r="G30" s="11" t="s">
        <v>14</v>
      </c>
      <c r="H30" s="11" t="s">
        <v>49</v>
      </c>
      <c r="I30" s="24" t="s">
        <v>1238</v>
      </c>
      <c r="J30" s="11" t="s">
        <v>1238</v>
      </c>
      <c r="K30" s="4"/>
      <c r="L30" s="4"/>
      <c r="M30" s="4"/>
      <c r="N30" s="4"/>
      <c r="O30" s="4"/>
      <c r="P30" s="4"/>
      <c r="Q30" s="4"/>
      <c r="R30" s="4"/>
      <c r="S30" s="4"/>
      <c r="T30" s="4"/>
      <c r="U30" s="4"/>
      <c r="V30" s="4"/>
      <c r="W30" s="4"/>
      <c r="X30" s="4"/>
      <c r="Y30" s="4"/>
      <c r="Z30" s="4"/>
      <c r="AA30" s="21"/>
    </row>
    <row r="31">
      <c r="A31" s="11" t="s">
        <v>1319</v>
      </c>
      <c r="B31" s="11" t="s">
        <v>884</v>
      </c>
      <c r="C31" s="11" t="s">
        <v>885</v>
      </c>
      <c r="D31" s="22" t="s">
        <v>1281</v>
      </c>
      <c r="E31" s="11">
        <v>2023.0</v>
      </c>
      <c r="F31" s="11" t="s">
        <v>886</v>
      </c>
      <c r="G31" s="11" t="s">
        <v>16</v>
      </c>
      <c r="H31" s="11" t="s">
        <v>49</v>
      </c>
      <c r="I31" s="24" t="s">
        <v>1238</v>
      </c>
      <c r="J31" s="11" t="s">
        <v>1238</v>
      </c>
      <c r="K31" s="4"/>
      <c r="L31" s="4"/>
      <c r="M31" s="4"/>
      <c r="N31" s="4"/>
      <c r="O31" s="4"/>
      <c r="P31" s="4"/>
      <c r="Q31" s="4"/>
      <c r="R31" s="4"/>
      <c r="S31" s="4"/>
      <c r="T31" s="4"/>
      <c r="U31" s="4"/>
      <c r="V31" s="4"/>
      <c r="W31" s="4"/>
      <c r="X31" s="4"/>
      <c r="Y31" s="4"/>
      <c r="Z31" s="4"/>
      <c r="AA31" s="21"/>
    </row>
    <row r="32">
      <c r="A32" s="11" t="s">
        <v>1320</v>
      </c>
      <c r="B32" s="11" t="s">
        <v>928</v>
      </c>
      <c r="C32" s="11" t="s">
        <v>929</v>
      </c>
      <c r="D32" s="22" t="s">
        <v>1282</v>
      </c>
      <c r="E32" s="11">
        <v>2017.0</v>
      </c>
      <c r="F32" s="11" t="s">
        <v>930</v>
      </c>
      <c r="G32" s="11" t="s">
        <v>18</v>
      </c>
      <c r="H32" s="11" t="s">
        <v>49</v>
      </c>
      <c r="I32" s="24" t="s">
        <v>1238</v>
      </c>
      <c r="J32" s="11" t="s">
        <v>1238</v>
      </c>
      <c r="K32" s="4"/>
      <c r="L32" s="4"/>
      <c r="M32" s="4"/>
      <c r="N32" s="4"/>
      <c r="O32" s="4"/>
      <c r="P32" s="4"/>
      <c r="Q32" s="4"/>
      <c r="R32" s="4"/>
      <c r="S32" s="4"/>
      <c r="T32" s="4"/>
      <c r="U32" s="4"/>
      <c r="V32" s="4"/>
      <c r="W32" s="4"/>
      <c r="X32" s="4"/>
      <c r="Y32" s="4"/>
      <c r="Z32" s="4"/>
      <c r="AA32" s="21"/>
    </row>
    <row r="33">
      <c r="A33" s="11" t="s">
        <v>1321</v>
      </c>
      <c r="B33" s="11" t="s">
        <v>934</v>
      </c>
      <c r="C33" s="11" t="s">
        <v>935</v>
      </c>
      <c r="D33" s="22" t="s">
        <v>1283</v>
      </c>
      <c r="E33" s="11">
        <v>2025.0</v>
      </c>
      <c r="F33" s="11" t="s">
        <v>936</v>
      </c>
      <c r="G33" s="11" t="s">
        <v>18</v>
      </c>
      <c r="H33" s="11" t="s">
        <v>49</v>
      </c>
      <c r="I33" s="24" t="s">
        <v>1238</v>
      </c>
      <c r="J33" s="11" t="s">
        <v>1238</v>
      </c>
      <c r="K33" s="4"/>
      <c r="L33" s="4"/>
      <c r="M33" s="4"/>
      <c r="N33" s="4"/>
      <c r="O33" s="4"/>
      <c r="P33" s="4"/>
      <c r="Q33" s="4"/>
      <c r="R33" s="4"/>
      <c r="S33" s="4"/>
      <c r="T33" s="4"/>
      <c r="U33" s="4"/>
      <c r="V33" s="4"/>
      <c r="W33" s="4"/>
      <c r="X33" s="4"/>
      <c r="Y33" s="4"/>
      <c r="Z33" s="4"/>
      <c r="AA33" s="21"/>
    </row>
    <row r="34">
      <c r="A34" s="11" t="s">
        <v>1322</v>
      </c>
      <c r="B34" s="11" t="s">
        <v>962</v>
      </c>
      <c r="C34" s="11" t="s">
        <v>963</v>
      </c>
      <c r="D34" s="22" t="s">
        <v>1284</v>
      </c>
      <c r="E34" s="11">
        <v>2025.0</v>
      </c>
      <c r="F34" s="11" t="s">
        <v>964</v>
      </c>
      <c r="G34" s="11" t="s">
        <v>18</v>
      </c>
      <c r="H34" s="11" t="s">
        <v>49</v>
      </c>
      <c r="I34" s="24" t="s">
        <v>1238</v>
      </c>
      <c r="J34" s="11" t="s">
        <v>1238</v>
      </c>
      <c r="K34" s="4"/>
      <c r="L34" s="4"/>
      <c r="M34" s="4"/>
      <c r="N34" s="4"/>
      <c r="O34" s="4"/>
      <c r="P34" s="4"/>
      <c r="Q34" s="4"/>
      <c r="R34" s="4"/>
      <c r="S34" s="4"/>
      <c r="T34" s="4"/>
      <c r="U34" s="4"/>
      <c r="V34" s="4"/>
      <c r="W34" s="4"/>
      <c r="X34" s="4"/>
      <c r="Y34" s="4"/>
      <c r="Z34" s="4"/>
      <c r="AA34" s="21"/>
    </row>
    <row r="35">
      <c r="A35" s="11" t="s">
        <v>1323</v>
      </c>
      <c r="B35" s="11" t="s">
        <v>1324</v>
      </c>
      <c r="C35" s="4"/>
      <c r="D35" s="22" t="s">
        <v>1325</v>
      </c>
      <c r="E35" s="11">
        <v>2015.0</v>
      </c>
      <c r="F35" s="11" t="s">
        <v>1326</v>
      </c>
      <c r="G35" s="11" t="s">
        <v>38</v>
      </c>
      <c r="H35" s="11" t="s">
        <v>39</v>
      </c>
      <c r="I35" s="11" t="s">
        <v>1238</v>
      </c>
      <c r="J35" s="11" t="s">
        <v>1238</v>
      </c>
      <c r="K35" s="4"/>
      <c r="L35" s="4"/>
      <c r="M35" s="4"/>
      <c r="N35" s="4"/>
      <c r="O35" s="4"/>
      <c r="P35" s="4"/>
      <c r="Q35" s="4"/>
      <c r="R35" s="4"/>
      <c r="S35" s="4"/>
      <c r="T35" s="4"/>
      <c r="U35" s="4"/>
      <c r="V35" s="4"/>
      <c r="W35" s="4"/>
      <c r="X35" s="4"/>
      <c r="Y35" s="4"/>
      <c r="Z35" s="4"/>
      <c r="AA35" s="21"/>
    </row>
    <row r="36">
      <c r="A36" s="11" t="s">
        <v>1327</v>
      </c>
      <c r="B36" s="11" t="s">
        <v>1328</v>
      </c>
      <c r="C36" s="4"/>
      <c r="D36" s="22" t="s">
        <v>1329</v>
      </c>
      <c r="E36" s="11">
        <v>2017.0</v>
      </c>
      <c r="F36" s="11" t="s">
        <v>1330</v>
      </c>
      <c r="G36" s="11" t="s">
        <v>14</v>
      </c>
      <c r="H36" s="11" t="s">
        <v>39</v>
      </c>
      <c r="I36" s="11" t="s">
        <v>1238</v>
      </c>
      <c r="J36" s="11" t="s">
        <v>1238</v>
      </c>
      <c r="K36" s="4"/>
      <c r="L36" s="4"/>
      <c r="M36" s="4"/>
      <c r="N36" s="4"/>
      <c r="O36" s="4"/>
      <c r="P36" s="4"/>
      <c r="Q36" s="4"/>
      <c r="R36" s="4"/>
      <c r="S36" s="4"/>
      <c r="T36" s="4"/>
      <c r="U36" s="4"/>
      <c r="V36" s="4"/>
      <c r="W36" s="4"/>
      <c r="X36" s="4"/>
      <c r="Y36" s="4"/>
      <c r="Z36" s="4"/>
      <c r="AA36" s="21"/>
    </row>
    <row r="37">
      <c r="A37" s="11" t="s">
        <v>1331</v>
      </c>
      <c r="B37" s="11" t="s">
        <v>1332</v>
      </c>
      <c r="C37" s="4"/>
      <c r="D37" s="22" t="s">
        <v>1333</v>
      </c>
      <c r="E37" s="11">
        <v>2015.0</v>
      </c>
      <c r="F37" s="11" t="s">
        <v>1334</v>
      </c>
      <c r="G37" s="11" t="s">
        <v>38</v>
      </c>
      <c r="H37" s="11" t="s">
        <v>39</v>
      </c>
      <c r="I37" s="11" t="s">
        <v>1238</v>
      </c>
      <c r="J37" s="11" t="s">
        <v>1238</v>
      </c>
      <c r="K37" s="4"/>
      <c r="L37" s="4"/>
      <c r="M37" s="4"/>
      <c r="N37" s="4"/>
      <c r="O37" s="4"/>
      <c r="P37" s="4"/>
      <c r="Q37" s="4"/>
      <c r="R37" s="4"/>
      <c r="S37" s="4"/>
      <c r="T37" s="4"/>
      <c r="U37" s="4"/>
      <c r="V37" s="4"/>
      <c r="W37" s="4"/>
      <c r="X37" s="4"/>
      <c r="Y37" s="4"/>
      <c r="Z37" s="4"/>
      <c r="AA37" s="21"/>
    </row>
    <row r="38">
      <c r="A38" s="11" t="s">
        <v>1335</v>
      </c>
      <c r="B38" s="11" t="s">
        <v>1336</v>
      </c>
      <c r="C38" s="4"/>
      <c r="D38" s="22" t="s">
        <v>1337</v>
      </c>
      <c r="E38" s="11">
        <v>2018.0</v>
      </c>
      <c r="F38" s="11" t="s">
        <v>1338</v>
      </c>
      <c r="G38" s="11" t="s">
        <v>20</v>
      </c>
      <c r="H38" s="11" t="s">
        <v>39</v>
      </c>
      <c r="I38" s="11" t="s">
        <v>1238</v>
      </c>
      <c r="J38" s="11" t="s">
        <v>1238</v>
      </c>
      <c r="K38" s="4"/>
      <c r="L38" s="4"/>
      <c r="M38" s="4"/>
      <c r="N38" s="4"/>
      <c r="O38" s="4"/>
      <c r="P38" s="4"/>
      <c r="Q38" s="4"/>
      <c r="R38" s="4"/>
      <c r="S38" s="4"/>
      <c r="T38" s="4"/>
      <c r="U38" s="4"/>
      <c r="V38" s="4"/>
      <c r="W38" s="4"/>
      <c r="X38" s="4"/>
      <c r="Y38" s="4"/>
      <c r="Z38" s="4"/>
      <c r="AA38" s="21"/>
    </row>
    <row r="39">
      <c r="A39" s="11" t="s">
        <v>1339</v>
      </c>
      <c r="B39" s="11" t="s">
        <v>1340</v>
      </c>
      <c r="C39" s="4"/>
      <c r="D39" s="22" t="s">
        <v>1341</v>
      </c>
      <c r="E39" s="11">
        <v>2020.0</v>
      </c>
      <c r="F39" s="11" t="s">
        <v>1342</v>
      </c>
      <c r="G39" s="11" t="s">
        <v>65</v>
      </c>
      <c r="H39" s="11" t="s">
        <v>39</v>
      </c>
      <c r="I39" s="11" t="s">
        <v>1238</v>
      </c>
      <c r="J39" s="11" t="s">
        <v>1238</v>
      </c>
      <c r="K39" s="4"/>
      <c r="L39" s="4"/>
      <c r="M39" s="4"/>
      <c r="N39" s="4"/>
      <c r="O39" s="4"/>
      <c r="P39" s="4"/>
      <c r="Q39" s="4"/>
      <c r="R39" s="4"/>
      <c r="S39" s="4"/>
      <c r="T39" s="4"/>
      <c r="U39" s="4"/>
      <c r="V39" s="4"/>
      <c r="W39" s="4"/>
      <c r="X39" s="4"/>
      <c r="Y39" s="4"/>
      <c r="Z39" s="4"/>
      <c r="AA39" s="21"/>
    </row>
    <row r="40">
      <c r="A40" s="11" t="s">
        <v>1343</v>
      </c>
      <c r="B40" s="11" t="s">
        <v>1344</v>
      </c>
      <c r="C40" s="4"/>
      <c r="D40" s="22" t="s">
        <v>1345</v>
      </c>
      <c r="E40" s="11">
        <v>2025.0</v>
      </c>
      <c r="F40" s="11" t="s">
        <v>449</v>
      </c>
      <c r="G40" s="11" t="s">
        <v>437</v>
      </c>
      <c r="H40" s="11" t="s">
        <v>49</v>
      </c>
      <c r="I40" s="11" t="s">
        <v>1238</v>
      </c>
      <c r="J40" s="11" t="s">
        <v>1238</v>
      </c>
      <c r="K40" s="4"/>
      <c r="L40" s="4"/>
      <c r="M40" s="4"/>
      <c r="N40" s="4"/>
      <c r="O40" s="4"/>
      <c r="P40" s="4"/>
      <c r="Q40" s="4"/>
      <c r="R40" s="4"/>
      <c r="S40" s="4"/>
      <c r="T40" s="4"/>
      <c r="U40" s="4"/>
      <c r="V40" s="4"/>
      <c r="W40" s="4"/>
      <c r="X40" s="4"/>
      <c r="Y40" s="4"/>
      <c r="Z40" s="4"/>
      <c r="AA40" s="21"/>
    </row>
    <row r="41">
      <c r="A41" s="11" t="s">
        <v>1346</v>
      </c>
      <c r="B41" s="11" t="s">
        <v>1347</v>
      </c>
      <c r="C41" s="4"/>
      <c r="D41" s="22" t="s">
        <v>1348</v>
      </c>
      <c r="E41" s="11">
        <v>2022.0</v>
      </c>
      <c r="F41" s="11" t="s">
        <v>1349</v>
      </c>
      <c r="G41" s="11" t="s">
        <v>437</v>
      </c>
      <c r="H41" s="11" t="s">
        <v>49</v>
      </c>
      <c r="I41" s="11" t="s">
        <v>1238</v>
      </c>
      <c r="J41" s="11" t="s">
        <v>1238</v>
      </c>
      <c r="K41" s="4"/>
      <c r="L41" s="4"/>
      <c r="M41" s="4"/>
      <c r="N41" s="4"/>
      <c r="O41" s="4"/>
      <c r="P41" s="4"/>
      <c r="Q41" s="4"/>
      <c r="R41" s="4"/>
      <c r="S41" s="4"/>
      <c r="T41" s="4"/>
      <c r="U41" s="4"/>
      <c r="V41" s="4"/>
      <c r="W41" s="4"/>
      <c r="X41" s="4"/>
      <c r="Y41" s="4"/>
      <c r="Z41" s="4"/>
      <c r="AA41" s="21"/>
    </row>
    <row r="42">
      <c r="A42" s="11" t="s">
        <v>1350</v>
      </c>
      <c r="B42" s="11" t="s">
        <v>1351</v>
      </c>
      <c r="C42" s="4"/>
      <c r="D42" s="22" t="s">
        <v>1352</v>
      </c>
      <c r="E42" s="11">
        <v>2022.0</v>
      </c>
      <c r="F42" s="11" t="s">
        <v>1353</v>
      </c>
      <c r="G42" s="11" t="s">
        <v>14</v>
      </c>
      <c r="H42" s="11" t="s">
        <v>39</v>
      </c>
      <c r="I42" s="11" t="s">
        <v>1238</v>
      </c>
      <c r="J42" s="11" t="s">
        <v>1238</v>
      </c>
      <c r="K42" s="4"/>
      <c r="L42" s="4"/>
      <c r="M42" s="4"/>
      <c r="N42" s="4"/>
      <c r="O42" s="4"/>
      <c r="P42" s="4"/>
      <c r="Q42" s="4"/>
      <c r="R42" s="4"/>
      <c r="S42" s="4"/>
      <c r="T42" s="4"/>
      <c r="U42" s="4"/>
      <c r="V42" s="4"/>
      <c r="W42" s="4"/>
      <c r="X42" s="4"/>
      <c r="Y42" s="4"/>
      <c r="Z42" s="4"/>
      <c r="AA42" s="21"/>
    </row>
    <row r="43">
      <c r="A43" s="11" t="s">
        <v>1354</v>
      </c>
      <c r="B43" s="11" t="s">
        <v>1355</v>
      </c>
      <c r="C43" s="4"/>
      <c r="D43" s="22" t="s">
        <v>1356</v>
      </c>
      <c r="E43" s="11">
        <v>2023.0</v>
      </c>
      <c r="F43" s="11" t="s">
        <v>1357</v>
      </c>
      <c r="G43" s="11" t="s">
        <v>65</v>
      </c>
      <c r="H43" s="11" t="s">
        <v>39</v>
      </c>
      <c r="I43" s="11" t="s">
        <v>1238</v>
      </c>
      <c r="J43" s="11" t="s">
        <v>1238</v>
      </c>
      <c r="K43" s="4"/>
      <c r="L43" s="4"/>
      <c r="M43" s="4"/>
      <c r="N43" s="4"/>
      <c r="O43" s="4"/>
      <c r="P43" s="4"/>
      <c r="Q43" s="4"/>
      <c r="R43" s="4"/>
      <c r="S43" s="4"/>
      <c r="T43" s="4"/>
      <c r="U43" s="4"/>
      <c r="V43" s="4"/>
      <c r="W43" s="4"/>
      <c r="X43" s="4"/>
      <c r="Y43" s="4"/>
      <c r="Z43" s="4"/>
      <c r="AA43" s="21"/>
    </row>
    <row r="44">
      <c r="A44" s="11" t="s">
        <v>1358</v>
      </c>
      <c r="B44" s="11" t="s">
        <v>1359</v>
      </c>
      <c r="C44" s="4"/>
      <c r="D44" s="22" t="s">
        <v>1360</v>
      </c>
      <c r="E44" s="11">
        <v>2016.0</v>
      </c>
      <c r="F44" s="11" t="s">
        <v>1361</v>
      </c>
      <c r="G44" s="11" t="s">
        <v>65</v>
      </c>
      <c r="H44" s="11" t="s">
        <v>39</v>
      </c>
      <c r="I44" s="11" t="s">
        <v>1238</v>
      </c>
      <c r="J44" s="11" t="s">
        <v>1238</v>
      </c>
      <c r="K44" s="4"/>
      <c r="L44" s="4"/>
      <c r="M44" s="4"/>
      <c r="N44" s="4"/>
      <c r="O44" s="4"/>
      <c r="P44" s="4"/>
      <c r="Q44" s="4"/>
      <c r="R44" s="4"/>
      <c r="S44" s="4"/>
      <c r="T44" s="4"/>
      <c r="U44" s="4"/>
      <c r="V44" s="4"/>
      <c r="W44" s="4"/>
      <c r="X44" s="4"/>
      <c r="Y44" s="4"/>
      <c r="Z44" s="4"/>
      <c r="AA44" s="21"/>
    </row>
    <row r="45">
      <c r="A45" s="11" t="s">
        <v>1362</v>
      </c>
      <c r="B45" s="11" t="s">
        <v>1363</v>
      </c>
      <c r="C45" s="4"/>
      <c r="D45" s="22" t="s">
        <v>1364</v>
      </c>
      <c r="E45" s="11">
        <v>2024.0</v>
      </c>
      <c r="F45" s="11" t="s">
        <v>1365</v>
      </c>
      <c r="G45" s="11" t="s">
        <v>65</v>
      </c>
      <c r="H45" s="11" t="s">
        <v>49</v>
      </c>
      <c r="I45" s="11" t="s">
        <v>1238</v>
      </c>
      <c r="J45" s="11" t="s">
        <v>1238</v>
      </c>
      <c r="K45" s="4"/>
      <c r="L45" s="4"/>
      <c r="M45" s="4"/>
      <c r="N45" s="4"/>
      <c r="O45" s="4"/>
      <c r="P45" s="4"/>
      <c r="Q45" s="4"/>
      <c r="R45" s="4"/>
      <c r="S45" s="4"/>
      <c r="T45" s="4"/>
      <c r="U45" s="4"/>
      <c r="V45" s="4"/>
      <c r="W45" s="4"/>
      <c r="X45" s="4"/>
      <c r="Y45" s="4"/>
      <c r="Z45" s="4"/>
      <c r="AA45" s="21"/>
    </row>
    <row r="46">
      <c r="A46" s="11" t="s">
        <v>1366</v>
      </c>
      <c r="B46" s="11" t="s">
        <v>1367</v>
      </c>
      <c r="C46" s="4"/>
      <c r="D46" s="22" t="s">
        <v>1368</v>
      </c>
      <c r="E46" s="11">
        <v>2021.0</v>
      </c>
      <c r="F46" s="11" t="s">
        <v>503</v>
      </c>
      <c r="G46" s="11" t="s">
        <v>437</v>
      </c>
      <c r="H46" s="11" t="s">
        <v>49</v>
      </c>
      <c r="I46" s="11" t="s">
        <v>1238</v>
      </c>
      <c r="J46" s="11" t="s">
        <v>1238</v>
      </c>
      <c r="K46" s="4"/>
      <c r="L46" s="4"/>
      <c r="M46" s="4"/>
      <c r="N46" s="4"/>
      <c r="O46" s="4"/>
      <c r="P46" s="4"/>
      <c r="Q46" s="4"/>
      <c r="R46" s="4"/>
      <c r="S46" s="4"/>
      <c r="T46" s="4"/>
      <c r="U46" s="4"/>
      <c r="V46" s="4"/>
      <c r="W46" s="4"/>
      <c r="X46" s="4"/>
      <c r="Y46" s="4"/>
      <c r="Z46" s="4"/>
      <c r="AA46" s="21"/>
    </row>
    <row r="47">
      <c r="A47" s="4"/>
      <c r="B47" s="4"/>
      <c r="C47" s="4"/>
      <c r="D47" s="26"/>
      <c r="E47" s="4"/>
      <c r="F47" s="4"/>
      <c r="G47" s="4"/>
      <c r="H47" s="4"/>
      <c r="I47" s="4"/>
      <c r="J47" s="4"/>
      <c r="K47" s="4"/>
      <c r="L47" s="4"/>
      <c r="M47" s="4"/>
      <c r="N47" s="4"/>
      <c r="O47" s="4"/>
      <c r="P47" s="4"/>
      <c r="Q47" s="4"/>
      <c r="R47" s="4"/>
      <c r="S47" s="4"/>
      <c r="T47" s="4"/>
      <c r="U47" s="4"/>
      <c r="V47" s="4"/>
      <c r="W47" s="4"/>
      <c r="X47" s="4"/>
      <c r="Y47" s="4"/>
      <c r="Z47" s="4"/>
      <c r="AA47" s="21"/>
    </row>
    <row r="48">
      <c r="A48" s="4"/>
      <c r="B48" s="4"/>
      <c r="C48" s="4"/>
      <c r="D48" s="26"/>
      <c r="E48" s="4"/>
      <c r="F48" s="4"/>
      <c r="G48" s="4"/>
      <c r="H48" s="4"/>
      <c r="I48" s="4"/>
      <c r="J48" s="4"/>
      <c r="K48" s="4"/>
      <c r="L48" s="4"/>
      <c r="M48" s="4"/>
      <c r="N48" s="4"/>
      <c r="O48" s="4"/>
      <c r="P48" s="4"/>
      <c r="Q48" s="4"/>
      <c r="R48" s="4"/>
      <c r="S48" s="4"/>
      <c r="T48" s="4"/>
      <c r="U48" s="4"/>
      <c r="V48" s="4"/>
      <c r="W48" s="4"/>
      <c r="X48" s="4"/>
      <c r="Y48" s="4"/>
      <c r="Z48" s="4"/>
      <c r="AA48" s="21"/>
    </row>
    <row r="49">
      <c r="A49" s="4"/>
      <c r="B49" s="4"/>
      <c r="C49" s="4"/>
      <c r="D49" s="26"/>
      <c r="E49" s="4"/>
      <c r="F49" s="4"/>
      <c r="G49" s="4"/>
      <c r="H49" s="4"/>
      <c r="I49" s="4"/>
      <c r="J49" s="4"/>
      <c r="K49" s="4"/>
      <c r="L49" s="4"/>
      <c r="M49" s="4"/>
      <c r="N49" s="4"/>
      <c r="O49" s="4"/>
      <c r="P49" s="4"/>
      <c r="Q49" s="4"/>
      <c r="R49" s="4"/>
      <c r="S49" s="4"/>
      <c r="T49" s="4"/>
      <c r="U49" s="4"/>
      <c r="V49" s="4"/>
      <c r="W49" s="4"/>
      <c r="X49" s="4"/>
      <c r="Y49" s="4"/>
      <c r="Z49" s="4"/>
      <c r="AA49" s="21"/>
    </row>
    <row r="50">
      <c r="A50" s="4"/>
      <c r="B50" s="4"/>
      <c r="C50" s="4"/>
      <c r="D50" s="26"/>
      <c r="E50" s="4"/>
      <c r="F50" s="4"/>
      <c r="G50" s="4"/>
      <c r="H50" s="4"/>
      <c r="I50" s="4"/>
      <c r="J50" s="4"/>
      <c r="K50" s="4"/>
      <c r="L50" s="4"/>
      <c r="M50" s="4"/>
      <c r="N50" s="4"/>
      <c r="O50" s="4"/>
      <c r="P50" s="4"/>
      <c r="Q50" s="4"/>
      <c r="R50" s="4"/>
      <c r="S50" s="4"/>
      <c r="T50" s="4"/>
      <c r="U50" s="4"/>
      <c r="V50" s="4"/>
      <c r="W50" s="4"/>
      <c r="X50" s="4"/>
      <c r="Y50" s="4"/>
      <c r="Z50" s="4"/>
      <c r="AA50" s="21"/>
    </row>
    <row r="51">
      <c r="A51" s="4"/>
      <c r="B51" s="4"/>
      <c r="C51" s="4"/>
      <c r="D51" s="26"/>
      <c r="E51" s="4"/>
      <c r="F51" s="4"/>
      <c r="G51" s="4"/>
      <c r="H51" s="4"/>
      <c r="I51" s="4"/>
      <c r="J51" s="4"/>
      <c r="K51" s="4"/>
      <c r="L51" s="4"/>
      <c r="M51" s="4"/>
      <c r="N51" s="4"/>
      <c r="O51" s="4"/>
      <c r="P51" s="4"/>
      <c r="Q51" s="4"/>
      <c r="R51" s="4"/>
      <c r="S51" s="4"/>
      <c r="T51" s="4"/>
      <c r="U51" s="4"/>
      <c r="V51" s="4"/>
      <c r="W51" s="4"/>
      <c r="X51" s="4"/>
      <c r="Y51" s="4"/>
      <c r="Z51" s="4"/>
      <c r="AA51" s="21"/>
    </row>
    <row r="52">
      <c r="A52" s="4"/>
      <c r="B52" s="4"/>
      <c r="C52" s="4"/>
      <c r="D52" s="26"/>
      <c r="E52" s="4"/>
      <c r="F52" s="4"/>
      <c r="G52" s="4"/>
      <c r="H52" s="4"/>
      <c r="I52" s="4"/>
      <c r="J52" s="4"/>
      <c r="K52" s="4"/>
      <c r="L52" s="4"/>
      <c r="M52" s="4"/>
      <c r="N52" s="4"/>
      <c r="O52" s="4"/>
      <c r="P52" s="4"/>
      <c r="Q52" s="4"/>
      <c r="R52" s="4"/>
      <c r="S52" s="4"/>
      <c r="T52" s="4"/>
      <c r="U52" s="4"/>
      <c r="V52" s="4"/>
      <c r="W52" s="4"/>
      <c r="X52" s="4"/>
      <c r="Y52" s="4"/>
      <c r="Z52" s="4"/>
      <c r="AA52" s="21"/>
    </row>
    <row r="53">
      <c r="A53" s="4"/>
      <c r="B53" s="4"/>
      <c r="C53" s="4"/>
      <c r="D53" s="26"/>
      <c r="E53" s="4"/>
      <c r="F53" s="4"/>
      <c r="G53" s="4"/>
      <c r="H53" s="4"/>
      <c r="I53" s="4"/>
      <c r="J53" s="4"/>
      <c r="K53" s="4"/>
      <c r="L53" s="4"/>
      <c r="M53" s="4"/>
      <c r="N53" s="4"/>
      <c r="O53" s="4"/>
      <c r="P53" s="4"/>
      <c r="Q53" s="4"/>
      <c r="R53" s="4"/>
      <c r="S53" s="4"/>
      <c r="T53" s="4"/>
      <c r="U53" s="4"/>
      <c r="V53" s="4"/>
      <c r="W53" s="4"/>
      <c r="X53" s="4"/>
      <c r="Y53" s="4"/>
      <c r="Z53" s="4"/>
      <c r="AA53" s="21"/>
    </row>
    <row r="54">
      <c r="A54" s="4"/>
      <c r="B54" s="4"/>
      <c r="C54" s="4"/>
      <c r="D54" s="26"/>
      <c r="E54" s="4"/>
      <c r="F54" s="4"/>
      <c r="G54" s="4"/>
      <c r="H54" s="4"/>
      <c r="I54" s="4"/>
      <c r="J54" s="4"/>
      <c r="K54" s="4"/>
      <c r="L54" s="4"/>
      <c r="M54" s="4"/>
      <c r="N54" s="4"/>
      <c r="O54" s="4"/>
      <c r="P54" s="4"/>
      <c r="Q54" s="4"/>
      <c r="R54" s="4"/>
      <c r="S54" s="4"/>
      <c r="T54" s="4"/>
      <c r="U54" s="4"/>
      <c r="V54" s="4"/>
      <c r="W54" s="4"/>
      <c r="X54" s="4"/>
      <c r="Y54" s="4"/>
      <c r="Z54" s="4"/>
      <c r="AA54" s="21"/>
    </row>
    <row r="55">
      <c r="A55" s="4"/>
      <c r="B55" s="4"/>
      <c r="C55" s="4"/>
      <c r="D55" s="26"/>
      <c r="E55" s="4"/>
      <c r="F55" s="4"/>
      <c r="G55" s="4"/>
      <c r="H55" s="4"/>
      <c r="I55" s="4"/>
      <c r="J55" s="4"/>
      <c r="K55" s="4"/>
      <c r="L55" s="4"/>
      <c r="M55" s="4"/>
      <c r="N55" s="4"/>
      <c r="O55" s="4"/>
      <c r="P55" s="4"/>
      <c r="Q55" s="4"/>
      <c r="R55" s="4"/>
      <c r="S55" s="4"/>
      <c r="T55" s="4"/>
      <c r="U55" s="4"/>
      <c r="V55" s="4"/>
      <c r="W55" s="4"/>
      <c r="X55" s="4"/>
      <c r="Y55" s="4"/>
      <c r="Z55" s="4"/>
      <c r="AA55" s="21"/>
    </row>
    <row r="56">
      <c r="A56" s="4"/>
      <c r="B56" s="4"/>
      <c r="C56" s="4"/>
      <c r="D56" s="26"/>
      <c r="E56" s="4"/>
      <c r="F56" s="4"/>
      <c r="G56" s="4"/>
      <c r="H56" s="4"/>
      <c r="I56" s="4"/>
      <c r="J56" s="4"/>
      <c r="K56" s="4"/>
      <c r="L56" s="4"/>
      <c r="M56" s="4"/>
      <c r="N56" s="4"/>
      <c r="O56" s="4"/>
      <c r="P56" s="4"/>
      <c r="Q56" s="4"/>
      <c r="R56" s="4"/>
      <c r="S56" s="4"/>
      <c r="T56" s="4"/>
      <c r="U56" s="4"/>
      <c r="V56" s="4"/>
      <c r="W56" s="4"/>
      <c r="X56" s="4"/>
      <c r="Y56" s="4"/>
      <c r="Z56" s="4"/>
      <c r="AA56" s="21"/>
    </row>
    <row r="57">
      <c r="A57" s="4"/>
      <c r="B57" s="4"/>
      <c r="C57" s="4"/>
      <c r="D57" s="26"/>
      <c r="E57" s="4"/>
      <c r="F57" s="4"/>
      <c r="G57" s="4"/>
      <c r="H57" s="4"/>
      <c r="I57" s="4"/>
      <c r="J57" s="4"/>
      <c r="K57" s="4"/>
      <c r="L57" s="4"/>
      <c r="M57" s="4"/>
      <c r="N57" s="4"/>
      <c r="O57" s="4"/>
      <c r="P57" s="4"/>
      <c r="Q57" s="4"/>
      <c r="R57" s="4"/>
      <c r="S57" s="4"/>
      <c r="T57" s="4"/>
      <c r="U57" s="4"/>
      <c r="V57" s="4"/>
      <c r="W57" s="4"/>
      <c r="X57" s="4"/>
      <c r="Y57" s="4"/>
      <c r="Z57" s="4"/>
      <c r="AA57" s="21"/>
    </row>
    <row r="58">
      <c r="A58" s="4"/>
      <c r="B58" s="4"/>
      <c r="C58" s="4"/>
      <c r="D58" s="26"/>
      <c r="E58" s="4"/>
      <c r="F58" s="4"/>
      <c r="G58" s="4"/>
      <c r="H58" s="4"/>
      <c r="I58" s="4"/>
      <c r="J58" s="4"/>
      <c r="K58" s="4"/>
      <c r="L58" s="4"/>
      <c r="M58" s="4"/>
      <c r="N58" s="4"/>
      <c r="O58" s="4"/>
      <c r="P58" s="4"/>
      <c r="Q58" s="4"/>
      <c r="R58" s="4"/>
      <c r="S58" s="4"/>
      <c r="T58" s="4"/>
      <c r="U58" s="4"/>
      <c r="V58" s="4"/>
      <c r="W58" s="4"/>
      <c r="X58" s="4"/>
      <c r="Y58" s="4"/>
      <c r="Z58" s="4"/>
      <c r="AA58" s="21"/>
    </row>
    <row r="59">
      <c r="A59" s="4"/>
      <c r="B59" s="4"/>
      <c r="C59" s="4"/>
      <c r="D59" s="26"/>
      <c r="E59" s="4"/>
      <c r="F59" s="4"/>
      <c r="G59" s="4"/>
      <c r="H59" s="4"/>
      <c r="I59" s="4"/>
      <c r="J59" s="4"/>
      <c r="K59" s="4"/>
      <c r="L59" s="4"/>
      <c r="M59" s="4"/>
      <c r="N59" s="4"/>
      <c r="O59" s="4"/>
      <c r="P59" s="4"/>
      <c r="Q59" s="4"/>
      <c r="R59" s="4"/>
      <c r="S59" s="4"/>
      <c r="T59" s="4"/>
      <c r="U59" s="4"/>
      <c r="V59" s="4"/>
      <c r="W59" s="4"/>
      <c r="X59" s="4"/>
      <c r="Y59" s="4"/>
      <c r="Z59" s="4"/>
      <c r="AA59" s="21"/>
    </row>
    <row r="60">
      <c r="A60" s="4"/>
      <c r="B60" s="4"/>
      <c r="C60" s="4"/>
      <c r="D60" s="26"/>
      <c r="E60" s="4"/>
      <c r="F60" s="4"/>
      <c r="G60" s="4"/>
      <c r="H60" s="4"/>
      <c r="I60" s="4"/>
      <c r="J60" s="4"/>
      <c r="K60" s="4"/>
      <c r="L60" s="4"/>
      <c r="M60" s="4"/>
      <c r="N60" s="4"/>
      <c r="O60" s="4"/>
      <c r="P60" s="4"/>
      <c r="Q60" s="4"/>
      <c r="R60" s="4"/>
      <c r="S60" s="4"/>
      <c r="T60" s="4"/>
      <c r="U60" s="4"/>
      <c r="V60" s="4"/>
      <c r="W60" s="4"/>
      <c r="X60" s="4"/>
      <c r="Y60" s="4"/>
      <c r="Z60" s="4"/>
      <c r="AA60" s="21"/>
    </row>
    <row r="61">
      <c r="A61" s="4"/>
      <c r="B61" s="4"/>
      <c r="C61" s="4"/>
      <c r="D61" s="26"/>
      <c r="E61" s="4"/>
      <c r="F61" s="4"/>
      <c r="G61" s="4"/>
      <c r="H61" s="4"/>
      <c r="I61" s="4"/>
      <c r="J61" s="4"/>
      <c r="K61" s="4"/>
      <c r="L61" s="4"/>
      <c r="M61" s="4"/>
      <c r="N61" s="4"/>
      <c r="O61" s="4"/>
      <c r="P61" s="4"/>
      <c r="Q61" s="4"/>
      <c r="R61" s="4"/>
      <c r="S61" s="4"/>
      <c r="T61" s="4"/>
      <c r="U61" s="4"/>
      <c r="V61" s="4"/>
      <c r="W61" s="4"/>
      <c r="X61" s="4"/>
      <c r="Y61" s="4"/>
      <c r="Z61" s="4"/>
      <c r="AA61" s="21"/>
    </row>
    <row r="62">
      <c r="A62" s="4"/>
      <c r="B62" s="4"/>
      <c r="C62" s="4"/>
      <c r="D62" s="26"/>
      <c r="E62" s="4"/>
      <c r="F62" s="4"/>
      <c r="G62" s="4"/>
      <c r="H62" s="4"/>
      <c r="I62" s="4"/>
      <c r="J62" s="4"/>
      <c r="K62" s="4"/>
      <c r="L62" s="4"/>
      <c r="M62" s="4"/>
      <c r="N62" s="4"/>
      <c r="O62" s="4"/>
      <c r="P62" s="4"/>
      <c r="Q62" s="4"/>
      <c r="R62" s="4"/>
      <c r="S62" s="4"/>
      <c r="T62" s="4"/>
      <c r="U62" s="4"/>
      <c r="V62" s="4"/>
      <c r="W62" s="4"/>
      <c r="X62" s="4"/>
      <c r="Y62" s="4"/>
      <c r="Z62" s="4"/>
      <c r="AA62" s="21"/>
    </row>
    <row r="63">
      <c r="A63" s="4"/>
      <c r="B63" s="4"/>
      <c r="C63" s="4"/>
      <c r="D63" s="26"/>
      <c r="E63" s="4"/>
      <c r="F63" s="4"/>
      <c r="G63" s="4"/>
      <c r="H63" s="4"/>
      <c r="I63" s="4"/>
      <c r="J63" s="4"/>
      <c r="K63" s="4"/>
      <c r="L63" s="4"/>
      <c r="M63" s="4"/>
      <c r="N63" s="4"/>
      <c r="O63" s="4"/>
      <c r="P63" s="4"/>
      <c r="Q63" s="4"/>
      <c r="R63" s="4"/>
      <c r="S63" s="4"/>
      <c r="T63" s="4"/>
      <c r="U63" s="4"/>
      <c r="V63" s="4"/>
      <c r="W63" s="4"/>
      <c r="X63" s="4"/>
      <c r="Y63" s="4"/>
      <c r="Z63" s="4"/>
      <c r="AA63" s="21"/>
    </row>
    <row r="64">
      <c r="A64" s="4"/>
      <c r="B64" s="4"/>
      <c r="C64" s="4"/>
      <c r="D64" s="26"/>
      <c r="E64" s="4"/>
      <c r="F64" s="4"/>
      <c r="G64" s="4"/>
      <c r="H64" s="4"/>
      <c r="I64" s="4"/>
      <c r="J64" s="4"/>
      <c r="K64" s="4"/>
      <c r="L64" s="4"/>
      <c r="M64" s="4"/>
      <c r="N64" s="4"/>
      <c r="O64" s="4"/>
      <c r="P64" s="4"/>
      <c r="Q64" s="4"/>
      <c r="R64" s="4"/>
      <c r="S64" s="4"/>
      <c r="T64" s="4"/>
      <c r="U64" s="4"/>
      <c r="V64" s="4"/>
      <c r="W64" s="4"/>
      <c r="X64" s="4"/>
      <c r="Y64" s="4"/>
      <c r="Z64" s="4"/>
      <c r="AA64" s="21"/>
    </row>
    <row r="65">
      <c r="A65" s="4"/>
      <c r="B65" s="4"/>
      <c r="C65" s="4"/>
      <c r="D65" s="26"/>
      <c r="E65" s="4"/>
      <c r="F65" s="4"/>
      <c r="G65" s="4"/>
      <c r="H65" s="4"/>
      <c r="I65" s="4"/>
      <c r="J65" s="4"/>
      <c r="K65" s="4"/>
      <c r="L65" s="4"/>
      <c r="M65" s="4"/>
      <c r="N65" s="4"/>
      <c r="O65" s="4"/>
      <c r="P65" s="4"/>
      <c r="Q65" s="4"/>
      <c r="R65" s="4"/>
      <c r="S65" s="4"/>
      <c r="T65" s="4"/>
      <c r="U65" s="4"/>
      <c r="V65" s="4"/>
      <c r="W65" s="4"/>
      <c r="X65" s="4"/>
      <c r="Y65" s="4"/>
      <c r="Z65" s="4"/>
      <c r="AA65" s="21"/>
    </row>
    <row r="66">
      <c r="A66" s="4"/>
      <c r="B66" s="4"/>
      <c r="C66" s="4"/>
      <c r="D66" s="26"/>
      <c r="E66" s="4"/>
      <c r="F66" s="4"/>
      <c r="G66" s="4"/>
      <c r="H66" s="4"/>
      <c r="I66" s="4"/>
      <c r="J66" s="4"/>
      <c r="K66" s="4"/>
      <c r="L66" s="4"/>
      <c r="M66" s="4"/>
      <c r="N66" s="4"/>
      <c r="O66" s="4"/>
      <c r="P66" s="4"/>
      <c r="Q66" s="4"/>
      <c r="R66" s="4"/>
      <c r="S66" s="4"/>
      <c r="T66" s="4"/>
      <c r="U66" s="4"/>
      <c r="V66" s="4"/>
      <c r="W66" s="4"/>
      <c r="X66" s="4"/>
      <c r="Y66" s="4"/>
      <c r="Z66" s="4"/>
      <c r="AA66" s="21"/>
    </row>
    <row r="67">
      <c r="A67" s="4"/>
      <c r="B67" s="4"/>
      <c r="C67" s="4"/>
      <c r="D67" s="26"/>
      <c r="E67" s="4"/>
      <c r="F67" s="4"/>
      <c r="G67" s="4"/>
      <c r="H67" s="4"/>
      <c r="I67" s="4"/>
      <c r="J67" s="4"/>
      <c r="K67" s="4"/>
      <c r="L67" s="4"/>
      <c r="M67" s="4"/>
      <c r="N67" s="4"/>
      <c r="O67" s="4"/>
      <c r="P67" s="4"/>
      <c r="Q67" s="4"/>
      <c r="R67" s="4"/>
      <c r="S67" s="4"/>
      <c r="T67" s="4"/>
      <c r="U67" s="4"/>
      <c r="V67" s="4"/>
      <c r="W67" s="4"/>
      <c r="X67" s="4"/>
      <c r="Y67" s="4"/>
      <c r="Z67" s="4"/>
      <c r="AA67" s="21"/>
    </row>
    <row r="68">
      <c r="A68" s="4"/>
      <c r="B68" s="4"/>
      <c r="C68" s="4"/>
      <c r="D68" s="26"/>
      <c r="E68" s="4"/>
      <c r="F68" s="4"/>
      <c r="G68" s="4"/>
      <c r="H68" s="4"/>
      <c r="I68" s="4"/>
      <c r="J68" s="4"/>
      <c r="K68" s="4"/>
      <c r="L68" s="4"/>
      <c r="M68" s="4"/>
      <c r="N68" s="4"/>
      <c r="O68" s="4"/>
      <c r="P68" s="4"/>
      <c r="Q68" s="4"/>
      <c r="R68" s="4"/>
      <c r="S68" s="4"/>
      <c r="T68" s="4"/>
      <c r="U68" s="4"/>
      <c r="V68" s="4"/>
      <c r="W68" s="4"/>
      <c r="X68" s="4"/>
      <c r="Y68" s="4"/>
      <c r="Z68" s="4"/>
      <c r="AA68" s="21"/>
    </row>
    <row r="69">
      <c r="A69" s="4"/>
      <c r="B69" s="4"/>
      <c r="C69" s="4"/>
      <c r="D69" s="26"/>
      <c r="E69" s="4"/>
      <c r="F69" s="4"/>
      <c r="G69" s="4"/>
      <c r="H69" s="4"/>
      <c r="I69" s="4"/>
      <c r="J69" s="4"/>
      <c r="K69" s="4"/>
      <c r="L69" s="4"/>
      <c r="M69" s="4"/>
      <c r="N69" s="4"/>
      <c r="O69" s="4"/>
      <c r="P69" s="4"/>
      <c r="Q69" s="4"/>
      <c r="R69" s="4"/>
      <c r="S69" s="4"/>
      <c r="T69" s="4"/>
      <c r="U69" s="4"/>
      <c r="V69" s="4"/>
      <c r="W69" s="4"/>
      <c r="X69" s="4"/>
      <c r="Y69" s="4"/>
      <c r="Z69" s="4"/>
      <c r="AA69" s="21"/>
    </row>
    <row r="70">
      <c r="A70" s="4"/>
      <c r="B70" s="4"/>
      <c r="C70" s="4"/>
      <c r="D70" s="26"/>
      <c r="E70" s="4"/>
      <c r="F70" s="4"/>
      <c r="G70" s="4"/>
      <c r="H70" s="4"/>
      <c r="I70" s="4"/>
      <c r="J70" s="4"/>
      <c r="K70" s="4"/>
      <c r="L70" s="4"/>
      <c r="M70" s="4"/>
      <c r="N70" s="4"/>
      <c r="O70" s="4"/>
      <c r="P70" s="4"/>
      <c r="Q70" s="4"/>
      <c r="R70" s="4"/>
      <c r="S70" s="4"/>
      <c r="T70" s="4"/>
      <c r="U70" s="4"/>
      <c r="V70" s="4"/>
      <c r="W70" s="4"/>
      <c r="X70" s="4"/>
      <c r="Y70" s="4"/>
      <c r="Z70" s="4"/>
      <c r="AA70" s="21"/>
    </row>
    <row r="71">
      <c r="A71" s="4"/>
      <c r="B71" s="4"/>
      <c r="C71" s="4"/>
      <c r="D71" s="26"/>
      <c r="E71" s="4"/>
      <c r="F71" s="4"/>
      <c r="G71" s="4"/>
      <c r="H71" s="4"/>
      <c r="I71" s="4"/>
      <c r="J71" s="4"/>
      <c r="K71" s="4"/>
      <c r="L71" s="4"/>
      <c r="M71" s="4"/>
      <c r="N71" s="4"/>
      <c r="O71" s="4"/>
      <c r="P71" s="4"/>
      <c r="Q71" s="4"/>
      <c r="R71" s="4"/>
      <c r="S71" s="4"/>
      <c r="T71" s="4"/>
      <c r="U71" s="4"/>
      <c r="V71" s="4"/>
      <c r="W71" s="4"/>
      <c r="X71" s="4"/>
      <c r="Y71" s="4"/>
      <c r="Z71" s="4"/>
      <c r="AA71" s="21"/>
    </row>
    <row r="72">
      <c r="A72" s="4"/>
      <c r="B72" s="4"/>
      <c r="C72" s="4"/>
      <c r="D72" s="26"/>
      <c r="E72" s="4"/>
      <c r="F72" s="4"/>
      <c r="G72" s="4"/>
      <c r="H72" s="4"/>
      <c r="I72" s="4"/>
      <c r="J72" s="4"/>
      <c r="K72" s="4"/>
      <c r="L72" s="4"/>
      <c r="M72" s="4"/>
      <c r="N72" s="4"/>
      <c r="O72" s="4"/>
      <c r="P72" s="4"/>
      <c r="Q72" s="4"/>
      <c r="R72" s="4"/>
      <c r="S72" s="4"/>
      <c r="T72" s="4"/>
      <c r="U72" s="4"/>
      <c r="V72" s="4"/>
      <c r="W72" s="4"/>
      <c r="X72" s="4"/>
      <c r="Y72" s="4"/>
      <c r="Z72" s="4"/>
      <c r="AA72" s="21"/>
    </row>
    <row r="73">
      <c r="A73" s="4"/>
      <c r="B73" s="4"/>
      <c r="C73" s="4"/>
      <c r="D73" s="26"/>
      <c r="E73" s="4"/>
      <c r="F73" s="4"/>
      <c r="G73" s="4"/>
      <c r="H73" s="4"/>
      <c r="I73" s="4"/>
      <c r="J73" s="4"/>
      <c r="K73" s="4"/>
      <c r="L73" s="4"/>
      <c r="M73" s="4"/>
      <c r="N73" s="4"/>
      <c r="O73" s="4"/>
      <c r="P73" s="4"/>
      <c r="Q73" s="4"/>
      <c r="R73" s="4"/>
      <c r="S73" s="4"/>
      <c r="T73" s="4"/>
      <c r="U73" s="4"/>
      <c r="V73" s="4"/>
      <c r="W73" s="4"/>
      <c r="X73" s="4"/>
      <c r="Y73" s="4"/>
      <c r="Z73" s="4"/>
      <c r="AA73" s="21"/>
    </row>
    <row r="74">
      <c r="A74" s="4"/>
      <c r="B74" s="4"/>
      <c r="C74" s="4"/>
      <c r="D74" s="26"/>
      <c r="E74" s="4"/>
      <c r="F74" s="4"/>
      <c r="G74" s="4"/>
      <c r="H74" s="4"/>
      <c r="I74" s="4"/>
      <c r="J74" s="4"/>
      <c r="K74" s="4"/>
      <c r="L74" s="4"/>
      <c r="M74" s="4"/>
      <c r="N74" s="4"/>
      <c r="O74" s="4"/>
      <c r="P74" s="4"/>
      <c r="Q74" s="4"/>
      <c r="R74" s="4"/>
      <c r="S74" s="4"/>
      <c r="T74" s="4"/>
      <c r="U74" s="4"/>
      <c r="V74" s="4"/>
      <c r="W74" s="4"/>
      <c r="X74" s="4"/>
      <c r="Y74" s="4"/>
      <c r="Z74" s="4"/>
      <c r="AA74" s="21"/>
    </row>
    <row r="75">
      <c r="A75" s="4"/>
      <c r="B75" s="4"/>
      <c r="C75" s="4"/>
      <c r="D75" s="26"/>
      <c r="E75" s="4"/>
      <c r="F75" s="4"/>
      <c r="G75" s="4"/>
      <c r="H75" s="4"/>
      <c r="I75" s="4"/>
      <c r="J75" s="4"/>
      <c r="K75" s="4"/>
      <c r="L75" s="4"/>
      <c r="M75" s="4"/>
      <c r="N75" s="4"/>
      <c r="O75" s="4"/>
      <c r="P75" s="4"/>
      <c r="Q75" s="4"/>
      <c r="R75" s="4"/>
      <c r="S75" s="4"/>
      <c r="T75" s="4"/>
      <c r="U75" s="4"/>
      <c r="V75" s="4"/>
      <c r="W75" s="4"/>
      <c r="X75" s="4"/>
      <c r="Y75" s="4"/>
      <c r="Z75" s="4"/>
      <c r="AA75" s="21"/>
    </row>
    <row r="76">
      <c r="A76" s="4"/>
      <c r="B76" s="4"/>
      <c r="C76" s="4"/>
      <c r="D76" s="26"/>
      <c r="E76" s="4"/>
      <c r="F76" s="4"/>
      <c r="G76" s="4"/>
      <c r="H76" s="4"/>
      <c r="I76" s="4"/>
      <c r="J76" s="4"/>
      <c r="K76" s="4"/>
      <c r="L76" s="4"/>
      <c r="M76" s="4"/>
      <c r="N76" s="4"/>
      <c r="O76" s="4"/>
      <c r="P76" s="4"/>
      <c r="Q76" s="4"/>
      <c r="R76" s="4"/>
      <c r="S76" s="4"/>
      <c r="T76" s="4"/>
      <c r="U76" s="4"/>
      <c r="V76" s="4"/>
      <c r="W76" s="4"/>
      <c r="X76" s="4"/>
      <c r="Y76" s="4"/>
      <c r="Z76" s="4"/>
      <c r="AA76" s="21"/>
    </row>
    <row r="77">
      <c r="A77" s="4"/>
      <c r="B77" s="4"/>
      <c r="C77" s="4"/>
      <c r="D77" s="26"/>
      <c r="E77" s="4"/>
      <c r="F77" s="4"/>
      <c r="G77" s="4"/>
      <c r="H77" s="4"/>
      <c r="I77" s="4"/>
      <c r="J77" s="4"/>
      <c r="K77" s="4"/>
      <c r="L77" s="4"/>
      <c r="M77" s="4"/>
      <c r="N77" s="4"/>
      <c r="O77" s="4"/>
      <c r="P77" s="4"/>
      <c r="Q77" s="4"/>
      <c r="R77" s="4"/>
      <c r="S77" s="4"/>
      <c r="T77" s="4"/>
      <c r="U77" s="4"/>
      <c r="V77" s="4"/>
      <c r="W77" s="4"/>
      <c r="X77" s="4"/>
      <c r="Y77" s="4"/>
      <c r="Z77" s="4"/>
      <c r="AA77" s="21"/>
    </row>
    <row r="78">
      <c r="A78" s="4"/>
      <c r="B78" s="4"/>
      <c r="C78" s="4"/>
      <c r="D78" s="26"/>
      <c r="E78" s="4"/>
      <c r="F78" s="4"/>
      <c r="G78" s="4"/>
      <c r="H78" s="4"/>
      <c r="I78" s="4"/>
      <c r="J78" s="4"/>
      <c r="K78" s="4"/>
      <c r="L78" s="4"/>
      <c r="M78" s="4"/>
      <c r="N78" s="4"/>
      <c r="O78" s="4"/>
      <c r="P78" s="4"/>
      <c r="Q78" s="4"/>
      <c r="R78" s="4"/>
      <c r="S78" s="4"/>
      <c r="T78" s="4"/>
      <c r="U78" s="4"/>
      <c r="V78" s="4"/>
      <c r="W78" s="4"/>
      <c r="X78" s="4"/>
      <c r="Y78" s="4"/>
      <c r="Z78" s="4"/>
      <c r="AA78" s="21"/>
    </row>
    <row r="79">
      <c r="A79" s="4"/>
      <c r="B79" s="4"/>
      <c r="C79" s="4"/>
      <c r="D79" s="26"/>
      <c r="E79" s="4"/>
      <c r="F79" s="4"/>
      <c r="G79" s="4"/>
      <c r="H79" s="4"/>
      <c r="I79" s="4"/>
      <c r="J79" s="4"/>
      <c r="K79" s="4"/>
      <c r="L79" s="4"/>
      <c r="M79" s="4"/>
      <c r="N79" s="4"/>
      <c r="O79" s="4"/>
      <c r="P79" s="4"/>
      <c r="Q79" s="4"/>
      <c r="R79" s="4"/>
      <c r="S79" s="4"/>
      <c r="T79" s="4"/>
      <c r="U79" s="4"/>
      <c r="V79" s="4"/>
      <c r="W79" s="4"/>
      <c r="X79" s="4"/>
      <c r="Y79" s="4"/>
      <c r="Z79" s="4"/>
      <c r="AA79" s="21"/>
    </row>
    <row r="80">
      <c r="A80" s="4"/>
      <c r="B80" s="4"/>
      <c r="C80" s="4"/>
      <c r="D80" s="26"/>
      <c r="E80" s="4"/>
      <c r="F80" s="4"/>
      <c r="G80" s="4"/>
      <c r="H80" s="4"/>
      <c r="I80" s="4"/>
      <c r="J80" s="4"/>
      <c r="K80" s="4"/>
      <c r="L80" s="4"/>
      <c r="M80" s="4"/>
      <c r="N80" s="4"/>
      <c r="O80" s="4"/>
      <c r="P80" s="4"/>
      <c r="Q80" s="4"/>
      <c r="R80" s="4"/>
      <c r="S80" s="4"/>
      <c r="T80" s="4"/>
      <c r="U80" s="4"/>
      <c r="V80" s="4"/>
      <c r="W80" s="4"/>
      <c r="X80" s="4"/>
      <c r="Y80" s="4"/>
      <c r="Z80" s="4"/>
      <c r="AA80" s="21"/>
    </row>
    <row r="81">
      <c r="A81" s="4"/>
      <c r="B81" s="4"/>
      <c r="C81" s="4"/>
      <c r="D81" s="26"/>
      <c r="E81" s="4"/>
      <c r="F81" s="4"/>
      <c r="G81" s="4"/>
      <c r="H81" s="4"/>
      <c r="I81" s="4"/>
      <c r="J81" s="4"/>
      <c r="K81" s="4"/>
      <c r="L81" s="4"/>
      <c r="M81" s="4"/>
      <c r="N81" s="4"/>
      <c r="O81" s="4"/>
      <c r="P81" s="4"/>
      <c r="Q81" s="4"/>
      <c r="R81" s="4"/>
      <c r="S81" s="4"/>
      <c r="T81" s="4"/>
      <c r="U81" s="4"/>
      <c r="V81" s="4"/>
      <c r="W81" s="4"/>
      <c r="X81" s="4"/>
      <c r="Y81" s="4"/>
      <c r="Z81" s="4"/>
      <c r="AA81" s="21"/>
    </row>
    <row r="82">
      <c r="A82" s="4"/>
      <c r="B82" s="4"/>
      <c r="C82" s="4"/>
      <c r="D82" s="26"/>
      <c r="E82" s="4"/>
      <c r="F82" s="4"/>
      <c r="G82" s="4"/>
      <c r="H82" s="4"/>
      <c r="I82" s="4"/>
      <c r="J82" s="4"/>
      <c r="K82" s="4"/>
      <c r="L82" s="4"/>
      <c r="M82" s="4"/>
      <c r="N82" s="4"/>
      <c r="O82" s="4"/>
      <c r="P82" s="4"/>
      <c r="Q82" s="4"/>
      <c r="R82" s="4"/>
      <c r="S82" s="4"/>
      <c r="T82" s="4"/>
      <c r="U82" s="4"/>
      <c r="V82" s="4"/>
      <c r="W82" s="4"/>
      <c r="X82" s="4"/>
      <c r="Y82" s="4"/>
      <c r="Z82" s="4"/>
      <c r="AA82" s="21"/>
    </row>
    <row r="83">
      <c r="A83" s="4"/>
      <c r="B83" s="4"/>
      <c r="C83" s="4"/>
      <c r="D83" s="26"/>
      <c r="E83" s="4"/>
      <c r="F83" s="4"/>
      <c r="G83" s="4"/>
      <c r="H83" s="4"/>
      <c r="I83" s="4"/>
      <c r="J83" s="4"/>
      <c r="K83" s="4"/>
      <c r="L83" s="4"/>
      <c r="M83" s="4"/>
      <c r="N83" s="4"/>
      <c r="O83" s="4"/>
      <c r="P83" s="4"/>
      <c r="Q83" s="4"/>
      <c r="R83" s="4"/>
      <c r="S83" s="4"/>
      <c r="T83" s="4"/>
      <c r="U83" s="4"/>
      <c r="V83" s="4"/>
      <c r="W83" s="4"/>
      <c r="X83" s="4"/>
      <c r="Y83" s="4"/>
      <c r="Z83" s="4"/>
      <c r="AA83" s="21"/>
    </row>
    <row r="84">
      <c r="A84" s="4"/>
      <c r="B84" s="4"/>
      <c r="C84" s="4"/>
      <c r="D84" s="26"/>
      <c r="E84" s="4"/>
      <c r="F84" s="4"/>
      <c r="G84" s="4"/>
      <c r="H84" s="4"/>
      <c r="I84" s="4"/>
      <c r="J84" s="4"/>
      <c r="K84" s="4"/>
      <c r="L84" s="4"/>
      <c r="M84" s="4"/>
      <c r="N84" s="4"/>
      <c r="O84" s="4"/>
      <c r="P84" s="4"/>
      <c r="Q84" s="4"/>
      <c r="R84" s="4"/>
      <c r="S84" s="4"/>
      <c r="T84" s="4"/>
      <c r="U84" s="4"/>
      <c r="V84" s="4"/>
      <c r="W84" s="4"/>
      <c r="X84" s="4"/>
      <c r="Y84" s="4"/>
      <c r="Z84" s="4"/>
      <c r="AA84" s="21"/>
    </row>
    <row r="85">
      <c r="A85" s="4"/>
      <c r="B85" s="4"/>
      <c r="C85" s="4"/>
      <c r="D85" s="26"/>
      <c r="E85" s="4"/>
      <c r="F85" s="4"/>
      <c r="G85" s="4"/>
      <c r="H85" s="4"/>
      <c r="I85" s="4"/>
      <c r="J85" s="4"/>
      <c r="K85" s="4"/>
      <c r="L85" s="4"/>
      <c r="M85" s="4"/>
      <c r="N85" s="4"/>
      <c r="O85" s="4"/>
      <c r="P85" s="4"/>
      <c r="Q85" s="4"/>
      <c r="R85" s="4"/>
      <c r="S85" s="4"/>
      <c r="T85" s="4"/>
      <c r="U85" s="4"/>
      <c r="V85" s="4"/>
      <c r="W85" s="4"/>
      <c r="X85" s="4"/>
      <c r="Y85" s="4"/>
      <c r="Z85" s="4"/>
      <c r="AA85" s="21"/>
    </row>
    <row r="86">
      <c r="A86" s="4"/>
      <c r="B86" s="4"/>
      <c r="C86" s="4"/>
      <c r="D86" s="26"/>
      <c r="E86" s="4"/>
      <c r="F86" s="4"/>
      <c r="G86" s="4"/>
      <c r="H86" s="4"/>
      <c r="I86" s="4"/>
      <c r="J86" s="4"/>
      <c r="K86" s="4"/>
      <c r="L86" s="4"/>
      <c r="M86" s="4"/>
      <c r="N86" s="4"/>
      <c r="O86" s="4"/>
      <c r="P86" s="4"/>
      <c r="Q86" s="4"/>
      <c r="R86" s="4"/>
      <c r="S86" s="4"/>
      <c r="T86" s="4"/>
      <c r="U86" s="4"/>
      <c r="V86" s="4"/>
      <c r="W86" s="4"/>
      <c r="X86" s="4"/>
      <c r="Y86" s="4"/>
      <c r="Z86" s="4"/>
      <c r="AA86" s="21"/>
    </row>
    <row r="87">
      <c r="A87" s="4"/>
      <c r="B87" s="4"/>
      <c r="C87" s="4"/>
      <c r="D87" s="26"/>
      <c r="E87" s="4"/>
      <c r="F87" s="4"/>
      <c r="G87" s="4"/>
      <c r="H87" s="4"/>
      <c r="I87" s="4"/>
      <c r="J87" s="4"/>
      <c r="K87" s="4"/>
      <c r="L87" s="4"/>
      <c r="M87" s="4"/>
      <c r="N87" s="4"/>
      <c r="O87" s="4"/>
      <c r="P87" s="4"/>
      <c r="Q87" s="4"/>
      <c r="R87" s="4"/>
      <c r="S87" s="4"/>
      <c r="T87" s="4"/>
      <c r="U87" s="4"/>
      <c r="V87" s="4"/>
      <c r="W87" s="4"/>
      <c r="X87" s="4"/>
      <c r="Y87" s="4"/>
      <c r="Z87" s="4"/>
      <c r="AA87" s="21"/>
    </row>
    <row r="88">
      <c r="A88" s="4"/>
      <c r="B88" s="4"/>
      <c r="C88" s="4"/>
      <c r="D88" s="26"/>
      <c r="E88" s="4"/>
      <c r="F88" s="4"/>
      <c r="G88" s="4"/>
      <c r="H88" s="4"/>
      <c r="I88" s="4"/>
      <c r="J88" s="4"/>
      <c r="K88" s="4"/>
      <c r="L88" s="4"/>
      <c r="M88" s="4"/>
      <c r="N88" s="4"/>
      <c r="O88" s="4"/>
      <c r="P88" s="4"/>
      <c r="Q88" s="4"/>
      <c r="R88" s="4"/>
      <c r="S88" s="4"/>
      <c r="T88" s="4"/>
      <c r="U88" s="4"/>
      <c r="V88" s="4"/>
      <c r="W88" s="4"/>
      <c r="X88" s="4"/>
      <c r="Y88" s="4"/>
      <c r="Z88" s="4"/>
      <c r="AA88" s="21"/>
    </row>
    <row r="89">
      <c r="A89" s="4"/>
      <c r="B89" s="4"/>
      <c r="C89" s="4"/>
      <c r="D89" s="26"/>
      <c r="E89" s="4"/>
      <c r="F89" s="4"/>
      <c r="G89" s="4"/>
      <c r="H89" s="4"/>
      <c r="I89" s="4"/>
      <c r="J89" s="4"/>
      <c r="K89" s="4"/>
      <c r="L89" s="4"/>
      <c r="M89" s="4"/>
      <c r="N89" s="4"/>
      <c r="O89" s="4"/>
      <c r="P89" s="4"/>
      <c r="Q89" s="4"/>
      <c r="R89" s="4"/>
      <c r="S89" s="4"/>
      <c r="T89" s="4"/>
      <c r="U89" s="4"/>
      <c r="V89" s="4"/>
      <c r="W89" s="4"/>
      <c r="X89" s="4"/>
      <c r="Y89" s="4"/>
      <c r="Z89" s="4"/>
      <c r="AA89" s="21"/>
    </row>
    <row r="90">
      <c r="A90" s="4"/>
      <c r="B90" s="4"/>
      <c r="C90" s="4"/>
      <c r="D90" s="26"/>
      <c r="E90" s="4"/>
      <c r="F90" s="4"/>
      <c r="G90" s="4"/>
      <c r="H90" s="4"/>
      <c r="I90" s="4"/>
      <c r="J90" s="4"/>
      <c r="K90" s="4"/>
      <c r="L90" s="4"/>
      <c r="M90" s="4"/>
      <c r="N90" s="4"/>
      <c r="O90" s="4"/>
      <c r="P90" s="4"/>
      <c r="Q90" s="4"/>
      <c r="R90" s="4"/>
      <c r="S90" s="4"/>
      <c r="T90" s="4"/>
      <c r="U90" s="4"/>
      <c r="V90" s="4"/>
      <c r="W90" s="4"/>
      <c r="X90" s="4"/>
      <c r="Y90" s="4"/>
      <c r="Z90" s="4"/>
      <c r="AA90" s="21"/>
    </row>
    <row r="91">
      <c r="A91" s="4"/>
      <c r="B91" s="4"/>
      <c r="C91" s="4"/>
      <c r="D91" s="26"/>
      <c r="E91" s="4"/>
      <c r="F91" s="4"/>
      <c r="G91" s="4"/>
      <c r="H91" s="4"/>
      <c r="I91" s="4"/>
      <c r="J91" s="4"/>
      <c r="K91" s="4"/>
      <c r="L91" s="4"/>
      <c r="M91" s="4"/>
      <c r="N91" s="4"/>
      <c r="O91" s="4"/>
      <c r="P91" s="4"/>
      <c r="Q91" s="4"/>
      <c r="R91" s="4"/>
      <c r="S91" s="4"/>
      <c r="T91" s="4"/>
      <c r="U91" s="4"/>
      <c r="V91" s="4"/>
      <c r="W91" s="4"/>
      <c r="X91" s="4"/>
      <c r="Y91" s="4"/>
      <c r="Z91" s="4"/>
      <c r="AA91" s="21"/>
    </row>
    <row r="92">
      <c r="A92" s="4"/>
      <c r="B92" s="4"/>
      <c r="C92" s="4"/>
      <c r="D92" s="26"/>
      <c r="E92" s="4"/>
      <c r="F92" s="4"/>
      <c r="G92" s="4"/>
      <c r="H92" s="4"/>
      <c r="I92" s="4"/>
      <c r="J92" s="4"/>
      <c r="K92" s="4"/>
      <c r="L92" s="4"/>
      <c r="M92" s="4"/>
      <c r="N92" s="4"/>
      <c r="O92" s="4"/>
      <c r="P92" s="4"/>
      <c r="Q92" s="4"/>
      <c r="R92" s="4"/>
      <c r="S92" s="4"/>
      <c r="T92" s="4"/>
      <c r="U92" s="4"/>
      <c r="V92" s="4"/>
      <c r="W92" s="4"/>
      <c r="X92" s="4"/>
      <c r="Y92" s="4"/>
      <c r="Z92" s="4"/>
      <c r="AA92" s="21"/>
    </row>
    <row r="93">
      <c r="A93" s="4"/>
      <c r="B93" s="4"/>
      <c r="C93" s="4"/>
      <c r="D93" s="26"/>
      <c r="E93" s="4"/>
      <c r="F93" s="4"/>
      <c r="G93" s="4"/>
      <c r="H93" s="4"/>
      <c r="I93" s="4"/>
      <c r="J93" s="4"/>
      <c r="K93" s="4"/>
      <c r="L93" s="4"/>
      <c r="M93" s="4"/>
      <c r="N93" s="4"/>
      <c r="O93" s="4"/>
      <c r="P93" s="4"/>
      <c r="Q93" s="4"/>
      <c r="R93" s="4"/>
      <c r="S93" s="4"/>
      <c r="T93" s="4"/>
      <c r="U93" s="4"/>
      <c r="V93" s="4"/>
      <c r="W93" s="4"/>
      <c r="X93" s="4"/>
      <c r="Y93" s="4"/>
      <c r="Z93" s="4"/>
      <c r="AA93" s="21"/>
    </row>
    <row r="94">
      <c r="A94" s="4"/>
      <c r="B94" s="4"/>
      <c r="C94" s="4"/>
      <c r="D94" s="26"/>
      <c r="E94" s="4"/>
      <c r="F94" s="4"/>
      <c r="G94" s="4"/>
      <c r="H94" s="4"/>
      <c r="I94" s="4"/>
      <c r="J94" s="4"/>
      <c r="K94" s="4"/>
      <c r="L94" s="4"/>
      <c r="M94" s="4"/>
      <c r="N94" s="4"/>
      <c r="O94" s="4"/>
      <c r="P94" s="4"/>
      <c r="Q94" s="4"/>
      <c r="R94" s="4"/>
      <c r="S94" s="4"/>
      <c r="T94" s="4"/>
      <c r="U94" s="4"/>
      <c r="V94" s="4"/>
      <c r="W94" s="4"/>
      <c r="X94" s="4"/>
      <c r="Y94" s="4"/>
      <c r="Z94" s="4"/>
      <c r="AA94" s="21"/>
    </row>
    <row r="95">
      <c r="A95" s="4"/>
      <c r="B95" s="4"/>
      <c r="C95" s="4"/>
      <c r="D95" s="26"/>
      <c r="E95" s="4"/>
      <c r="F95" s="4"/>
      <c r="G95" s="4"/>
      <c r="H95" s="4"/>
      <c r="I95" s="4"/>
      <c r="J95" s="4"/>
      <c r="K95" s="4"/>
      <c r="L95" s="4"/>
      <c r="M95" s="4"/>
      <c r="N95" s="4"/>
      <c r="O95" s="4"/>
      <c r="P95" s="4"/>
      <c r="Q95" s="4"/>
      <c r="R95" s="4"/>
      <c r="S95" s="4"/>
      <c r="T95" s="4"/>
      <c r="U95" s="4"/>
      <c r="V95" s="4"/>
      <c r="W95" s="4"/>
      <c r="X95" s="4"/>
      <c r="Y95" s="4"/>
      <c r="Z95" s="4"/>
      <c r="AA95" s="21"/>
    </row>
    <row r="96">
      <c r="A96" s="4"/>
      <c r="B96" s="4"/>
      <c r="C96" s="4"/>
      <c r="D96" s="26"/>
      <c r="E96" s="4"/>
      <c r="F96" s="4"/>
      <c r="G96" s="4"/>
      <c r="H96" s="4"/>
      <c r="I96" s="4"/>
      <c r="J96" s="4"/>
      <c r="K96" s="4"/>
      <c r="L96" s="4"/>
      <c r="M96" s="4"/>
      <c r="N96" s="4"/>
      <c r="O96" s="4"/>
      <c r="P96" s="4"/>
      <c r="Q96" s="4"/>
      <c r="R96" s="4"/>
      <c r="S96" s="4"/>
      <c r="T96" s="4"/>
      <c r="U96" s="4"/>
      <c r="V96" s="4"/>
      <c r="W96" s="4"/>
      <c r="X96" s="4"/>
      <c r="Y96" s="4"/>
      <c r="Z96" s="4"/>
      <c r="AA96" s="21"/>
    </row>
    <row r="97">
      <c r="A97" s="4"/>
      <c r="B97" s="4"/>
      <c r="C97" s="4"/>
      <c r="D97" s="26"/>
      <c r="E97" s="4"/>
      <c r="F97" s="4"/>
      <c r="G97" s="4"/>
      <c r="H97" s="4"/>
      <c r="I97" s="4"/>
      <c r="J97" s="4"/>
      <c r="K97" s="4"/>
      <c r="L97" s="4"/>
      <c r="M97" s="4"/>
      <c r="N97" s="4"/>
      <c r="O97" s="4"/>
      <c r="P97" s="4"/>
      <c r="Q97" s="4"/>
      <c r="R97" s="4"/>
      <c r="S97" s="4"/>
      <c r="T97" s="4"/>
      <c r="U97" s="4"/>
      <c r="V97" s="4"/>
      <c r="W97" s="4"/>
      <c r="X97" s="4"/>
      <c r="Y97" s="4"/>
      <c r="Z97" s="4"/>
      <c r="AA97" s="21"/>
    </row>
    <row r="98">
      <c r="A98" s="4"/>
      <c r="B98" s="4"/>
      <c r="C98" s="4"/>
      <c r="D98" s="26"/>
      <c r="E98" s="4"/>
      <c r="F98" s="4"/>
      <c r="G98" s="4"/>
      <c r="H98" s="4"/>
      <c r="I98" s="4"/>
      <c r="J98" s="4"/>
      <c r="K98" s="4"/>
      <c r="L98" s="4"/>
      <c r="M98" s="4"/>
      <c r="N98" s="4"/>
      <c r="O98" s="4"/>
      <c r="P98" s="4"/>
      <c r="Q98" s="4"/>
      <c r="R98" s="4"/>
      <c r="S98" s="4"/>
      <c r="T98" s="4"/>
      <c r="U98" s="4"/>
      <c r="V98" s="4"/>
      <c r="W98" s="4"/>
      <c r="X98" s="4"/>
      <c r="Y98" s="4"/>
      <c r="Z98" s="4"/>
      <c r="AA98" s="21"/>
    </row>
    <row r="99">
      <c r="A99" s="4"/>
      <c r="B99" s="4"/>
      <c r="C99" s="4"/>
      <c r="D99" s="26"/>
      <c r="E99" s="4"/>
      <c r="F99" s="4"/>
      <c r="G99" s="4"/>
      <c r="H99" s="4"/>
      <c r="I99" s="4"/>
      <c r="J99" s="4"/>
      <c r="K99" s="4"/>
      <c r="L99" s="4"/>
      <c r="M99" s="4"/>
      <c r="N99" s="4"/>
      <c r="O99" s="4"/>
      <c r="P99" s="4"/>
      <c r="Q99" s="4"/>
      <c r="R99" s="4"/>
      <c r="S99" s="4"/>
      <c r="T99" s="4"/>
      <c r="U99" s="4"/>
      <c r="V99" s="4"/>
      <c r="W99" s="4"/>
      <c r="X99" s="4"/>
      <c r="Y99" s="4"/>
      <c r="Z99" s="4"/>
      <c r="AA99" s="21"/>
    </row>
    <row r="100">
      <c r="A100" s="4"/>
      <c r="B100" s="4"/>
      <c r="C100" s="4"/>
      <c r="D100" s="26"/>
      <c r="E100" s="4"/>
      <c r="F100" s="4"/>
      <c r="G100" s="4"/>
      <c r="H100" s="4"/>
      <c r="I100" s="4"/>
      <c r="J100" s="4"/>
      <c r="K100" s="4"/>
      <c r="L100" s="4"/>
      <c r="M100" s="4"/>
      <c r="N100" s="4"/>
      <c r="O100" s="4"/>
      <c r="P100" s="4"/>
      <c r="Q100" s="4"/>
      <c r="R100" s="4"/>
      <c r="S100" s="4"/>
      <c r="T100" s="4"/>
      <c r="U100" s="4"/>
      <c r="V100" s="4"/>
      <c r="W100" s="4"/>
      <c r="X100" s="4"/>
      <c r="Y100" s="4"/>
      <c r="Z100" s="4"/>
      <c r="AA100" s="21"/>
    </row>
    <row r="101">
      <c r="A101" s="4"/>
      <c r="B101" s="4"/>
      <c r="C101" s="4"/>
      <c r="D101" s="26"/>
      <c r="E101" s="4"/>
      <c r="F101" s="4"/>
      <c r="G101" s="4"/>
      <c r="H101" s="4"/>
      <c r="I101" s="4"/>
      <c r="J101" s="4"/>
      <c r="K101" s="4"/>
      <c r="L101" s="4"/>
      <c r="M101" s="4"/>
      <c r="N101" s="4"/>
      <c r="O101" s="4"/>
      <c r="P101" s="4"/>
      <c r="Q101" s="4"/>
      <c r="R101" s="4"/>
      <c r="S101" s="4"/>
      <c r="T101" s="4"/>
      <c r="U101" s="4"/>
      <c r="V101" s="4"/>
      <c r="W101" s="4"/>
      <c r="X101" s="4"/>
      <c r="Y101" s="4"/>
      <c r="Z101" s="4"/>
      <c r="AA101" s="21"/>
    </row>
    <row r="102">
      <c r="A102" s="4"/>
      <c r="B102" s="4"/>
      <c r="C102" s="4"/>
      <c r="D102" s="26"/>
      <c r="E102" s="4"/>
      <c r="F102" s="4"/>
      <c r="G102" s="4"/>
      <c r="H102" s="4"/>
      <c r="I102" s="4"/>
      <c r="J102" s="4"/>
      <c r="K102" s="4"/>
      <c r="L102" s="4"/>
      <c r="M102" s="4"/>
      <c r="N102" s="4"/>
      <c r="O102" s="4"/>
      <c r="P102" s="4"/>
      <c r="Q102" s="4"/>
      <c r="R102" s="4"/>
      <c r="S102" s="4"/>
      <c r="T102" s="4"/>
      <c r="U102" s="4"/>
      <c r="V102" s="4"/>
      <c r="W102" s="4"/>
      <c r="X102" s="4"/>
      <c r="Y102" s="4"/>
      <c r="Z102" s="4"/>
      <c r="AA102" s="21"/>
    </row>
    <row r="103">
      <c r="A103" s="4"/>
      <c r="B103" s="4"/>
      <c r="C103" s="4"/>
      <c r="D103" s="26"/>
      <c r="E103" s="4"/>
      <c r="F103" s="4"/>
      <c r="G103" s="4"/>
      <c r="H103" s="4"/>
      <c r="I103" s="4"/>
      <c r="J103" s="4"/>
      <c r="K103" s="4"/>
      <c r="L103" s="4"/>
      <c r="M103" s="4"/>
      <c r="N103" s="4"/>
      <c r="O103" s="4"/>
      <c r="P103" s="4"/>
      <c r="Q103" s="4"/>
      <c r="R103" s="4"/>
      <c r="S103" s="4"/>
      <c r="T103" s="4"/>
      <c r="U103" s="4"/>
      <c r="V103" s="4"/>
      <c r="W103" s="4"/>
      <c r="X103" s="4"/>
      <c r="Y103" s="4"/>
      <c r="Z103" s="4"/>
      <c r="AA103" s="21"/>
    </row>
    <row r="104">
      <c r="A104" s="4"/>
      <c r="B104" s="4"/>
      <c r="C104" s="4"/>
      <c r="D104" s="26"/>
      <c r="E104" s="4"/>
      <c r="F104" s="4"/>
      <c r="G104" s="4"/>
      <c r="H104" s="4"/>
      <c r="I104" s="4"/>
      <c r="J104" s="4"/>
      <c r="K104" s="4"/>
      <c r="L104" s="4"/>
      <c r="M104" s="4"/>
      <c r="N104" s="4"/>
      <c r="O104" s="4"/>
      <c r="P104" s="4"/>
      <c r="Q104" s="4"/>
      <c r="R104" s="4"/>
      <c r="S104" s="4"/>
      <c r="T104" s="4"/>
      <c r="U104" s="4"/>
      <c r="V104" s="4"/>
      <c r="W104" s="4"/>
      <c r="X104" s="4"/>
      <c r="Y104" s="4"/>
      <c r="Z104" s="4"/>
      <c r="AA104" s="21"/>
    </row>
    <row r="105">
      <c r="A105" s="4"/>
      <c r="B105" s="4"/>
      <c r="C105" s="4"/>
      <c r="D105" s="26"/>
      <c r="E105" s="4"/>
      <c r="F105" s="4"/>
      <c r="G105" s="4"/>
      <c r="H105" s="4"/>
      <c r="I105" s="4"/>
      <c r="J105" s="4"/>
      <c r="K105" s="4"/>
      <c r="L105" s="4"/>
      <c r="M105" s="4"/>
      <c r="N105" s="4"/>
      <c r="O105" s="4"/>
      <c r="P105" s="4"/>
      <c r="Q105" s="4"/>
      <c r="R105" s="4"/>
      <c r="S105" s="4"/>
      <c r="T105" s="4"/>
      <c r="U105" s="4"/>
      <c r="V105" s="4"/>
      <c r="W105" s="4"/>
      <c r="X105" s="4"/>
      <c r="Y105" s="4"/>
      <c r="Z105" s="4"/>
      <c r="AA105" s="21"/>
    </row>
    <row r="106">
      <c r="A106" s="4"/>
      <c r="B106" s="4"/>
      <c r="C106" s="4"/>
      <c r="D106" s="26"/>
      <c r="E106" s="4"/>
      <c r="F106" s="4"/>
      <c r="G106" s="4"/>
      <c r="H106" s="4"/>
      <c r="I106" s="4"/>
      <c r="J106" s="4"/>
      <c r="K106" s="4"/>
      <c r="L106" s="4"/>
      <c r="M106" s="4"/>
      <c r="N106" s="4"/>
      <c r="O106" s="4"/>
      <c r="P106" s="4"/>
      <c r="Q106" s="4"/>
      <c r="R106" s="4"/>
      <c r="S106" s="4"/>
      <c r="T106" s="4"/>
      <c r="U106" s="4"/>
      <c r="V106" s="4"/>
      <c r="W106" s="4"/>
      <c r="X106" s="4"/>
      <c r="Y106" s="4"/>
      <c r="Z106" s="4"/>
      <c r="AA106" s="21"/>
    </row>
    <row r="107">
      <c r="A107" s="4"/>
      <c r="B107" s="4"/>
      <c r="C107" s="4"/>
      <c r="D107" s="26"/>
      <c r="E107" s="4"/>
      <c r="F107" s="4"/>
      <c r="G107" s="4"/>
      <c r="H107" s="4"/>
      <c r="I107" s="4"/>
      <c r="J107" s="4"/>
      <c r="K107" s="4"/>
      <c r="L107" s="4"/>
      <c r="M107" s="4"/>
      <c r="N107" s="4"/>
      <c r="O107" s="4"/>
      <c r="P107" s="4"/>
      <c r="Q107" s="4"/>
      <c r="R107" s="4"/>
      <c r="S107" s="4"/>
      <c r="T107" s="4"/>
      <c r="U107" s="4"/>
      <c r="V107" s="4"/>
      <c r="W107" s="4"/>
      <c r="X107" s="4"/>
      <c r="Y107" s="4"/>
      <c r="Z107" s="4"/>
      <c r="AA107" s="21"/>
    </row>
    <row r="108">
      <c r="A108" s="4"/>
      <c r="B108" s="4"/>
      <c r="C108" s="4"/>
      <c r="D108" s="26"/>
      <c r="E108" s="4"/>
      <c r="F108" s="4"/>
      <c r="G108" s="4"/>
      <c r="H108" s="4"/>
      <c r="I108" s="4"/>
      <c r="J108" s="4"/>
      <c r="K108" s="4"/>
      <c r="L108" s="4"/>
      <c r="M108" s="4"/>
      <c r="N108" s="4"/>
      <c r="O108" s="4"/>
      <c r="P108" s="4"/>
      <c r="Q108" s="4"/>
      <c r="R108" s="4"/>
      <c r="S108" s="4"/>
      <c r="T108" s="4"/>
      <c r="U108" s="4"/>
      <c r="V108" s="4"/>
      <c r="W108" s="4"/>
      <c r="X108" s="4"/>
      <c r="Y108" s="4"/>
      <c r="Z108" s="4"/>
      <c r="AA108" s="21"/>
    </row>
    <row r="109">
      <c r="A109" s="4"/>
      <c r="B109" s="4"/>
      <c r="C109" s="4"/>
      <c r="D109" s="26"/>
      <c r="E109" s="4"/>
      <c r="F109" s="4"/>
      <c r="G109" s="4"/>
      <c r="H109" s="4"/>
      <c r="I109" s="4"/>
      <c r="J109" s="4"/>
      <c r="K109" s="4"/>
      <c r="L109" s="4"/>
      <c r="M109" s="4"/>
      <c r="N109" s="4"/>
      <c r="O109" s="4"/>
      <c r="P109" s="4"/>
      <c r="Q109" s="4"/>
      <c r="R109" s="4"/>
      <c r="S109" s="4"/>
      <c r="T109" s="4"/>
      <c r="U109" s="4"/>
      <c r="V109" s="4"/>
      <c r="W109" s="4"/>
      <c r="X109" s="4"/>
      <c r="Y109" s="4"/>
      <c r="Z109" s="4"/>
      <c r="AA109" s="21"/>
    </row>
    <row r="110">
      <c r="A110" s="4"/>
      <c r="B110" s="4"/>
      <c r="C110" s="4"/>
      <c r="D110" s="26"/>
      <c r="E110" s="4"/>
      <c r="F110" s="4"/>
      <c r="G110" s="4"/>
      <c r="H110" s="4"/>
      <c r="I110" s="4"/>
      <c r="J110" s="4"/>
      <c r="K110" s="4"/>
      <c r="L110" s="4"/>
      <c r="M110" s="4"/>
      <c r="N110" s="4"/>
      <c r="O110" s="4"/>
      <c r="P110" s="4"/>
      <c r="Q110" s="4"/>
      <c r="R110" s="4"/>
      <c r="S110" s="4"/>
      <c r="T110" s="4"/>
      <c r="U110" s="4"/>
      <c r="V110" s="4"/>
      <c r="W110" s="4"/>
      <c r="X110" s="4"/>
      <c r="Y110" s="4"/>
      <c r="Z110" s="4"/>
      <c r="AA110" s="21"/>
    </row>
    <row r="111">
      <c r="A111" s="4"/>
      <c r="B111" s="4"/>
      <c r="C111" s="4"/>
      <c r="D111" s="26"/>
      <c r="E111" s="4"/>
      <c r="F111" s="4"/>
      <c r="G111" s="4"/>
      <c r="H111" s="4"/>
      <c r="I111" s="4"/>
      <c r="J111" s="4"/>
      <c r="K111" s="4"/>
      <c r="L111" s="4"/>
      <c r="M111" s="4"/>
      <c r="N111" s="4"/>
      <c r="O111" s="4"/>
      <c r="P111" s="4"/>
      <c r="Q111" s="4"/>
      <c r="R111" s="4"/>
      <c r="S111" s="4"/>
      <c r="T111" s="4"/>
      <c r="U111" s="4"/>
      <c r="V111" s="4"/>
      <c r="W111" s="4"/>
      <c r="X111" s="4"/>
      <c r="Y111" s="4"/>
      <c r="Z111" s="4"/>
      <c r="AA111" s="21"/>
    </row>
    <row r="112">
      <c r="A112" s="4"/>
      <c r="B112" s="4"/>
      <c r="C112" s="4"/>
      <c r="D112" s="26"/>
      <c r="E112" s="4"/>
      <c r="F112" s="4"/>
      <c r="G112" s="4"/>
      <c r="H112" s="4"/>
      <c r="I112" s="4"/>
      <c r="J112" s="4"/>
      <c r="K112" s="4"/>
      <c r="L112" s="4"/>
      <c r="M112" s="4"/>
      <c r="N112" s="4"/>
      <c r="O112" s="4"/>
      <c r="P112" s="4"/>
      <c r="Q112" s="4"/>
      <c r="R112" s="4"/>
      <c r="S112" s="4"/>
      <c r="T112" s="4"/>
      <c r="U112" s="4"/>
      <c r="V112" s="4"/>
      <c r="W112" s="4"/>
      <c r="X112" s="4"/>
      <c r="Y112" s="4"/>
      <c r="Z112" s="4"/>
      <c r="AA112" s="21"/>
    </row>
    <row r="113">
      <c r="A113" s="4"/>
      <c r="B113" s="4"/>
      <c r="C113" s="4"/>
      <c r="D113" s="26"/>
      <c r="E113" s="4"/>
      <c r="F113" s="4"/>
      <c r="G113" s="4"/>
      <c r="H113" s="4"/>
      <c r="I113" s="4"/>
      <c r="J113" s="4"/>
      <c r="K113" s="4"/>
      <c r="L113" s="4"/>
      <c r="M113" s="4"/>
      <c r="N113" s="4"/>
      <c r="O113" s="4"/>
      <c r="P113" s="4"/>
      <c r="Q113" s="4"/>
      <c r="R113" s="4"/>
      <c r="S113" s="4"/>
      <c r="T113" s="4"/>
      <c r="U113" s="4"/>
      <c r="V113" s="4"/>
      <c r="W113" s="4"/>
      <c r="X113" s="4"/>
      <c r="Y113" s="4"/>
      <c r="Z113" s="4"/>
      <c r="AA113" s="21"/>
    </row>
    <row r="114">
      <c r="A114" s="4"/>
      <c r="B114" s="4"/>
      <c r="C114" s="4"/>
      <c r="D114" s="26"/>
      <c r="E114" s="4"/>
      <c r="F114" s="4"/>
      <c r="G114" s="4"/>
      <c r="H114" s="4"/>
      <c r="I114" s="4"/>
      <c r="J114" s="4"/>
      <c r="K114" s="4"/>
      <c r="L114" s="4"/>
      <c r="M114" s="4"/>
      <c r="N114" s="4"/>
      <c r="O114" s="4"/>
      <c r="P114" s="4"/>
      <c r="Q114" s="4"/>
      <c r="R114" s="4"/>
      <c r="S114" s="4"/>
      <c r="T114" s="4"/>
      <c r="U114" s="4"/>
      <c r="V114" s="4"/>
      <c r="W114" s="4"/>
      <c r="X114" s="4"/>
      <c r="Y114" s="4"/>
      <c r="Z114" s="4"/>
      <c r="AA114" s="21"/>
    </row>
    <row r="115">
      <c r="A115" s="4"/>
      <c r="B115" s="4"/>
      <c r="C115" s="4"/>
      <c r="D115" s="26"/>
      <c r="E115" s="4"/>
      <c r="F115" s="4"/>
      <c r="G115" s="4"/>
      <c r="H115" s="4"/>
      <c r="I115" s="4"/>
      <c r="J115" s="4"/>
      <c r="K115" s="4"/>
      <c r="L115" s="4"/>
      <c r="M115" s="4"/>
      <c r="N115" s="4"/>
      <c r="O115" s="4"/>
      <c r="P115" s="4"/>
      <c r="Q115" s="4"/>
      <c r="R115" s="4"/>
      <c r="S115" s="4"/>
      <c r="T115" s="4"/>
      <c r="U115" s="4"/>
      <c r="V115" s="4"/>
      <c r="W115" s="4"/>
      <c r="X115" s="4"/>
      <c r="Y115" s="4"/>
      <c r="Z115" s="4"/>
      <c r="AA115" s="21"/>
    </row>
    <row r="116">
      <c r="A116" s="4"/>
      <c r="B116" s="4"/>
      <c r="C116" s="4"/>
      <c r="D116" s="26"/>
      <c r="E116" s="4"/>
      <c r="F116" s="4"/>
      <c r="G116" s="4"/>
      <c r="H116" s="4"/>
      <c r="I116" s="4"/>
      <c r="J116" s="4"/>
      <c r="K116" s="4"/>
      <c r="L116" s="4"/>
      <c r="M116" s="4"/>
      <c r="N116" s="4"/>
      <c r="O116" s="4"/>
      <c r="P116" s="4"/>
      <c r="Q116" s="4"/>
      <c r="R116" s="4"/>
      <c r="S116" s="4"/>
      <c r="T116" s="4"/>
      <c r="U116" s="4"/>
      <c r="V116" s="4"/>
      <c r="W116" s="4"/>
      <c r="X116" s="4"/>
      <c r="Y116" s="4"/>
      <c r="Z116" s="4"/>
      <c r="AA116" s="21"/>
    </row>
    <row r="117">
      <c r="A117" s="4"/>
      <c r="B117" s="4"/>
      <c r="C117" s="4"/>
      <c r="D117" s="26"/>
      <c r="E117" s="4"/>
      <c r="F117" s="4"/>
      <c r="G117" s="4"/>
      <c r="H117" s="4"/>
      <c r="I117" s="4"/>
      <c r="J117" s="4"/>
      <c r="K117" s="4"/>
      <c r="L117" s="4"/>
      <c r="M117" s="4"/>
      <c r="N117" s="4"/>
      <c r="O117" s="4"/>
      <c r="P117" s="4"/>
      <c r="Q117" s="4"/>
      <c r="R117" s="4"/>
      <c r="S117" s="4"/>
      <c r="T117" s="4"/>
      <c r="U117" s="4"/>
      <c r="V117" s="4"/>
      <c r="W117" s="4"/>
      <c r="X117" s="4"/>
      <c r="Y117" s="4"/>
      <c r="Z117" s="4"/>
      <c r="AA117" s="21"/>
    </row>
    <row r="118">
      <c r="A118" s="4"/>
      <c r="B118" s="4"/>
      <c r="C118" s="4"/>
      <c r="D118" s="26"/>
      <c r="E118" s="4"/>
      <c r="F118" s="4"/>
      <c r="G118" s="4"/>
      <c r="H118" s="4"/>
      <c r="I118" s="4"/>
      <c r="J118" s="4"/>
      <c r="K118" s="4"/>
      <c r="L118" s="4"/>
      <c r="M118" s="4"/>
      <c r="N118" s="4"/>
      <c r="O118" s="4"/>
      <c r="P118" s="4"/>
      <c r="Q118" s="4"/>
      <c r="R118" s="4"/>
      <c r="S118" s="4"/>
      <c r="T118" s="4"/>
      <c r="U118" s="4"/>
      <c r="V118" s="4"/>
      <c r="W118" s="4"/>
      <c r="X118" s="4"/>
      <c r="Y118" s="4"/>
      <c r="Z118" s="4"/>
      <c r="AA118" s="21"/>
    </row>
    <row r="119">
      <c r="A119" s="4"/>
      <c r="B119" s="4"/>
      <c r="C119" s="4"/>
      <c r="D119" s="26"/>
      <c r="E119" s="4"/>
      <c r="F119" s="4"/>
      <c r="G119" s="4"/>
      <c r="H119" s="4"/>
      <c r="I119" s="4"/>
      <c r="J119" s="4"/>
      <c r="K119" s="4"/>
      <c r="L119" s="4"/>
      <c r="M119" s="4"/>
      <c r="N119" s="4"/>
      <c r="O119" s="4"/>
      <c r="P119" s="4"/>
      <c r="Q119" s="4"/>
      <c r="R119" s="4"/>
      <c r="S119" s="4"/>
      <c r="T119" s="4"/>
      <c r="U119" s="4"/>
      <c r="V119" s="4"/>
      <c r="W119" s="4"/>
      <c r="X119" s="4"/>
      <c r="Y119" s="4"/>
      <c r="Z119" s="4"/>
      <c r="AA119" s="21"/>
    </row>
    <row r="120">
      <c r="A120" s="4"/>
      <c r="B120" s="4"/>
      <c r="C120" s="4"/>
      <c r="D120" s="26"/>
      <c r="E120" s="4"/>
      <c r="F120" s="4"/>
      <c r="G120" s="4"/>
      <c r="H120" s="4"/>
      <c r="I120" s="4"/>
      <c r="J120" s="4"/>
      <c r="K120" s="4"/>
      <c r="L120" s="4"/>
      <c r="M120" s="4"/>
      <c r="N120" s="4"/>
      <c r="O120" s="4"/>
      <c r="P120" s="4"/>
      <c r="Q120" s="4"/>
      <c r="R120" s="4"/>
      <c r="S120" s="4"/>
      <c r="T120" s="4"/>
      <c r="U120" s="4"/>
      <c r="V120" s="4"/>
      <c r="W120" s="4"/>
      <c r="X120" s="4"/>
      <c r="Y120" s="4"/>
      <c r="Z120" s="4"/>
      <c r="AA120" s="21"/>
    </row>
    <row r="121">
      <c r="A121" s="4"/>
      <c r="B121" s="4"/>
      <c r="C121" s="4"/>
      <c r="D121" s="26"/>
      <c r="E121" s="4"/>
      <c r="F121" s="4"/>
      <c r="G121" s="4"/>
      <c r="H121" s="4"/>
      <c r="I121" s="4"/>
      <c r="J121" s="4"/>
      <c r="K121" s="4"/>
      <c r="L121" s="4"/>
      <c r="M121" s="4"/>
      <c r="N121" s="4"/>
      <c r="O121" s="4"/>
      <c r="P121" s="4"/>
      <c r="Q121" s="4"/>
      <c r="R121" s="4"/>
      <c r="S121" s="4"/>
      <c r="T121" s="4"/>
      <c r="U121" s="4"/>
      <c r="V121" s="4"/>
      <c r="W121" s="4"/>
      <c r="X121" s="4"/>
      <c r="Y121" s="4"/>
      <c r="Z121" s="4"/>
      <c r="AA121" s="21"/>
    </row>
    <row r="122">
      <c r="A122" s="4"/>
      <c r="B122" s="4"/>
      <c r="C122" s="4"/>
      <c r="D122" s="26"/>
      <c r="E122" s="4"/>
      <c r="F122" s="4"/>
      <c r="G122" s="4"/>
      <c r="H122" s="4"/>
      <c r="I122" s="4"/>
      <c r="J122" s="4"/>
      <c r="K122" s="4"/>
      <c r="L122" s="4"/>
      <c r="M122" s="4"/>
      <c r="N122" s="4"/>
      <c r="O122" s="4"/>
      <c r="P122" s="4"/>
      <c r="Q122" s="4"/>
      <c r="R122" s="4"/>
      <c r="S122" s="4"/>
      <c r="T122" s="4"/>
      <c r="U122" s="4"/>
      <c r="V122" s="4"/>
      <c r="W122" s="4"/>
      <c r="X122" s="4"/>
      <c r="Y122" s="4"/>
      <c r="Z122" s="4"/>
      <c r="AA122" s="21"/>
    </row>
    <row r="123">
      <c r="A123" s="4"/>
      <c r="B123" s="4"/>
      <c r="C123" s="4"/>
      <c r="D123" s="26"/>
      <c r="E123" s="4"/>
      <c r="F123" s="4"/>
      <c r="G123" s="4"/>
      <c r="H123" s="4"/>
      <c r="I123" s="4"/>
      <c r="J123" s="4"/>
      <c r="K123" s="4"/>
      <c r="L123" s="4"/>
      <c r="M123" s="4"/>
      <c r="N123" s="4"/>
      <c r="O123" s="4"/>
      <c r="P123" s="4"/>
      <c r="Q123" s="4"/>
      <c r="R123" s="4"/>
      <c r="S123" s="4"/>
      <c r="T123" s="4"/>
      <c r="U123" s="4"/>
      <c r="V123" s="4"/>
      <c r="W123" s="4"/>
      <c r="X123" s="4"/>
      <c r="Y123" s="4"/>
      <c r="Z123" s="4"/>
      <c r="AA123" s="21"/>
    </row>
    <row r="124">
      <c r="A124" s="4"/>
      <c r="B124" s="4"/>
      <c r="C124" s="4"/>
      <c r="D124" s="26"/>
      <c r="E124" s="4"/>
      <c r="F124" s="4"/>
      <c r="G124" s="4"/>
      <c r="H124" s="4"/>
      <c r="I124" s="4"/>
      <c r="J124" s="4"/>
      <c r="K124" s="4"/>
      <c r="L124" s="4"/>
      <c r="M124" s="4"/>
      <c r="N124" s="4"/>
      <c r="O124" s="4"/>
      <c r="P124" s="4"/>
      <c r="Q124" s="4"/>
      <c r="R124" s="4"/>
      <c r="S124" s="4"/>
      <c r="T124" s="4"/>
      <c r="U124" s="4"/>
      <c r="V124" s="4"/>
      <c r="W124" s="4"/>
      <c r="X124" s="4"/>
      <c r="Y124" s="4"/>
      <c r="Z124" s="4"/>
      <c r="AA124" s="21"/>
    </row>
    <row r="125">
      <c r="A125" s="4"/>
      <c r="B125" s="4"/>
      <c r="C125" s="4"/>
      <c r="D125" s="26"/>
      <c r="E125" s="4"/>
      <c r="F125" s="4"/>
      <c r="G125" s="4"/>
      <c r="H125" s="4"/>
      <c r="I125" s="4"/>
      <c r="J125" s="4"/>
      <c r="K125" s="4"/>
      <c r="L125" s="4"/>
      <c r="M125" s="4"/>
      <c r="N125" s="4"/>
      <c r="O125" s="4"/>
      <c r="P125" s="4"/>
      <c r="Q125" s="4"/>
      <c r="R125" s="4"/>
      <c r="S125" s="4"/>
      <c r="T125" s="4"/>
      <c r="U125" s="4"/>
      <c r="V125" s="4"/>
      <c r="W125" s="4"/>
      <c r="X125" s="4"/>
      <c r="Y125" s="4"/>
      <c r="Z125" s="4"/>
      <c r="AA125" s="21"/>
    </row>
    <row r="126">
      <c r="A126" s="4"/>
      <c r="B126" s="4"/>
      <c r="C126" s="4"/>
      <c r="D126" s="26"/>
      <c r="E126" s="4"/>
      <c r="F126" s="4"/>
      <c r="G126" s="4"/>
      <c r="H126" s="4"/>
      <c r="I126" s="4"/>
      <c r="J126" s="4"/>
      <c r="K126" s="4"/>
      <c r="L126" s="4"/>
      <c r="M126" s="4"/>
      <c r="N126" s="4"/>
      <c r="O126" s="4"/>
      <c r="P126" s="4"/>
      <c r="Q126" s="4"/>
      <c r="R126" s="4"/>
      <c r="S126" s="4"/>
      <c r="T126" s="4"/>
      <c r="U126" s="4"/>
      <c r="V126" s="4"/>
      <c r="W126" s="4"/>
      <c r="X126" s="4"/>
      <c r="Y126" s="4"/>
      <c r="Z126" s="4"/>
      <c r="AA126" s="21"/>
    </row>
    <row r="127">
      <c r="A127" s="4"/>
      <c r="B127" s="4"/>
      <c r="C127" s="4"/>
      <c r="D127" s="26"/>
      <c r="E127" s="4"/>
      <c r="F127" s="4"/>
      <c r="G127" s="4"/>
      <c r="H127" s="4"/>
      <c r="I127" s="4"/>
      <c r="J127" s="4"/>
      <c r="K127" s="4"/>
      <c r="L127" s="4"/>
      <c r="M127" s="4"/>
      <c r="N127" s="4"/>
      <c r="O127" s="4"/>
      <c r="P127" s="4"/>
      <c r="Q127" s="4"/>
      <c r="R127" s="4"/>
      <c r="S127" s="4"/>
      <c r="T127" s="4"/>
      <c r="U127" s="4"/>
      <c r="V127" s="4"/>
      <c r="W127" s="4"/>
      <c r="X127" s="4"/>
      <c r="Y127" s="4"/>
      <c r="Z127" s="4"/>
      <c r="AA127" s="21"/>
    </row>
    <row r="128">
      <c r="A128" s="4"/>
      <c r="B128" s="4"/>
      <c r="C128" s="4"/>
      <c r="D128" s="26"/>
      <c r="E128" s="4"/>
      <c r="F128" s="4"/>
      <c r="G128" s="4"/>
      <c r="H128" s="4"/>
      <c r="I128" s="4"/>
      <c r="J128" s="4"/>
      <c r="K128" s="4"/>
      <c r="L128" s="4"/>
      <c r="M128" s="4"/>
      <c r="N128" s="4"/>
      <c r="O128" s="4"/>
      <c r="P128" s="4"/>
      <c r="Q128" s="4"/>
      <c r="R128" s="4"/>
      <c r="S128" s="4"/>
      <c r="T128" s="4"/>
      <c r="U128" s="4"/>
      <c r="V128" s="4"/>
      <c r="W128" s="4"/>
      <c r="X128" s="4"/>
      <c r="Y128" s="4"/>
      <c r="Z128" s="4"/>
      <c r="AA128" s="21"/>
    </row>
    <row r="129">
      <c r="A129" s="4"/>
      <c r="B129" s="4"/>
      <c r="C129" s="4"/>
      <c r="D129" s="26"/>
      <c r="E129" s="4"/>
      <c r="F129" s="4"/>
      <c r="G129" s="4"/>
      <c r="H129" s="4"/>
      <c r="I129" s="4"/>
      <c r="J129" s="4"/>
      <c r="K129" s="4"/>
      <c r="L129" s="4"/>
      <c r="M129" s="4"/>
      <c r="N129" s="4"/>
      <c r="O129" s="4"/>
      <c r="P129" s="4"/>
      <c r="Q129" s="4"/>
      <c r="R129" s="4"/>
      <c r="S129" s="4"/>
      <c r="T129" s="4"/>
      <c r="U129" s="4"/>
      <c r="V129" s="4"/>
      <c r="W129" s="4"/>
      <c r="X129" s="4"/>
      <c r="Y129" s="4"/>
      <c r="Z129" s="4"/>
      <c r="AA129" s="21"/>
    </row>
    <row r="130">
      <c r="A130" s="4"/>
      <c r="B130" s="4"/>
      <c r="C130" s="4"/>
      <c r="D130" s="26"/>
      <c r="E130" s="4"/>
      <c r="F130" s="4"/>
      <c r="G130" s="4"/>
      <c r="H130" s="4"/>
      <c r="I130" s="4"/>
      <c r="J130" s="4"/>
      <c r="K130" s="4"/>
      <c r="L130" s="4"/>
      <c r="M130" s="4"/>
      <c r="N130" s="4"/>
      <c r="O130" s="4"/>
      <c r="P130" s="4"/>
      <c r="Q130" s="4"/>
      <c r="R130" s="4"/>
      <c r="S130" s="4"/>
      <c r="T130" s="4"/>
      <c r="U130" s="4"/>
      <c r="V130" s="4"/>
      <c r="W130" s="4"/>
      <c r="X130" s="4"/>
      <c r="Y130" s="4"/>
      <c r="Z130" s="4"/>
      <c r="AA130" s="21"/>
    </row>
    <row r="131">
      <c r="A131" s="4"/>
      <c r="B131" s="4"/>
      <c r="C131" s="4"/>
      <c r="D131" s="26"/>
      <c r="E131" s="4"/>
      <c r="F131" s="4"/>
      <c r="G131" s="4"/>
      <c r="H131" s="4"/>
      <c r="I131" s="4"/>
      <c r="J131" s="4"/>
      <c r="K131" s="4"/>
      <c r="L131" s="4"/>
      <c r="M131" s="4"/>
      <c r="N131" s="4"/>
      <c r="O131" s="4"/>
      <c r="P131" s="4"/>
      <c r="Q131" s="4"/>
      <c r="R131" s="4"/>
      <c r="S131" s="4"/>
      <c r="T131" s="4"/>
      <c r="U131" s="4"/>
      <c r="V131" s="4"/>
      <c r="W131" s="4"/>
      <c r="X131" s="4"/>
      <c r="Y131" s="4"/>
      <c r="Z131" s="4"/>
      <c r="AA131" s="21"/>
    </row>
    <row r="132">
      <c r="A132" s="4"/>
      <c r="B132" s="4"/>
      <c r="C132" s="4"/>
      <c r="D132" s="26"/>
      <c r="E132" s="4"/>
      <c r="F132" s="4"/>
      <c r="G132" s="4"/>
      <c r="H132" s="4"/>
      <c r="I132" s="4"/>
      <c r="J132" s="4"/>
      <c r="K132" s="4"/>
      <c r="L132" s="4"/>
      <c r="M132" s="4"/>
      <c r="N132" s="4"/>
      <c r="O132" s="4"/>
      <c r="P132" s="4"/>
      <c r="Q132" s="4"/>
      <c r="R132" s="4"/>
      <c r="S132" s="4"/>
      <c r="T132" s="4"/>
      <c r="U132" s="4"/>
      <c r="V132" s="4"/>
      <c r="W132" s="4"/>
      <c r="X132" s="4"/>
      <c r="Y132" s="4"/>
      <c r="Z132" s="4"/>
      <c r="AA132" s="21"/>
    </row>
    <row r="133">
      <c r="A133" s="4"/>
      <c r="B133" s="4"/>
      <c r="C133" s="4"/>
      <c r="D133" s="26"/>
      <c r="E133" s="4"/>
      <c r="F133" s="4"/>
      <c r="G133" s="4"/>
      <c r="H133" s="4"/>
      <c r="I133" s="4"/>
      <c r="J133" s="4"/>
      <c r="K133" s="4"/>
      <c r="L133" s="4"/>
      <c r="M133" s="4"/>
      <c r="N133" s="4"/>
      <c r="O133" s="4"/>
      <c r="P133" s="4"/>
      <c r="Q133" s="4"/>
      <c r="R133" s="4"/>
      <c r="S133" s="4"/>
      <c r="T133" s="4"/>
      <c r="U133" s="4"/>
      <c r="V133" s="4"/>
      <c r="W133" s="4"/>
      <c r="X133" s="4"/>
      <c r="Y133" s="4"/>
      <c r="Z133" s="4"/>
      <c r="AA133" s="21"/>
    </row>
    <row r="134">
      <c r="A134" s="4"/>
      <c r="B134" s="4"/>
      <c r="C134" s="4"/>
      <c r="D134" s="26"/>
      <c r="E134" s="4"/>
      <c r="F134" s="4"/>
      <c r="G134" s="4"/>
      <c r="H134" s="4"/>
      <c r="I134" s="4"/>
      <c r="J134" s="4"/>
      <c r="K134" s="4"/>
      <c r="L134" s="4"/>
      <c r="M134" s="4"/>
      <c r="N134" s="4"/>
      <c r="O134" s="4"/>
      <c r="P134" s="4"/>
      <c r="Q134" s="4"/>
      <c r="R134" s="4"/>
      <c r="S134" s="4"/>
      <c r="T134" s="4"/>
      <c r="U134" s="4"/>
      <c r="V134" s="4"/>
      <c r="W134" s="4"/>
      <c r="X134" s="4"/>
      <c r="Y134" s="4"/>
      <c r="Z134" s="4"/>
      <c r="AA134" s="21"/>
    </row>
    <row r="135">
      <c r="A135" s="4"/>
      <c r="B135" s="4"/>
      <c r="C135" s="4"/>
      <c r="D135" s="26"/>
      <c r="E135" s="4"/>
      <c r="F135" s="4"/>
      <c r="G135" s="4"/>
      <c r="H135" s="4"/>
      <c r="I135" s="4"/>
      <c r="J135" s="4"/>
      <c r="K135" s="4"/>
      <c r="L135" s="4"/>
      <c r="M135" s="4"/>
      <c r="N135" s="4"/>
      <c r="O135" s="4"/>
      <c r="P135" s="4"/>
      <c r="Q135" s="4"/>
      <c r="R135" s="4"/>
      <c r="S135" s="4"/>
      <c r="T135" s="4"/>
      <c r="U135" s="4"/>
      <c r="V135" s="4"/>
      <c r="W135" s="4"/>
      <c r="X135" s="4"/>
      <c r="Y135" s="4"/>
      <c r="Z135" s="4"/>
      <c r="AA135" s="21"/>
    </row>
    <row r="136">
      <c r="A136" s="4"/>
      <c r="B136" s="4"/>
      <c r="C136" s="4"/>
      <c r="D136" s="26"/>
      <c r="E136" s="4"/>
      <c r="F136" s="4"/>
      <c r="G136" s="4"/>
      <c r="H136" s="4"/>
      <c r="I136" s="4"/>
      <c r="J136" s="4"/>
      <c r="K136" s="4"/>
      <c r="L136" s="4"/>
      <c r="M136" s="4"/>
      <c r="N136" s="4"/>
      <c r="O136" s="4"/>
      <c r="P136" s="4"/>
      <c r="Q136" s="4"/>
      <c r="R136" s="4"/>
      <c r="S136" s="4"/>
      <c r="T136" s="4"/>
      <c r="U136" s="4"/>
      <c r="V136" s="4"/>
      <c r="W136" s="4"/>
      <c r="X136" s="4"/>
      <c r="Y136" s="4"/>
      <c r="Z136" s="4"/>
      <c r="AA136" s="21"/>
    </row>
    <row r="137">
      <c r="A137" s="4"/>
      <c r="B137" s="4"/>
      <c r="C137" s="4"/>
      <c r="D137" s="26"/>
      <c r="E137" s="4"/>
      <c r="F137" s="4"/>
      <c r="G137" s="4"/>
      <c r="H137" s="4"/>
      <c r="I137" s="4"/>
      <c r="J137" s="4"/>
      <c r="K137" s="4"/>
      <c r="L137" s="4"/>
      <c r="M137" s="4"/>
      <c r="N137" s="4"/>
      <c r="O137" s="4"/>
      <c r="P137" s="4"/>
      <c r="Q137" s="4"/>
      <c r="R137" s="4"/>
      <c r="S137" s="4"/>
      <c r="T137" s="4"/>
      <c r="U137" s="4"/>
      <c r="V137" s="4"/>
      <c r="W137" s="4"/>
      <c r="X137" s="4"/>
      <c r="Y137" s="4"/>
      <c r="Z137" s="4"/>
      <c r="AA137" s="21"/>
    </row>
    <row r="138">
      <c r="A138" s="4"/>
      <c r="B138" s="4"/>
      <c r="C138" s="4"/>
      <c r="D138" s="26"/>
      <c r="E138" s="4"/>
      <c r="F138" s="4"/>
      <c r="G138" s="4"/>
      <c r="H138" s="4"/>
      <c r="I138" s="4"/>
      <c r="J138" s="4"/>
      <c r="K138" s="4"/>
      <c r="L138" s="4"/>
      <c r="M138" s="4"/>
      <c r="N138" s="4"/>
      <c r="O138" s="4"/>
      <c r="P138" s="4"/>
      <c r="Q138" s="4"/>
      <c r="R138" s="4"/>
      <c r="S138" s="4"/>
      <c r="T138" s="4"/>
      <c r="U138" s="4"/>
      <c r="V138" s="4"/>
      <c r="W138" s="4"/>
      <c r="X138" s="4"/>
      <c r="Y138" s="4"/>
      <c r="Z138" s="4"/>
      <c r="AA138" s="21"/>
    </row>
    <row r="139">
      <c r="A139" s="4"/>
      <c r="B139" s="4"/>
      <c r="C139" s="4"/>
      <c r="D139" s="26"/>
      <c r="E139" s="4"/>
      <c r="F139" s="4"/>
      <c r="G139" s="4"/>
      <c r="H139" s="4"/>
      <c r="I139" s="4"/>
      <c r="J139" s="4"/>
      <c r="K139" s="4"/>
      <c r="L139" s="4"/>
      <c r="M139" s="4"/>
      <c r="N139" s="4"/>
      <c r="O139" s="4"/>
      <c r="P139" s="4"/>
      <c r="Q139" s="4"/>
      <c r="R139" s="4"/>
      <c r="S139" s="4"/>
      <c r="T139" s="4"/>
      <c r="U139" s="4"/>
      <c r="V139" s="4"/>
      <c r="W139" s="4"/>
      <c r="X139" s="4"/>
      <c r="Y139" s="4"/>
      <c r="Z139" s="4"/>
      <c r="AA139" s="21"/>
    </row>
    <row r="140">
      <c r="A140" s="4"/>
      <c r="B140" s="4"/>
      <c r="C140" s="4"/>
      <c r="D140" s="26"/>
      <c r="E140" s="4"/>
      <c r="F140" s="4"/>
      <c r="G140" s="4"/>
      <c r="H140" s="4"/>
      <c r="I140" s="4"/>
      <c r="J140" s="4"/>
      <c r="K140" s="4"/>
      <c r="L140" s="4"/>
      <c r="M140" s="4"/>
      <c r="N140" s="4"/>
      <c r="O140" s="4"/>
      <c r="P140" s="4"/>
      <c r="Q140" s="4"/>
      <c r="R140" s="4"/>
      <c r="S140" s="4"/>
      <c r="T140" s="4"/>
      <c r="U140" s="4"/>
      <c r="V140" s="4"/>
      <c r="W140" s="4"/>
      <c r="X140" s="4"/>
      <c r="Y140" s="4"/>
      <c r="Z140" s="4"/>
      <c r="AA140" s="21"/>
    </row>
    <row r="141">
      <c r="A141" s="4"/>
      <c r="B141" s="4"/>
      <c r="C141" s="4"/>
      <c r="D141" s="26"/>
      <c r="E141" s="4"/>
      <c r="F141" s="4"/>
      <c r="G141" s="4"/>
      <c r="H141" s="4"/>
      <c r="I141" s="4"/>
      <c r="J141" s="4"/>
      <c r="K141" s="4"/>
      <c r="L141" s="4"/>
      <c r="M141" s="4"/>
      <c r="N141" s="4"/>
      <c r="O141" s="4"/>
      <c r="P141" s="4"/>
      <c r="Q141" s="4"/>
      <c r="R141" s="4"/>
      <c r="S141" s="4"/>
      <c r="T141" s="4"/>
      <c r="U141" s="4"/>
      <c r="V141" s="4"/>
      <c r="W141" s="4"/>
      <c r="X141" s="4"/>
      <c r="Y141" s="4"/>
      <c r="Z141" s="4"/>
      <c r="AA141" s="21"/>
    </row>
    <row r="142">
      <c r="A142" s="4"/>
      <c r="B142" s="4"/>
      <c r="C142" s="4"/>
      <c r="D142" s="26"/>
      <c r="E142" s="4"/>
      <c r="F142" s="4"/>
      <c r="G142" s="4"/>
      <c r="H142" s="4"/>
      <c r="I142" s="4"/>
      <c r="J142" s="4"/>
      <c r="K142" s="4"/>
      <c r="L142" s="4"/>
      <c r="M142" s="4"/>
      <c r="N142" s="4"/>
      <c r="O142" s="4"/>
      <c r="P142" s="4"/>
      <c r="Q142" s="4"/>
      <c r="R142" s="4"/>
      <c r="S142" s="4"/>
      <c r="T142" s="4"/>
      <c r="U142" s="4"/>
      <c r="V142" s="4"/>
      <c r="W142" s="4"/>
      <c r="X142" s="4"/>
      <c r="Y142" s="4"/>
      <c r="Z142" s="4"/>
      <c r="AA142" s="21"/>
    </row>
    <row r="143">
      <c r="A143" s="4"/>
      <c r="B143" s="4"/>
      <c r="C143" s="4"/>
      <c r="D143" s="26"/>
      <c r="E143" s="4"/>
      <c r="F143" s="4"/>
      <c r="G143" s="4"/>
      <c r="H143" s="4"/>
      <c r="I143" s="4"/>
      <c r="J143" s="4"/>
      <c r="K143" s="4"/>
      <c r="L143" s="4"/>
      <c r="M143" s="4"/>
      <c r="N143" s="4"/>
      <c r="O143" s="4"/>
      <c r="P143" s="4"/>
      <c r="Q143" s="4"/>
      <c r="R143" s="4"/>
      <c r="S143" s="4"/>
      <c r="T143" s="4"/>
      <c r="U143" s="4"/>
      <c r="V143" s="4"/>
      <c r="W143" s="4"/>
      <c r="X143" s="4"/>
      <c r="Y143" s="4"/>
      <c r="Z143" s="4"/>
      <c r="AA143" s="21"/>
    </row>
    <row r="144">
      <c r="A144" s="4"/>
      <c r="B144" s="4"/>
      <c r="C144" s="4"/>
      <c r="D144" s="26"/>
      <c r="E144" s="4"/>
      <c r="F144" s="4"/>
      <c r="G144" s="4"/>
      <c r="H144" s="4"/>
      <c r="I144" s="4"/>
      <c r="J144" s="4"/>
      <c r="K144" s="4"/>
      <c r="L144" s="4"/>
      <c r="M144" s="4"/>
      <c r="N144" s="4"/>
      <c r="O144" s="4"/>
      <c r="P144" s="4"/>
      <c r="Q144" s="4"/>
      <c r="R144" s="4"/>
      <c r="S144" s="4"/>
      <c r="T144" s="4"/>
      <c r="U144" s="4"/>
      <c r="V144" s="4"/>
      <c r="W144" s="4"/>
      <c r="X144" s="4"/>
      <c r="Y144" s="4"/>
      <c r="Z144" s="4"/>
      <c r="AA144" s="21"/>
    </row>
    <row r="145">
      <c r="A145" s="4"/>
      <c r="B145" s="4"/>
      <c r="C145" s="4"/>
      <c r="D145" s="26"/>
      <c r="E145" s="4"/>
      <c r="F145" s="4"/>
      <c r="G145" s="4"/>
      <c r="H145" s="4"/>
      <c r="I145" s="4"/>
      <c r="J145" s="4"/>
      <c r="K145" s="4"/>
      <c r="L145" s="4"/>
      <c r="M145" s="4"/>
      <c r="N145" s="4"/>
      <c r="O145" s="4"/>
      <c r="P145" s="4"/>
      <c r="Q145" s="4"/>
      <c r="R145" s="4"/>
      <c r="S145" s="4"/>
      <c r="T145" s="4"/>
      <c r="U145" s="4"/>
      <c r="V145" s="4"/>
      <c r="W145" s="4"/>
      <c r="X145" s="4"/>
      <c r="Y145" s="4"/>
      <c r="Z145" s="4"/>
      <c r="AA145" s="21"/>
    </row>
    <row r="146">
      <c r="A146" s="4"/>
      <c r="B146" s="4"/>
      <c r="C146" s="4"/>
      <c r="D146" s="26"/>
      <c r="E146" s="4"/>
      <c r="F146" s="4"/>
      <c r="G146" s="4"/>
      <c r="H146" s="4"/>
      <c r="I146" s="4"/>
      <c r="J146" s="4"/>
      <c r="K146" s="4"/>
      <c r="L146" s="4"/>
      <c r="M146" s="4"/>
      <c r="N146" s="4"/>
      <c r="O146" s="4"/>
      <c r="P146" s="4"/>
      <c r="Q146" s="4"/>
      <c r="R146" s="4"/>
      <c r="S146" s="4"/>
      <c r="T146" s="4"/>
      <c r="U146" s="4"/>
      <c r="V146" s="4"/>
      <c r="W146" s="4"/>
      <c r="X146" s="4"/>
      <c r="Y146" s="4"/>
      <c r="Z146" s="4"/>
      <c r="AA146" s="21"/>
    </row>
    <row r="147">
      <c r="A147" s="4"/>
      <c r="B147" s="4"/>
      <c r="C147" s="4"/>
      <c r="D147" s="26"/>
      <c r="E147" s="4"/>
      <c r="F147" s="4"/>
      <c r="G147" s="4"/>
      <c r="H147" s="4"/>
      <c r="I147" s="4"/>
      <c r="J147" s="4"/>
      <c r="K147" s="4"/>
      <c r="L147" s="4"/>
      <c r="M147" s="4"/>
      <c r="N147" s="4"/>
      <c r="O147" s="4"/>
      <c r="P147" s="4"/>
      <c r="Q147" s="4"/>
      <c r="R147" s="4"/>
      <c r="S147" s="4"/>
      <c r="T147" s="4"/>
      <c r="U147" s="4"/>
      <c r="V147" s="4"/>
      <c r="W147" s="4"/>
      <c r="X147" s="4"/>
      <c r="Y147" s="4"/>
      <c r="Z147" s="4"/>
      <c r="AA147" s="21"/>
    </row>
    <row r="148">
      <c r="A148" s="4"/>
      <c r="B148" s="4"/>
      <c r="C148" s="4"/>
      <c r="D148" s="26"/>
      <c r="E148" s="4"/>
      <c r="F148" s="4"/>
      <c r="G148" s="4"/>
      <c r="H148" s="4"/>
      <c r="I148" s="4"/>
      <c r="J148" s="4"/>
      <c r="K148" s="4"/>
      <c r="L148" s="4"/>
      <c r="M148" s="4"/>
      <c r="N148" s="4"/>
      <c r="O148" s="4"/>
      <c r="P148" s="4"/>
      <c r="Q148" s="4"/>
      <c r="R148" s="4"/>
      <c r="S148" s="4"/>
      <c r="T148" s="4"/>
      <c r="U148" s="4"/>
      <c r="V148" s="4"/>
      <c r="W148" s="4"/>
      <c r="X148" s="4"/>
      <c r="Y148" s="4"/>
      <c r="Z148" s="4"/>
      <c r="AA148" s="21"/>
    </row>
    <row r="149">
      <c r="A149" s="4"/>
      <c r="B149" s="4"/>
      <c r="C149" s="4"/>
      <c r="D149" s="26"/>
      <c r="E149" s="4"/>
      <c r="F149" s="4"/>
      <c r="G149" s="4"/>
      <c r="H149" s="4"/>
      <c r="I149" s="4"/>
      <c r="J149" s="4"/>
      <c r="K149" s="4"/>
      <c r="L149" s="4"/>
      <c r="M149" s="4"/>
      <c r="N149" s="4"/>
      <c r="O149" s="4"/>
      <c r="P149" s="4"/>
      <c r="Q149" s="4"/>
      <c r="R149" s="4"/>
      <c r="S149" s="4"/>
      <c r="T149" s="4"/>
      <c r="U149" s="4"/>
      <c r="V149" s="4"/>
      <c r="W149" s="4"/>
      <c r="X149" s="4"/>
      <c r="Y149" s="4"/>
      <c r="Z149" s="4"/>
      <c r="AA149" s="21"/>
    </row>
    <row r="150">
      <c r="A150" s="4"/>
      <c r="B150" s="4"/>
      <c r="C150" s="4"/>
      <c r="D150" s="26"/>
      <c r="E150" s="4"/>
      <c r="F150" s="4"/>
      <c r="G150" s="4"/>
      <c r="H150" s="4"/>
      <c r="I150" s="4"/>
      <c r="J150" s="4"/>
      <c r="K150" s="4"/>
      <c r="L150" s="4"/>
      <c r="M150" s="4"/>
      <c r="N150" s="4"/>
      <c r="O150" s="4"/>
      <c r="P150" s="4"/>
      <c r="Q150" s="4"/>
      <c r="R150" s="4"/>
      <c r="S150" s="4"/>
      <c r="T150" s="4"/>
      <c r="U150" s="4"/>
      <c r="V150" s="4"/>
      <c r="W150" s="4"/>
      <c r="X150" s="4"/>
      <c r="Y150" s="4"/>
      <c r="Z150" s="4"/>
      <c r="AA150" s="21"/>
    </row>
    <row r="151">
      <c r="A151" s="4"/>
      <c r="B151" s="4"/>
      <c r="C151" s="4"/>
      <c r="D151" s="26"/>
      <c r="E151" s="4"/>
      <c r="F151" s="4"/>
      <c r="G151" s="4"/>
      <c r="H151" s="4"/>
      <c r="I151" s="4"/>
      <c r="J151" s="4"/>
      <c r="K151" s="4"/>
      <c r="L151" s="4"/>
      <c r="M151" s="4"/>
      <c r="N151" s="4"/>
      <c r="O151" s="4"/>
      <c r="P151" s="4"/>
      <c r="Q151" s="4"/>
      <c r="R151" s="4"/>
      <c r="S151" s="4"/>
      <c r="T151" s="4"/>
      <c r="U151" s="4"/>
      <c r="V151" s="4"/>
      <c r="W151" s="4"/>
      <c r="X151" s="4"/>
      <c r="Y151" s="4"/>
      <c r="Z151" s="4"/>
      <c r="AA151" s="21"/>
    </row>
    <row r="152">
      <c r="A152" s="4"/>
      <c r="B152" s="4"/>
      <c r="C152" s="4"/>
      <c r="D152" s="26"/>
      <c r="E152" s="4"/>
      <c r="F152" s="4"/>
      <c r="G152" s="4"/>
      <c r="H152" s="4"/>
      <c r="I152" s="4"/>
      <c r="J152" s="4"/>
      <c r="K152" s="4"/>
      <c r="L152" s="4"/>
      <c r="M152" s="4"/>
      <c r="N152" s="4"/>
      <c r="O152" s="4"/>
      <c r="P152" s="4"/>
      <c r="Q152" s="4"/>
      <c r="R152" s="4"/>
      <c r="S152" s="4"/>
      <c r="T152" s="4"/>
      <c r="U152" s="4"/>
      <c r="V152" s="4"/>
      <c r="W152" s="4"/>
      <c r="X152" s="4"/>
      <c r="Y152" s="4"/>
      <c r="Z152" s="4"/>
      <c r="AA152" s="21"/>
    </row>
    <row r="153">
      <c r="A153" s="4"/>
      <c r="B153" s="4"/>
      <c r="C153" s="4"/>
      <c r="D153" s="26"/>
      <c r="E153" s="4"/>
      <c r="F153" s="4"/>
      <c r="G153" s="4"/>
      <c r="H153" s="4"/>
      <c r="I153" s="4"/>
      <c r="J153" s="4"/>
      <c r="K153" s="4"/>
      <c r="L153" s="4"/>
      <c r="M153" s="4"/>
      <c r="N153" s="4"/>
      <c r="O153" s="4"/>
      <c r="P153" s="4"/>
      <c r="Q153" s="4"/>
      <c r="R153" s="4"/>
      <c r="S153" s="4"/>
      <c r="T153" s="4"/>
      <c r="U153" s="4"/>
      <c r="V153" s="4"/>
      <c r="W153" s="4"/>
      <c r="X153" s="4"/>
      <c r="Y153" s="4"/>
      <c r="Z153" s="4"/>
      <c r="AA153" s="21"/>
    </row>
    <row r="154">
      <c r="A154" s="4"/>
      <c r="B154" s="4"/>
      <c r="C154" s="4"/>
      <c r="D154" s="26"/>
      <c r="E154" s="4"/>
      <c r="F154" s="4"/>
      <c r="G154" s="4"/>
      <c r="H154" s="4"/>
      <c r="I154" s="4"/>
      <c r="J154" s="4"/>
      <c r="K154" s="4"/>
      <c r="L154" s="4"/>
      <c r="M154" s="4"/>
      <c r="N154" s="4"/>
      <c r="O154" s="4"/>
      <c r="P154" s="4"/>
      <c r="Q154" s="4"/>
      <c r="R154" s="4"/>
      <c r="S154" s="4"/>
      <c r="T154" s="4"/>
      <c r="U154" s="4"/>
      <c r="V154" s="4"/>
      <c r="W154" s="4"/>
      <c r="X154" s="4"/>
      <c r="Y154" s="4"/>
      <c r="Z154" s="4"/>
      <c r="AA154" s="21"/>
    </row>
    <row r="155">
      <c r="A155" s="4"/>
      <c r="B155" s="4"/>
      <c r="C155" s="4"/>
      <c r="D155" s="26"/>
      <c r="E155" s="4"/>
      <c r="F155" s="4"/>
      <c r="G155" s="4"/>
      <c r="H155" s="4"/>
      <c r="I155" s="4"/>
      <c r="J155" s="4"/>
      <c r="K155" s="4"/>
      <c r="L155" s="4"/>
      <c r="M155" s="4"/>
      <c r="N155" s="4"/>
      <c r="O155" s="4"/>
      <c r="P155" s="4"/>
      <c r="Q155" s="4"/>
      <c r="R155" s="4"/>
      <c r="S155" s="4"/>
      <c r="T155" s="4"/>
      <c r="U155" s="4"/>
      <c r="V155" s="4"/>
      <c r="W155" s="4"/>
      <c r="X155" s="4"/>
      <c r="Y155" s="4"/>
      <c r="Z155" s="4"/>
      <c r="AA155" s="21"/>
    </row>
    <row r="156">
      <c r="A156" s="4"/>
      <c r="B156" s="4"/>
      <c r="C156" s="4"/>
      <c r="D156" s="26"/>
      <c r="E156" s="4"/>
      <c r="F156" s="4"/>
      <c r="G156" s="4"/>
      <c r="H156" s="4"/>
      <c r="I156" s="4"/>
      <c r="J156" s="4"/>
      <c r="K156" s="4"/>
      <c r="L156" s="4"/>
      <c r="M156" s="4"/>
      <c r="N156" s="4"/>
      <c r="O156" s="4"/>
      <c r="P156" s="4"/>
      <c r="Q156" s="4"/>
      <c r="R156" s="4"/>
      <c r="S156" s="4"/>
      <c r="T156" s="4"/>
      <c r="U156" s="4"/>
      <c r="V156" s="4"/>
      <c r="W156" s="4"/>
      <c r="X156" s="4"/>
      <c r="Y156" s="4"/>
      <c r="Z156" s="4"/>
      <c r="AA156" s="21"/>
    </row>
    <row r="157">
      <c r="A157" s="4"/>
      <c r="B157" s="4"/>
      <c r="C157" s="4"/>
      <c r="D157" s="26"/>
      <c r="E157" s="4"/>
      <c r="F157" s="4"/>
      <c r="G157" s="4"/>
      <c r="H157" s="4"/>
      <c r="I157" s="4"/>
      <c r="J157" s="4"/>
      <c r="K157" s="4"/>
      <c r="L157" s="4"/>
      <c r="M157" s="4"/>
      <c r="N157" s="4"/>
      <c r="O157" s="4"/>
      <c r="P157" s="4"/>
      <c r="Q157" s="4"/>
      <c r="R157" s="4"/>
      <c r="S157" s="4"/>
      <c r="T157" s="4"/>
      <c r="U157" s="4"/>
      <c r="V157" s="4"/>
      <c r="W157" s="4"/>
      <c r="X157" s="4"/>
      <c r="Y157" s="4"/>
      <c r="Z157" s="4"/>
      <c r="AA157" s="21"/>
    </row>
    <row r="158">
      <c r="A158" s="4"/>
      <c r="B158" s="4"/>
      <c r="C158" s="4"/>
      <c r="D158" s="26"/>
      <c r="E158" s="4"/>
      <c r="F158" s="4"/>
      <c r="G158" s="4"/>
      <c r="H158" s="4"/>
      <c r="I158" s="4"/>
      <c r="J158" s="4"/>
      <c r="K158" s="4"/>
      <c r="L158" s="4"/>
      <c r="M158" s="4"/>
      <c r="N158" s="4"/>
      <c r="O158" s="4"/>
      <c r="P158" s="4"/>
      <c r="Q158" s="4"/>
      <c r="R158" s="4"/>
      <c r="S158" s="4"/>
      <c r="T158" s="4"/>
      <c r="U158" s="4"/>
      <c r="V158" s="4"/>
      <c r="W158" s="4"/>
      <c r="X158" s="4"/>
      <c r="Y158" s="4"/>
      <c r="Z158" s="4"/>
      <c r="AA158" s="21"/>
    </row>
    <row r="159">
      <c r="A159" s="4"/>
      <c r="B159" s="4"/>
      <c r="C159" s="4"/>
      <c r="D159" s="26"/>
      <c r="E159" s="4"/>
      <c r="F159" s="4"/>
      <c r="G159" s="4"/>
      <c r="H159" s="4"/>
      <c r="I159" s="4"/>
      <c r="J159" s="4"/>
      <c r="K159" s="4"/>
      <c r="L159" s="4"/>
      <c r="M159" s="4"/>
      <c r="N159" s="4"/>
      <c r="O159" s="4"/>
      <c r="P159" s="4"/>
      <c r="Q159" s="4"/>
      <c r="R159" s="4"/>
      <c r="S159" s="4"/>
      <c r="T159" s="4"/>
      <c r="U159" s="4"/>
      <c r="V159" s="4"/>
      <c r="W159" s="4"/>
      <c r="X159" s="4"/>
      <c r="Y159" s="4"/>
      <c r="Z159" s="4"/>
      <c r="AA159" s="21"/>
    </row>
    <row r="160">
      <c r="A160" s="4"/>
      <c r="B160" s="4"/>
      <c r="C160" s="4"/>
      <c r="D160" s="26"/>
      <c r="E160" s="4"/>
      <c r="F160" s="4"/>
      <c r="G160" s="4"/>
      <c r="H160" s="4"/>
      <c r="I160" s="4"/>
      <c r="J160" s="4"/>
      <c r="K160" s="4"/>
      <c r="L160" s="4"/>
      <c r="M160" s="4"/>
      <c r="N160" s="4"/>
      <c r="O160" s="4"/>
      <c r="P160" s="4"/>
      <c r="Q160" s="4"/>
      <c r="R160" s="4"/>
      <c r="S160" s="4"/>
      <c r="T160" s="4"/>
      <c r="U160" s="4"/>
      <c r="V160" s="4"/>
      <c r="W160" s="4"/>
      <c r="X160" s="4"/>
      <c r="Y160" s="4"/>
      <c r="Z160" s="4"/>
      <c r="AA160" s="21"/>
    </row>
    <row r="161">
      <c r="A161" s="4"/>
      <c r="B161" s="4"/>
      <c r="C161" s="4"/>
      <c r="D161" s="26"/>
      <c r="E161" s="4"/>
      <c r="F161" s="4"/>
      <c r="G161" s="4"/>
      <c r="H161" s="4"/>
      <c r="I161" s="4"/>
      <c r="J161" s="4"/>
      <c r="K161" s="4"/>
      <c r="L161" s="4"/>
      <c r="M161" s="4"/>
      <c r="N161" s="4"/>
      <c r="O161" s="4"/>
      <c r="P161" s="4"/>
      <c r="Q161" s="4"/>
      <c r="R161" s="4"/>
      <c r="S161" s="4"/>
      <c r="T161" s="4"/>
      <c r="U161" s="4"/>
      <c r="V161" s="4"/>
      <c r="W161" s="4"/>
      <c r="X161" s="4"/>
      <c r="Y161" s="4"/>
      <c r="Z161" s="4"/>
      <c r="AA161" s="21"/>
    </row>
    <row r="162">
      <c r="A162" s="4"/>
      <c r="B162" s="4"/>
      <c r="C162" s="4"/>
      <c r="D162" s="26"/>
      <c r="E162" s="4"/>
      <c r="F162" s="4"/>
      <c r="G162" s="4"/>
      <c r="H162" s="4"/>
      <c r="I162" s="4"/>
      <c r="J162" s="4"/>
      <c r="K162" s="4"/>
      <c r="L162" s="4"/>
      <c r="M162" s="4"/>
      <c r="N162" s="4"/>
      <c r="O162" s="4"/>
      <c r="P162" s="4"/>
      <c r="Q162" s="4"/>
      <c r="R162" s="4"/>
      <c r="S162" s="4"/>
      <c r="T162" s="4"/>
      <c r="U162" s="4"/>
      <c r="V162" s="4"/>
      <c r="W162" s="4"/>
      <c r="X162" s="4"/>
      <c r="Y162" s="4"/>
      <c r="Z162" s="4"/>
      <c r="AA162" s="21"/>
    </row>
    <row r="163">
      <c r="A163" s="4"/>
      <c r="B163" s="4"/>
      <c r="C163" s="4"/>
      <c r="D163" s="26"/>
      <c r="E163" s="4"/>
      <c r="F163" s="4"/>
      <c r="G163" s="4"/>
      <c r="H163" s="4"/>
      <c r="I163" s="4"/>
      <c r="J163" s="4"/>
      <c r="K163" s="4"/>
      <c r="L163" s="4"/>
      <c r="M163" s="4"/>
      <c r="N163" s="4"/>
      <c r="O163" s="4"/>
      <c r="P163" s="4"/>
      <c r="Q163" s="4"/>
      <c r="R163" s="4"/>
      <c r="S163" s="4"/>
      <c r="T163" s="4"/>
      <c r="U163" s="4"/>
      <c r="V163" s="4"/>
      <c r="W163" s="4"/>
      <c r="X163" s="4"/>
      <c r="Y163" s="4"/>
      <c r="Z163" s="4"/>
      <c r="AA163" s="21"/>
    </row>
    <row r="164">
      <c r="A164" s="4"/>
      <c r="B164" s="4"/>
      <c r="C164" s="4"/>
      <c r="D164" s="26"/>
      <c r="E164" s="4"/>
      <c r="F164" s="4"/>
      <c r="G164" s="4"/>
      <c r="H164" s="4"/>
      <c r="I164" s="4"/>
      <c r="J164" s="4"/>
      <c r="K164" s="4"/>
      <c r="L164" s="4"/>
      <c r="M164" s="4"/>
      <c r="N164" s="4"/>
      <c r="O164" s="4"/>
      <c r="P164" s="4"/>
      <c r="Q164" s="4"/>
      <c r="R164" s="4"/>
      <c r="S164" s="4"/>
      <c r="T164" s="4"/>
      <c r="U164" s="4"/>
      <c r="V164" s="4"/>
      <c r="W164" s="4"/>
      <c r="X164" s="4"/>
      <c r="Y164" s="4"/>
      <c r="Z164" s="4"/>
      <c r="AA164" s="21"/>
    </row>
    <row r="165">
      <c r="A165" s="4"/>
      <c r="B165" s="4"/>
      <c r="C165" s="4"/>
      <c r="D165" s="26"/>
      <c r="E165" s="4"/>
      <c r="F165" s="4"/>
      <c r="G165" s="4"/>
      <c r="H165" s="4"/>
      <c r="I165" s="4"/>
      <c r="J165" s="4"/>
      <c r="K165" s="4"/>
      <c r="L165" s="4"/>
      <c r="M165" s="4"/>
      <c r="N165" s="4"/>
      <c r="O165" s="4"/>
      <c r="P165" s="4"/>
      <c r="Q165" s="4"/>
      <c r="R165" s="4"/>
      <c r="S165" s="4"/>
      <c r="T165" s="4"/>
      <c r="U165" s="4"/>
      <c r="V165" s="4"/>
      <c r="W165" s="4"/>
      <c r="X165" s="4"/>
      <c r="Y165" s="4"/>
      <c r="Z165" s="4"/>
      <c r="AA165" s="21"/>
    </row>
    <row r="166">
      <c r="A166" s="4"/>
      <c r="B166" s="4"/>
      <c r="C166" s="4"/>
      <c r="D166" s="26"/>
      <c r="E166" s="4"/>
      <c r="F166" s="4"/>
      <c r="G166" s="4"/>
      <c r="H166" s="4"/>
      <c r="I166" s="4"/>
      <c r="J166" s="4"/>
      <c r="K166" s="4"/>
      <c r="L166" s="4"/>
      <c r="M166" s="4"/>
      <c r="N166" s="4"/>
      <c r="O166" s="4"/>
      <c r="P166" s="4"/>
      <c r="Q166" s="4"/>
      <c r="R166" s="4"/>
      <c r="S166" s="4"/>
      <c r="T166" s="4"/>
      <c r="U166" s="4"/>
      <c r="V166" s="4"/>
      <c r="W166" s="4"/>
      <c r="X166" s="4"/>
      <c r="Y166" s="4"/>
      <c r="Z166" s="4"/>
      <c r="AA166" s="21"/>
    </row>
    <row r="167">
      <c r="A167" s="4"/>
      <c r="B167" s="4"/>
      <c r="C167" s="4"/>
      <c r="D167" s="26"/>
      <c r="E167" s="4"/>
      <c r="F167" s="4"/>
      <c r="G167" s="4"/>
      <c r="H167" s="4"/>
      <c r="I167" s="4"/>
      <c r="J167" s="4"/>
      <c r="K167" s="4"/>
      <c r="L167" s="4"/>
      <c r="M167" s="4"/>
      <c r="N167" s="4"/>
      <c r="O167" s="4"/>
      <c r="P167" s="4"/>
      <c r="Q167" s="4"/>
      <c r="R167" s="4"/>
      <c r="S167" s="4"/>
      <c r="T167" s="4"/>
      <c r="U167" s="4"/>
      <c r="V167" s="4"/>
      <c r="W167" s="4"/>
      <c r="X167" s="4"/>
      <c r="Y167" s="4"/>
      <c r="Z167" s="4"/>
      <c r="AA167" s="21"/>
    </row>
    <row r="168">
      <c r="A168" s="4"/>
      <c r="B168" s="4"/>
      <c r="C168" s="4"/>
      <c r="D168" s="26"/>
      <c r="E168" s="4"/>
      <c r="F168" s="4"/>
      <c r="G168" s="4"/>
      <c r="H168" s="4"/>
      <c r="I168" s="4"/>
      <c r="J168" s="4"/>
      <c r="K168" s="4"/>
      <c r="L168" s="4"/>
      <c r="M168" s="4"/>
      <c r="N168" s="4"/>
      <c r="O168" s="4"/>
      <c r="P168" s="4"/>
      <c r="Q168" s="4"/>
      <c r="R168" s="4"/>
      <c r="S168" s="4"/>
      <c r="T168" s="4"/>
      <c r="U168" s="4"/>
      <c r="V168" s="4"/>
      <c r="W168" s="4"/>
      <c r="X168" s="4"/>
      <c r="Y168" s="4"/>
      <c r="Z168" s="4"/>
      <c r="AA168" s="21"/>
    </row>
    <row r="169">
      <c r="A169" s="4"/>
      <c r="B169" s="4"/>
      <c r="C169" s="4"/>
      <c r="D169" s="26"/>
      <c r="E169" s="4"/>
      <c r="F169" s="4"/>
      <c r="G169" s="4"/>
      <c r="H169" s="4"/>
      <c r="I169" s="4"/>
      <c r="J169" s="4"/>
      <c r="K169" s="4"/>
      <c r="L169" s="4"/>
      <c r="M169" s="4"/>
      <c r="N169" s="4"/>
      <c r="O169" s="4"/>
      <c r="P169" s="4"/>
      <c r="Q169" s="4"/>
      <c r="R169" s="4"/>
      <c r="S169" s="4"/>
      <c r="T169" s="4"/>
      <c r="U169" s="4"/>
      <c r="V169" s="4"/>
      <c r="W169" s="4"/>
      <c r="X169" s="4"/>
      <c r="Y169" s="4"/>
      <c r="Z169" s="4"/>
      <c r="AA169" s="21"/>
    </row>
    <row r="170">
      <c r="A170" s="4"/>
      <c r="B170" s="4"/>
      <c r="C170" s="4"/>
      <c r="D170" s="26"/>
      <c r="E170" s="4"/>
      <c r="F170" s="4"/>
      <c r="G170" s="4"/>
      <c r="H170" s="4"/>
      <c r="I170" s="4"/>
      <c r="J170" s="4"/>
      <c r="K170" s="4"/>
      <c r="L170" s="4"/>
      <c r="M170" s="4"/>
      <c r="N170" s="4"/>
      <c r="O170" s="4"/>
      <c r="P170" s="4"/>
      <c r="Q170" s="4"/>
      <c r="R170" s="4"/>
      <c r="S170" s="4"/>
      <c r="T170" s="4"/>
      <c r="U170" s="4"/>
      <c r="V170" s="4"/>
      <c r="W170" s="4"/>
      <c r="X170" s="4"/>
      <c r="Y170" s="4"/>
      <c r="Z170" s="4"/>
      <c r="AA170" s="21"/>
    </row>
    <row r="171">
      <c r="A171" s="4"/>
      <c r="B171" s="4"/>
      <c r="C171" s="4"/>
      <c r="D171" s="26"/>
      <c r="E171" s="4"/>
      <c r="F171" s="4"/>
      <c r="G171" s="4"/>
      <c r="H171" s="4"/>
      <c r="I171" s="4"/>
      <c r="J171" s="4"/>
      <c r="K171" s="4"/>
      <c r="L171" s="4"/>
      <c r="M171" s="4"/>
      <c r="N171" s="4"/>
      <c r="O171" s="4"/>
      <c r="P171" s="4"/>
      <c r="Q171" s="4"/>
      <c r="R171" s="4"/>
      <c r="S171" s="4"/>
      <c r="T171" s="4"/>
      <c r="U171" s="4"/>
      <c r="V171" s="4"/>
      <c r="W171" s="4"/>
      <c r="X171" s="4"/>
      <c r="Y171" s="4"/>
      <c r="Z171" s="4"/>
      <c r="AA171" s="21"/>
    </row>
    <row r="172">
      <c r="A172" s="4"/>
      <c r="B172" s="4"/>
      <c r="C172" s="4"/>
      <c r="D172" s="26"/>
      <c r="E172" s="4"/>
      <c r="F172" s="4"/>
      <c r="G172" s="4"/>
      <c r="H172" s="4"/>
      <c r="I172" s="4"/>
      <c r="J172" s="4"/>
      <c r="K172" s="4"/>
      <c r="L172" s="4"/>
      <c r="M172" s="4"/>
      <c r="N172" s="4"/>
      <c r="O172" s="4"/>
      <c r="P172" s="4"/>
      <c r="Q172" s="4"/>
      <c r="R172" s="4"/>
      <c r="S172" s="4"/>
      <c r="T172" s="4"/>
      <c r="U172" s="4"/>
      <c r="V172" s="4"/>
      <c r="W172" s="4"/>
      <c r="X172" s="4"/>
      <c r="Y172" s="4"/>
      <c r="Z172" s="4"/>
      <c r="AA172" s="21"/>
    </row>
    <row r="173">
      <c r="A173" s="4"/>
      <c r="B173" s="4"/>
      <c r="C173" s="4"/>
      <c r="D173" s="26"/>
      <c r="E173" s="4"/>
      <c r="F173" s="4"/>
      <c r="G173" s="4"/>
      <c r="H173" s="4"/>
      <c r="I173" s="4"/>
      <c r="J173" s="4"/>
      <c r="K173" s="4"/>
      <c r="L173" s="4"/>
      <c r="M173" s="4"/>
      <c r="N173" s="4"/>
      <c r="O173" s="4"/>
      <c r="P173" s="4"/>
      <c r="Q173" s="4"/>
      <c r="R173" s="4"/>
      <c r="S173" s="4"/>
      <c r="T173" s="4"/>
      <c r="U173" s="4"/>
      <c r="V173" s="4"/>
      <c r="W173" s="4"/>
      <c r="X173" s="4"/>
      <c r="Y173" s="4"/>
      <c r="Z173" s="4"/>
      <c r="AA173" s="21"/>
    </row>
    <row r="174">
      <c r="A174" s="4"/>
      <c r="B174" s="4"/>
      <c r="C174" s="4"/>
      <c r="D174" s="26"/>
      <c r="E174" s="4"/>
      <c r="F174" s="4"/>
      <c r="G174" s="4"/>
      <c r="H174" s="4"/>
      <c r="I174" s="4"/>
      <c r="J174" s="4"/>
      <c r="K174" s="4"/>
      <c r="L174" s="4"/>
      <c r="M174" s="4"/>
      <c r="N174" s="4"/>
      <c r="O174" s="4"/>
      <c r="P174" s="4"/>
      <c r="Q174" s="4"/>
      <c r="R174" s="4"/>
      <c r="S174" s="4"/>
      <c r="T174" s="4"/>
      <c r="U174" s="4"/>
      <c r="V174" s="4"/>
      <c r="W174" s="4"/>
      <c r="X174" s="4"/>
      <c r="Y174" s="4"/>
      <c r="Z174" s="4"/>
      <c r="AA174" s="21"/>
    </row>
    <row r="175">
      <c r="A175" s="4"/>
      <c r="B175" s="4"/>
      <c r="C175" s="4"/>
      <c r="D175" s="26"/>
      <c r="E175" s="4"/>
      <c r="F175" s="4"/>
      <c r="G175" s="4"/>
      <c r="H175" s="4"/>
      <c r="I175" s="4"/>
      <c r="J175" s="4"/>
      <c r="K175" s="4"/>
      <c r="L175" s="4"/>
      <c r="M175" s="4"/>
      <c r="N175" s="4"/>
      <c r="O175" s="4"/>
      <c r="P175" s="4"/>
      <c r="Q175" s="4"/>
      <c r="R175" s="4"/>
      <c r="S175" s="4"/>
      <c r="T175" s="4"/>
      <c r="U175" s="4"/>
      <c r="V175" s="4"/>
      <c r="W175" s="4"/>
      <c r="X175" s="4"/>
      <c r="Y175" s="4"/>
      <c r="Z175" s="4"/>
      <c r="AA175" s="21"/>
    </row>
    <row r="176">
      <c r="A176" s="4"/>
      <c r="B176" s="4"/>
      <c r="C176" s="4"/>
      <c r="D176" s="26"/>
      <c r="E176" s="4"/>
      <c r="F176" s="4"/>
      <c r="G176" s="4"/>
      <c r="H176" s="4"/>
      <c r="I176" s="4"/>
      <c r="J176" s="4"/>
      <c r="K176" s="4"/>
      <c r="L176" s="4"/>
      <c r="M176" s="4"/>
      <c r="N176" s="4"/>
      <c r="O176" s="4"/>
      <c r="P176" s="4"/>
      <c r="Q176" s="4"/>
      <c r="R176" s="4"/>
      <c r="S176" s="4"/>
      <c r="T176" s="4"/>
      <c r="U176" s="4"/>
      <c r="V176" s="4"/>
      <c r="W176" s="4"/>
      <c r="X176" s="4"/>
      <c r="Y176" s="4"/>
      <c r="Z176" s="4"/>
      <c r="AA176" s="21"/>
    </row>
    <row r="177">
      <c r="A177" s="4"/>
      <c r="B177" s="4"/>
      <c r="C177" s="4"/>
      <c r="D177" s="26"/>
      <c r="E177" s="4"/>
      <c r="F177" s="4"/>
      <c r="G177" s="4"/>
      <c r="H177" s="4"/>
      <c r="I177" s="4"/>
      <c r="J177" s="4"/>
      <c r="K177" s="4"/>
      <c r="L177" s="4"/>
      <c r="M177" s="4"/>
      <c r="N177" s="4"/>
      <c r="O177" s="4"/>
      <c r="P177" s="4"/>
      <c r="Q177" s="4"/>
      <c r="R177" s="4"/>
      <c r="S177" s="4"/>
      <c r="T177" s="4"/>
      <c r="U177" s="4"/>
      <c r="V177" s="4"/>
      <c r="W177" s="4"/>
      <c r="X177" s="4"/>
      <c r="Y177" s="4"/>
      <c r="Z177" s="4"/>
      <c r="AA177" s="21"/>
    </row>
    <row r="178">
      <c r="A178" s="4"/>
      <c r="B178" s="4"/>
      <c r="C178" s="4"/>
      <c r="D178" s="26"/>
      <c r="E178" s="4"/>
      <c r="F178" s="4"/>
      <c r="G178" s="4"/>
      <c r="H178" s="4"/>
      <c r="I178" s="4"/>
      <c r="J178" s="4"/>
      <c r="K178" s="4"/>
      <c r="L178" s="4"/>
      <c r="M178" s="4"/>
      <c r="N178" s="4"/>
      <c r="O178" s="4"/>
      <c r="P178" s="4"/>
      <c r="Q178" s="4"/>
      <c r="R178" s="4"/>
      <c r="S178" s="4"/>
      <c r="T178" s="4"/>
      <c r="U178" s="4"/>
      <c r="V178" s="4"/>
      <c r="W178" s="4"/>
      <c r="X178" s="4"/>
      <c r="Y178" s="4"/>
      <c r="Z178" s="4"/>
      <c r="AA178" s="21"/>
    </row>
    <row r="179">
      <c r="A179" s="4"/>
      <c r="B179" s="4"/>
      <c r="C179" s="4"/>
      <c r="D179" s="26"/>
      <c r="E179" s="4"/>
      <c r="F179" s="4"/>
      <c r="G179" s="4"/>
      <c r="H179" s="4"/>
      <c r="I179" s="4"/>
      <c r="J179" s="4"/>
      <c r="K179" s="4"/>
      <c r="L179" s="4"/>
      <c r="M179" s="4"/>
      <c r="N179" s="4"/>
      <c r="O179" s="4"/>
      <c r="P179" s="4"/>
      <c r="Q179" s="4"/>
      <c r="R179" s="4"/>
      <c r="S179" s="4"/>
      <c r="T179" s="4"/>
      <c r="U179" s="4"/>
      <c r="V179" s="4"/>
      <c r="W179" s="4"/>
      <c r="X179" s="4"/>
      <c r="Y179" s="4"/>
      <c r="Z179" s="4"/>
      <c r="AA179" s="21"/>
    </row>
    <row r="180">
      <c r="A180" s="4"/>
      <c r="B180" s="4"/>
      <c r="C180" s="4"/>
      <c r="D180" s="26"/>
      <c r="E180" s="4"/>
      <c r="F180" s="4"/>
      <c r="G180" s="4"/>
      <c r="H180" s="4"/>
      <c r="I180" s="4"/>
      <c r="J180" s="4"/>
      <c r="K180" s="4"/>
      <c r="L180" s="4"/>
      <c r="M180" s="4"/>
      <c r="N180" s="4"/>
      <c r="O180" s="4"/>
      <c r="P180" s="4"/>
      <c r="Q180" s="4"/>
      <c r="R180" s="4"/>
      <c r="S180" s="4"/>
      <c r="T180" s="4"/>
      <c r="U180" s="4"/>
      <c r="V180" s="4"/>
      <c r="W180" s="4"/>
      <c r="X180" s="4"/>
      <c r="Y180" s="4"/>
      <c r="Z180" s="4"/>
      <c r="AA180" s="21"/>
    </row>
    <row r="181">
      <c r="A181" s="4"/>
      <c r="B181" s="4"/>
      <c r="C181" s="4"/>
      <c r="D181" s="26"/>
      <c r="E181" s="4"/>
      <c r="F181" s="4"/>
      <c r="G181" s="4"/>
      <c r="H181" s="4"/>
      <c r="I181" s="4"/>
      <c r="J181" s="4"/>
      <c r="K181" s="4"/>
      <c r="L181" s="4"/>
      <c r="M181" s="4"/>
      <c r="N181" s="4"/>
      <c r="O181" s="4"/>
      <c r="P181" s="4"/>
      <c r="Q181" s="4"/>
      <c r="R181" s="4"/>
      <c r="S181" s="4"/>
      <c r="T181" s="4"/>
      <c r="U181" s="4"/>
      <c r="V181" s="4"/>
      <c r="W181" s="4"/>
      <c r="X181" s="4"/>
      <c r="Y181" s="4"/>
      <c r="Z181" s="4"/>
      <c r="AA181" s="21"/>
    </row>
    <row r="182">
      <c r="A182" s="4"/>
      <c r="B182" s="4"/>
      <c r="C182" s="4"/>
      <c r="D182" s="26"/>
      <c r="E182" s="4"/>
      <c r="F182" s="4"/>
      <c r="G182" s="4"/>
      <c r="H182" s="4"/>
      <c r="I182" s="4"/>
      <c r="J182" s="4"/>
      <c r="K182" s="4"/>
      <c r="L182" s="4"/>
      <c r="M182" s="4"/>
      <c r="N182" s="4"/>
      <c r="O182" s="4"/>
      <c r="P182" s="4"/>
      <c r="Q182" s="4"/>
      <c r="R182" s="4"/>
      <c r="S182" s="4"/>
      <c r="T182" s="4"/>
      <c r="U182" s="4"/>
      <c r="V182" s="4"/>
      <c r="W182" s="4"/>
      <c r="X182" s="4"/>
      <c r="Y182" s="4"/>
      <c r="Z182" s="4"/>
      <c r="AA182" s="21"/>
    </row>
    <row r="183">
      <c r="A183" s="4"/>
      <c r="B183" s="4"/>
      <c r="C183" s="4"/>
      <c r="D183" s="26"/>
      <c r="E183" s="4"/>
      <c r="F183" s="4"/>
      <c r="G183" s="4"/>
      <c r="H183" s="4"/>
      <c r="I183" s="4"/>
      <c r="J183" s="4"/>
      <c r="K183" s="4"/>
      <c r="L183" s="4"/>
      <c r="M183" s="4"/>
      <c r="N183" s="4"/>
      <c r="O183" s="4"/>
      <c r="P183" s="4"/>
      <c r="Q183" s="4"/>
      <c r="R183" s="4"/>
      <c r="S183" s="4"/>
      <c r="T183" s="4"/>
      <c r="U183" s="4"/>
      <c r="V183" s="4"/>
      <c r="W183" s="4"/>
      <c r="X183" s="4"/>
      <c r="Y183" s="4"/>
      <c r="Z183" s="4"/>
      <c r="AA183" s="21"/>
    </row>
    <row r="184">
      <c r="A184" s="4"/>
      <c r="B184" s="4"/>
      <c r="C184" s="4"/>
      <c r="D184" s="26"/>
      <c r="E184" s="4"/>
      <c r="F184" s="4"/>
      <c r="G184" s="4"/>
      <c r="H184" s="4"/>
      <c r="I184" s="4"/>
      <c r="J184" s="4"/>
      <c r="K184" s="4"/>
      <c r="L184" s="4"/>
      <c r="M184" s="4"/>
      <c r="N184" s="4"/>
      <c r="O184" s="4"/>
      <c r="P184" s="4"/>
      <c r="Q184" s="4"/>
      <c r="R184" s="4"/>
      <c r="S184" s="4"/>
      <c r="T184" s="4"/>
      <c r="U184" s="4"/>
      <c r="V184" s="4"/>
      <c r="W184" s="4"/>
      <c r="X184" s="4"/>
      <c r="Y184" s="4"/>
      <c r="Z184" s="4"/>
      <c r="AA184" s="21"/>
    </row>
    <row r="185">
      <c r="A185" s="4"/>
      <c r="B185" s="4"/>
      <c r="C185" s="4"/>
      <c r="D185" s="26"/>
      <c r="E185" s="4"/>
      <c r="F185" s="4"/>
      <c r="G185" s="4"/>
      <c r="H185" s="4"/>
      <c r="I185" s="4"/>
      <c r="J185" s="4"/>
      <c r="K185" s="4"/>
      <c r="L185" s="4"/>
      <c r="M185" s="4"/>
      <c r="N185" s="4"/>
      <c r="O185" s="4"/>
      <c r="P185" s="4"/>
      <c r="Q185" s="4"/>
      <c r="R185" s="4"/>
      <c r="S185" s="4"/>
      <c r="T185" s="4"/>
      <c r="U185" s="4"/>
      <c r="V185" s="4"/>
      <c r="W185" s="4"/>
      <c r="X185" s="4"/>
      <c r="Y185" s="4"/>
      <c r="Z185" s="4"/>
      <c r="AA185" s="21"/>
    </row>
    <row r="186">
      <c r="A186" s="4"/>
      <c r="B186" s="4"/>
      <c r="C186" s="4"/>
      <c r="D186" s="26"/>
      <c r="E186" s="4"/>
      <c r="F186" s="4"/>
      <c r="G186" s="4"/>
      <c r="H186" s="4"/>
      <c r="I186" s="4"/>
      <c r="J186" s="4"/>
      <c r="K186" s="4"/>
      <c r="L186" s="4"/>
      <c r="M186" s="4"/>
      <c r="N186" s="4"/>
      <c r="O186" s="4"/>
      <c r="P186" s="4"/>
      <c r="Q186" s="4"/>
      <c r="R186" s="4"/>
      <c r="S186" s="4"/>
      <c r="T186" s="4"/>
      <c r="U186" s="4"/>
      <c r="V186" s="4"/>
      <c r="W186" s="4"/>
      <c r="X186" s="4"/>
      <c r="Y186" s="4"/>
      <c r="Z186" s="4"/>
      <c r="AA186" s="21"/>
    </row>
    <row r="187">
      <c r="A187" s="4"/>
      <c r="B187" s="4"/>
      <c r="C187" s="4"/>
      <c r="D187" s="26"/>
      <c r="E187" s="4"/>
      <c r="F187" s="4"/>
      <c r="G187" s="4"/>
      <c r="H187" s="4"/>
      <c r="I187" s="4"/>
      <c r="J187" s="4"/>
      <c r="K187" s="4"/>
      <c r="L187" s="4"/>
      <c r="M187" s="4"/>
      <c r="N187" s="4"/>
      <c r="O187" s="4"/>
      <c r="P187" s="4"/>
      <c r="Q187" s="4"/>
      <c r="R187" s="4"/>
      <c r="S187" s="4"/>
      <c r="T187" s="4"/>
      <c r="U187" s="4"/>
      <c r="V187" s="4"/>
      <c r="W187" s="4"/>
      <c r="X187" s="4"/>
      <c r="Y187" s="4"/>
      <c r="Z187" s="4"/>
      <c r="AA187" s="21"/>
    </row>
    <row r="188">
      <c r="A188" s="4"/>
      <c r="B188" s="4"/>
      <c r="C188" s="4"/>
      <c r="D188" s="26"/>
      <c r="E188" s="4"/>
      <c r="F188" s="4"/>
      <c r="G188" s="4"/>
      <c r="H188" s="4"/>
      <c r="I188" s="4"/>
      <c r="J188" s="4"/>
      <c r="K188" s="4"/>
      <c r="L188" s="4"/>
      <c r="M188" s="4"/>
      <c r="N188" s="4"/>
      <c r="O188" s="4"/>
      <c r="P188" s="4"/>
      <c r="Q188" s="4"/>
      <c r="R188" s="4"/>
      <c r="S188" s="4"/>
      <c r="T188" s="4"/>
      <c r="U188" s="4"/>
      <c r="V188" s="4"/>
      <c r="W188" s="4"/>
      <c r="X188" s="4"/>
      <c r="Y188" s="4"/>
      <c r="Z188" s="4"/>
      <c r="AA188" s="21"/>
    </row>
    <row r="189">
      <c r="A189" s="4"/>
      <c r="B189" s="4"/>
      <c r="C189" s="4"/>
      <c r="D189" s="26"/>
      <c r="E189" s="4"/>
      <c r="F189" s="4"/>
      <c r="G189" s="4"/>
      <c r="H189" s="4"/>
      <c r="I189" s="4"/>
      <c r="J189" s="4"/>
      <c r="K189" s="4"/>
      <c r="L189" s="4"/>
      <c r="M189" s="4"/>
      <c r="N189" s="4"/>
      <c r="O189" s="4"/>
      <c r="P189" s="4"/>
      <c r="Q189" s="4"/>
      <c r="R189" s="4"/>
      <c r="S189" s="4"/>
      <c r="T189" s="4"/>
      <c r="U189" s="4"/>
      <c r="V189" s="4"/>
      <c r="W189" s="4"/>
      <c r="X189" s="4"/>
      <c r="Y189" s="4"/>
      <c r="Z189" s="4"/>
      <c r="AA189" s="21"/>
    </row>
    <row r="190">
      <c r="A190" s="4"/>
      <c r="B190" s="4"/>
      <c r="C190" s="4"/>
      <c r="D190" s="26"/>
      <c r="E190" s="4"/>
      <c r="F190" s="4"/>
      <c r="G190" s="4"/>
      <c r="H190" s="4"/>
      <c r="I190" s="4"/>
      <c r="J190" s="4"/>
      <c r="K190" s="4"/>
      <c r="L190" s="4"/>
      <c r="M190" s="4"/>
      <c r="N190" s="4"/>
      <c r="O190" s="4"/>
      <c r="P190" s="4"/>
      <c r="Q190" s="4"/>
      <c r="R190" s="4"/>
      <c r="S190" s="4"/>
      <c r="T190" s="4"/>
      <c r="U190" s="4"/>
      <c r="V190" s="4"/>
      <c r="W190" s="4"/>
      <c r="X190" s="4"/>
      <c r="Y190" s="4"/>
      <c r="Z190" s="4"/>
      <c r="AA190" s="21"/>
    </row>
    <row r="191">
      <c r="A191" s="4"/>
      <c r="B191" s="4"/>
      <c r="C191" s="4"/>
      <c r="D191" s="26"/>
      <c r="E191" s="4"/>
      <c r="F191" s="4"/>
      <c r="G191" s="4"/>
      <c r="H191" s="4"/>
      <c r="I191" s="4"/>
      <c r="J191" s="4"/>
      <c r="K191" s="4"/>
      <c r="L191" s="4"/>
      <c r="M191" s="4"/>
      <c r="N191" s="4"/>
      <c r="O191" s="4"/>
      <c r="P191" s="4"/>
      <c r="Q191" s="4"/>
      <c r="R191" s="4"/>
      <c r="S191" s="4"/>
      <c r="T191" s="4"/>
      <c r="U191" s="4"/>
      <c r="V191" s="4"/>
      <c r="W191" s="4"/>
      <c r="X191" s="4"/>
      <c r="Y191" s="4"/>
      <c r="Z191" s="4"/>
      <c r="AA191" s="21"/>
    </row>
    <row r="192">
      <c r="A192" s="4"/>
      <c r="B192" s="4"/>
      <c r="C192" s="4"/>
      <c r="D192" s="26"/>
      <c r="E192" s="4"/>
      <c r="F192" s="4"/>
      <c r="G192" s="4"/>
      <c r="H192" s="4"/>
      <c r="I192" s="4"/>
      <c r="J192" s="4"/>
      <c r="K192" s="4"/>
      <c r="L192" s="4"/>
      <c r="M192" s="4"/>
      <c r="N192" s="4"/>
      <c r="O192" s="4"/>
      <c r="P192" s="4"/>
      <c r="Q192" s="4"/>
      <c r="R192" s="4"/>
      <c r="S192" s="4"/>
      <c r="T192" s="4"/>
      <c r="U192" s="4"/>
      <c r="V192" s="4"/>
      <c r="W192" s="4"/>
      <c r="X192" s="4"/>
      <c r="Y192" s="4"/>
      <c r="Z192" s="4"/>
      <c r="AA192" s="21"/>
    </row>
    <row r="193">
      <c r="A193" s="4"/>
      <c r="B193" s="4"/>
      <c r="C193" s="4"/>
      <c r="D193" s="26"/>
      <c r="E193" s="4"/>
      <c r="F193" s="4"/>
      <c r="G193" s="4"/>
      <c r="H193" s="4"/>
      <c r="I193" s="4"/>
      <c r="J193" s="4"/>
      <c r="K193" s="4"/>
      <c r="L193" s="4"/>
      <c r="M193" s="4"/>
      <c r="N193" s="4"/>
      <c r="O193" s="4"/>
      <c r="P193" s="4"/>
      <c r="Q193" s="4"/>
      <c r="R193" s="4"/>
      <c r="S193" s="4"/>
      <c r="T193" s="4"/>
      <c r="U193" s="4"/>
      <c r="V193" s="4"/>
      <c r="W193" s="4"/>
      <c r="X193" s="4"/>
      <c r="Y193" s="4"/>
      <c r="Z193" s="4"/>
      <c r="AA193" s="21"/>
    </row>
    <row r="194">
      <c r="A194" s="4"/>
      <c r="B194" s="4"/>
      <c r="C194" s="4"/>
      <c r="D194" s="26"/>
      <c r="E194" s="4"/>
      <c r="F194" s="4"/>
      <c r="G194" s="4"/>
      <c r="H194" s="4"/>
      <c r="I194" s="4"/>
      <c r="J194" s="4"/>
      <c r="K194" s="4"/>
      <c r="L194" s="4"/>
      <c r="M194" s="4"/>
      <c r="N194" s="4"/>
      <c r="O194" s="4"/>
      <c r="P194" s="4"/>
      <c r="Q194" s="4"/>
      <c r="R194" s="4"/>
      <c r="S194" s="4"/>
      <c r="T194" s="4"/>
      <c r="U194" s="4"/>
      <c r="V194" s="4"/>
      <c r="W194" s="4"/>
      <c r="X194" s="4"/>
      <c r="Y194" s="4"/>
      <c r="Z194" s="4"/>
      <c r="AA194" s="21"/>
    </row>
    <row r="195">
      <c r="A195" s="4"/>
      <c r="B195" s="4"/>
      <c r="C195" s="4"/>
      <c r="D195" s="26"/>
      <c r="E195" s="4"/>
      <c r="F195" s="4"/>
      <c r="G195" s="4"/>
      <c r="H195" s="4"/>
      <c r="I195" s="4"/>
      <c r="J195" s="4"/>
      <c r="K195" s="4"/>
      <c r="L195" s="4"/>
      <c r="M195" s="4"/>
      <c r="N195" s="4"/>
      <c r="O195" s="4"/>
      <c r="P195" s="4"/>
      <c r="Q195" s="4"/>
      <c r="R195" s="4"/>
      <c r="S195" s="4"/>
      <c r="T195" s="4"/>
      <c r="U195" s="4"/>
      <c r="V195" s="4"/>
      <c r="W195" s="4"/>
      <c r="X195" s="4"/>
      <c r="Y195" s="4"/>
      <c r="Z195" s="4"/>
      <c r="AA195" s="21"/>
    </row>
    <row r="196">
      <c r="A196" s="4"/>
      <c r="B196" s="4"/>
      <c r="C196" s="4"/>
      <c r="D196" s="26"/>
      <c r="E196" s="4"/>
      <c r="F196" s="4"/>
      <c r="G196" s="4"/>
      <c r="H196" s="4"/>
      <c r="I196" s="4"/>
      <c r="J196" s="4"/>
      <c r="K196" s="4"/>
      <c r="L196" s="4"/>
      <c r="M196" s="4"/>
      <c r="N196" s="4"/>
      <c r="O196" s="4"/>
      <c r="P196" s="4"/>
      <c r="Q196" s="4"/>
      <c r="R196" s="4"/>
      <c r="S196" s="4"/>
      <c r="T196" s="4"/>
      <c r="U196" s="4"/>
      <c r="V196" s="4"/>
      <c r="W196" s="4"/>
      <c r="X196" s="4"/>
      <c r="Y196" s="4"/>
      <c r="Z196" s="4"/>
      <c r="AA196" s="21"/>
    </row>
    <row r="197">
      <c r="A197" s="4"/>
      <c r="B197" s="4"/>
      <c r="C197" s="4"/>
      <c r="D197" s="26"/>
      <c r="E197" s="4"/>
      <c r="F197" s="4"/>
      <c r="G197" s="4"/>
      <c r="H197" s="4"/>
      <c r="I197" s="4"/>
      <c r="J197" s="4"/>
      <c r="K197" s="4"/>
      <c r="L197" s="4"/>
      <c r="M197" s="4"/>
      <c r="N197" s="4"/>
      <c r="O197" s="4"/>
      <c r="P197" s="4"/>
      <c r="Q197" s="4"/>
      <c r="R197" s="4"/>
      <c r="S197" s="4"/>
      <c r="T197" s="4"/>
      <c r="U197" s="4"/>
      <c r="V197" s="4"/>
      <c r="W197" s="4"/>
      <c r="X197" s="4"/>
      <c r="Y197" s="4"/>
      <c r="Z197" s="4"/>
      <c r="AA197" s="21"/>
    </row>
    <row r="198">
      <c r="A198" s="4"/>
      <c r="B198" s="4"/>
      <c r="C198" s="4"/>
      <c r="D198" s="26"/>
      <c r="E198" s="4"/>
      <c r="F198" s="4"/>
      <c r="G198" s="4"/>
      <c r="H198" s="4"/>
      <c r="I198" s="4"/>
      <c r="J198" s="4"/>
      <c r="K198" s="4"/>
      <c r="L198" s="4"/>
      <c r="M198" s="4"/>
      <c r="N198" s="4"/>
      <c r="O198" s="4"/>
      <c r="P198" s="4"/>
      <c r="Q198" s="4"/>
      <c r="R198" s="4"/>
      <c r="S198" s="4"/>
      <c r="T198" s="4"/>
      <c r="U198" s="4"/>
      <c r="V198" s="4"/>
      <c r="W198" s="4"/>
      <c r="X198" s="4"/>
      <c r="Y198" s="4"/>
      <c r="Z198" s="4"/>
      <c r="AA198" s="21"/>
    </row>
    <row r="199">
      <c r="A199" s="4"/>
      <c r="B199" s="4"/>
      <c r="C199" s="4"/>
      <c r="D199" s="26"/>
      <c r="E199" s="4"/>
      <c r="F199" s="4"/>
      <c r="G199" s="4"/>
      <c r="H199" s="4"/>
      <c r="I199" s="4"/>
      <c r="J199" s="4"/>
      <c r="K199" s="4"/>
      <c r="L199" s="4"/>
      <c r="M199" s="4"/>
      <c r="N199" s="4"/>
      <c r="O199" s="4"/>
      <c r="P199" s="4"/>
      <c r="Q199" s="4"/>
      <c r="R199" s="4"/>
      <c r="S199" s="4"/>
      <c r="T199" s="4"/>
      <c r="U199" s="4"/>
      <c r="V199" s="4"/>
      <c r="W199" s="4"/>
      <c r="X199" s="4"/>
      <c r="Y199" s="4"/>
      <c r="Z199" s="4"/>
      <c r="AA199" s="21"/>
    </row>
    <row r="200">
      <c r="A200" s="4"/>
      <c r="B200" s="4"/>
      <c r="C200" s="4"/>
      <c r="D200" s="26"/>
      <c r="E200" s="4"/>
      <c r="F200" s="4"/>
      <c r="G200" s="4"/>
      <c r="H200" s="4"/>
      <c r="I200" s="4"/>
      <c r="J200" s="4"/>
      <c r="K200" s="4"/>
      <c r="L200" s="4"/>
      <c r="M200" s="4"/>
      <c r="N200" s="4"/>
      <c r="O200" s="4"/>
      <c r="P200" s="4"/>
      <c r="Q200" s="4"/>
      <c r="R200" s="4"/>
      <c r="S200" s="4"/>
      <c r="T200" s="4"/>
      <c r="U200" s="4"/>
      <c r="V200" s="4"/>
      <c r="W200" s="4"/>
      <c r="X200" s="4"/>
      <c r="Y200" s="4"/>
      <c r="Z200" s="4"/>
      <c r="AA200" s="21"/>
    </row>
    <row r="201">
      <c r="A201" s="4"/>
      <c r="B201" s="4"/>
      <c r="C201" s="4"/>
      <c r="D201" s="26"/>
      <c r="E201" s="4"/>
      <c r="F201" s="4"/>
      <c r="G201" s="4"/>
      <c r="H201" s="4"/>
      <c r="I201" s="4"/>
      <c r="J201" s="4"/>
      <c r="K201" s="4"/>
      <c r="L201" s="4"/>
      <c r="M201" s="4"/>
      <c r="N201" s="4"/>
      <c r="O201" s="4"/>
      <c r="P201" s="4"/>
      <c r="Q201" s="4"/>
      <c r="R201" s="4"/>
      <c r="S201" s="4"/>
      <c r="T201" s="4"/>
      <c r="U201" s="4"/>
      <c r="V201" s="4"/>
      <c r="W201" s="4"/>
      <c r="X201" s="4"/>
      <c r="Y201" s="4"/>
      <c r="Z201" s="4"/>
      <c r="AA201" s="21"/>
    </row>
    <row r="202">
      <c r="A202" s="4"/>
      <c r="B202" s="4"/>
      <c r="C202" s="4"/>
      <c r="D202" s="26"/>
      <c r="E202" s="4"/>
      <c r="F202" s="4"/>
      <c r="G202" s="4"/>
      <c r="H202" s="4"/>
      <c r="I202" s="4"/>
      <c r="J202" s="4"/>
      <c r="K202" s="4"/>
      <c r="L202" s="4"/>
      <c r="M202" s="4"/>
      <c r="N202" s="4"/>
      <c r="O202" s="4"/>
      <c r="P202" s="4"/>
      <c r="Q202" s="4"/>
      <c r="R202" s="4"/>
      <c r="S202" s="4"/>
      <c r="T202" s="4"/>
      <c r="U202" s="4"/>
      <c r="V202" s="4"/>
      <c r="W202" s="4"/>
      <c r="X202" s="4"/>
      <c r="Y202" s="4"/>
      <c r="Z202" s="4"/>
      <c r="AA202" s="21"/>
    </row>
    <row r="203">
      <c r="A203" s="4"/>
      <c r="B203" s="4"/>
      <c r="C203" s="4"/>
      <c r="D203" s="26"/>
      <c r="E203" s="4"/>
      <c r="F203" s="4"/>
      <c r="G203" s="4"/>
      <c r="H203" s="4"/>
      <c r="I203" s="4"/>
      <c r="J203" s="4"/>
      <c r="K203" s="4"/>
      <c r="L203" s="4"/>
      <c r="M203" s="4"/>
      <c r="N203" s="4"/>
      <c r="O203" s="4"/>
      <c r="P203" s="4"/>
      <c r="Q203" s="4"/>
      <c r="R203" s="4"/>
      <c r="S203" s="4"/>
      <c r="T203" s="4"/>
      <c r="U203" s="4"/>
      <c r="V203" s="4"/>
      <c r="W203" s="4"/>
      <c r="X203" s="4"/>
      <c r="Y203" s="4"/>
      <c r="Z203" s="4"/>
      <c r="AA203" s="21"/>
    </row>
    <row r="204">
      <c r="A204" s="4"/>
      <c r="B204" s="4"/>
      <c r="C204" s="4"/>
      <c r="D204" s="26"/>
      <c r="E204" s="4"/>
      <c r="F204" s="4"/>
      <c r="G204" s="4"/>
      <c r="H204" s="4"/>
      <c r="I204" s="4"/>
      <c r="J204" s="4"/>
      <c r="K204" s="4"/>
      <c r="L204" s="4"/>
      <c r="M204" s="4"/>
      <c r="N204" s="4"/>
      <c r="O204" s="4"/>
      <c r="P204" s="4"/>
      <c r="Q204" s="4"/>
      <c r="R204" s="4"/>
      <c r="S204" s="4"/>
      <c r="T204" s="4"/>
      <c r="U204" s="4"/>
      <c r="V204" s="4"/>
      <c r="W204" s="4"/>
      <c r="X204" s="4"/>
      <c r="Y204" s="4"/>
      <c r="Z204" s="4"/>
      <c r="AA204" s="21"/>
    </row>
    <row r="205">
      <c r="A205" s="4"/>
      <c r="B205" s="4"/>
      <c r="C205" s="4"/>
      <c r="D205" s="26"/>
      <c r="E205" s="4"/>
      <c r="F205" s="4"/>
      <c r="G205" s="4"/>
      <c r="H205" s="4"/>
      <c r="I205" s="4"/>
      <c r="J205" s="4"/>
      <c r="K205" s="4"/>
      <c r="L205" s="4"/>
      <c r="M205" s="4"/>
      <c r="N205" s="4"/>
      <c r="O205" s="4"/>
      <c r="P205" s="4"/>
      <c r="Q205" s="4"/>
      <c r="R205" s="4"/>
      <c r="S205" s="4"/>
      <c r="T205" s="4"/>
      <c r="U205" s="4"/>
      <c r="V205" s="4"/>
      <c r="W205" s="4"/>
      <c r="X205" s="4"/>
      <c r="Y205" s="4"/>
      <c r="Z205" s="4"/>
      <c r="AA205" s="21"/>
    </row>
    <row r="206">
      <c r="A206" s="4"/>
      <c r="B206" s="4"/>
      <c r="C206" s="4"/>
      <c r="D206" s="26"/>
      <c r="E206" s="4"/>
      <c r="F206" s="4"/>
      <c r="G206" s="4"/>
      <c r="H206" s="4"/>
      <c r="I206" s="4"/>
      <c r="J206" s="4"/>
      <c r="K206" s="4"/>
      <c r="L206" s="4"/>
      <c r="M206" s="4"/>
      <c r="N206" s="4"/>
      <c r="O206" s="4"/>
      <c r="P206" s="4"/>
      <c r="Q206" s="4"/>
      <c r="R206" s="4"/>
      <c r="S206" s="4"/>
      <c r="T206" s="4"/>
      <c r="U206" s="4"/>
      <c r="V206" s="4"/>
      <c r="W206" s="4"/>
      <c r="X206" s="4"/>
      <c r="Y206" s="4"/>
      <c r="Z206" s="4"/>
      <c r="AA206" s="21"/>
    </row>
    <row r="207">
      <c r="A207" s="4"/>
      <c r="B207" s="4"/>
      <c r="C207" s="4"/>
      <c r="D207" s="26"/>
      <c r="E207" s="4"/>
      <c r="F207" s="4"/>
      <c r="G207" s="4"/>
      <c r="H207" s="4"/>
      <c r="I207" s="4"/>
      <c r="J207" s="4"/>
      <c r="K207" s="4"/>
      <c r="L207" s="4"/>
      <c r="M207" s="4"/>
      <c r="N207" s="4"/>
      <c r="O207" s="4"/>
      <c r="P207" s="4"/>
      <c r="Q207" s="4"/>
      <c r="R207" s="4"/>
      <c r="S207" s="4"/>
      <c r="T207" s="4"/>
      <c r="U207" s="4"/>
      <c r="V207" s="4"/>
      <c r="W207" s="4"/>
      <c r="X207" s="4"/>
      <c r="Y207" s="4"/>
      <c r="Z207" s="4"/>
      <c r="AA207" s="21"/>
    </row>
    <row r="208">
      <c r="A208" s="4"/>
      <c r="B208" s="4"/>
      <c r="C208" s="4"/>
      <c r="D208" s="26"/>
      <c r="E208" s="4"/>
      <c r="F208" s="4"/>
      <c r="G208" s="4"/>
      <c r="H208" s="4"/>
      <c r="I208" s="4"/>
      <c r="J208" s="4"/>
      <c r="K208" s="4"/>
      <c r="L208" s="4"/>
      <c r="M208" s="4"/>
      <c r="N208" s="4"/>
      <c r="O208" s="4"/>
      <c r="P208" s="4"/>
      <c r="Q208" s="4"/>
      <c r="R208" s="4"/>
      <c r="S208" s="4"/>
      <c r="T208" s="4"/>
      <c r="U208" s="4"/>
      <c r="V208" s="4"/>
      <c r="W208" s="4"/>
      <c r="X208" s="4"/>
      <c r="Y208" s="4"/>
      <c r="Z208" s="4"/>
      <c r="AA208" s="21"/>
    </row>
    <row r="209">
      <c r="A209" s="4"/>
      <c r="B209" s="4"/>
      <c r="C209" s="4"/>
      <c r="D209" s="26"/>
      <c r="E209" s="4"/>
      <c r="F209" s="4"/>
      <c r="G209" s="4"/>
      <c r="H209" s="4"/>
      <c r="I209" s="4"/>
      <c r="J209" s="4"/>
      <c r="K209" s="4"/>
      <c r="L209" s="4"/>
      <c r="M209" s="4"/>
      <c r="N209" s="4"/>
      <c r="O209" s="4"/>
      <c r="P209" s="4"/>
      <c r="Q209" s="4"/>
      <c r="R209" s="4"/>
      <c r="S209" s="4"/>
      <c r="T209" s="4"/>
      <c r="U209" s="4"/>
      <c r="V209" s="4"/>
      <c r="W209" s="4"/>
      <c r="X209" s="4"/>
      <c r="Y209" s="4"/>
      <c r="Z209" s="4"/>
      <c r="AA209" s="21"/>
    </row>
    <row r="210">
      <c r="A210" s="4"/>
      <c r="B210" s="4"/>
      <c r="C210" s="4"/>
      <c r="D210" s="26"/>
      <c r="E210" s="4"/>
      <c r="F210" s="4"/>
      <c r="G210" s="4"/>
      <c r="H210" s="4"/>
      <c r="I210" s="4"/>
      <c r="J210" s="4"/>
      <c r="K210" s="4"/>
      <c r="L210" s="4"/>
      <c r="M210" s="4"/>
      <c r="N210" s="4"/>
      <c r="O210" s="4"/>
      <c r="P210" s="4"/>
      <c r="Q210" s="4"/>
      <c r="R210" s="4"/>
      <c r="S210" s="4"/>
      <c r="T210" s="4"/>
      <c r="U210" s="4"/>
      <c r="V210" s="4"/>
      <c r="W210" s="4"/>
      <c r="X210" s="4"/>
      <c r="Y210" s="4"/>
      <c r="Z210" s="4"/>
      <c r="AA210" s="21"/>
    </row>
    <row r="211">
      <c r="A211" s="4"/>
      <c r="B211" s="4"/>
      <c r="C211" s="4"/>
      <c r="D211" s="26"/>
      <c r="E211" s="4"/>
      <c r="F211" s="4"/>
      <c r="G211" s="4"/>
      <c r="H211" s="4"/>
      <c r="I211" s="4"/>
      <c r="J211" s="4"/>
      <c r="K211" s="4"/>
      <c r="L211" s="4"/>
      <c r="M211" s="4"/>
      <c r="N211" s="4"/>
      <c r="O211" s="4"/>
      <c r="P211" s="4"/>
      <c r="Q211" s="4"/>
      <c r="R211" s="4"/>
      <c r="S211" s="4"/>
      <c r="T211" s="4"/>
      <c r="U211" s="4"/>
      <c r="V211" s="4"/>
      <c r="W211" s="4"/>
      <c r="X211" s="4"/>
      <c r="Y211" s="4"/>
      <c r="Z211" s="4"/>
      <c r="AA211" s="21"/>
    </row>
    <row r="212">
      <c r="A212" s="4"/>
      <c r="B212" s="4"/>
      <c r="C212" s="4"/>
      <c r="D212" s="26"/>
      <c r="E212" s="4"/>
      <c r="F212" s="4"/>
      <c r="G212" s="4"/>
      <c r="H212" s="4"/>
      <c r="I212" s="4"/>
      <c r="J212" s="4"/>
      <c r="K212" s="4"/>
      <c r="L212" s="4"/>
      <c r="M212" s="4"/>
      <c r="N212" s="4"/>
      <c r="O212" s="4"/>
      <c r="P212" s="4"/>
      <c r="Q212" s="4"/>
      <c r="R212" s="4"/>
      <c r="S212" s="4"/>
      <c r="T212" s="4"/>
      <c r="U212" s="4"/>
      <c r="V212" s="4"/>
      <c r="W212" s="4"/>
      <c r="X212" s="4"/>
      <c r="Y212" s="4"/>
      <c r="Z212" s="4"/>
      <c r="AA212" s="21"/>
    </row>
    <row r="213">
      <c r="A213" s="4"/>
      <c r="B213" s="4"/>
      <c r="C213" s="4"/>
      <c r="D213" s="26"/>
      <c r="E213" s="4"/>
      <c r="F213" s="4"/>
      <c r="G213" s="4"/>
      <c r="H213" s="4"/>
      <c r="I213" s="4"/>
      <c r="J213" s="4"/>
      <c r="K213" s="4"/>
      <c r="L213" s="4"/>
      <c r="M213" s="4"/>
      <c r="N213" s="4"/>
      <c r="O213" s="4"/>
      <c r="P213" s="4"/>
      <c r="Q213" s="4"/>
      <c r="R213" s="4"/>
      <c r="S213" s="4"/>
      <c r="T213" s="4"/>
      <c r="U213" s="4"/>
      <c r="V213" s="4"/>
      <c r="W213" s="4"/>
      <c r="X213" s="4"/>
      <c r="Y213" s="4"/>
      <c r="Z213" s="4"/>
      <c r="AA213" s="21"/>
    </row>
    <row r="214">
      <c r="A214" s="4"/>
      <c r="B214" s="4"/>
      <c r="C214" s="4"/>
      <c r="D214" s="26"/>
      <c r="E214" s="4"/>
      <c r="F214" s="4"/>
      <c r="G214" s="4"/>
      <c r="H214" s="4"/>
      <c r="I214" s="4"/>
      <c r="J214" s="4"/>
      <c r="K214" s="4"/>
      <c r="L214" s="4"/>
      <c r="M214" s="4"/>
      <c r="N214" s="4"/>
      <c r="O214" s="4"/>
      <c r="P214" s="4"/>
      <c r="Q214" s="4"/>
      <c r="R214" s="4"/>
      <c r="S214" s="4"/>
      <c r="T214" s="4"/>
      <c r="U214" s="4"/>
      <c r="V214" s="4"/>
      <c r="W214" s="4"/>
      <c r="X214" s="4"/>
      <c r="Y214" s="4"/>
      <c r="Z214" s="4"/>
      <c r="AA214" s="21"/>
    </row>
    <row r="215">
      <c r="A215" s="4"/>
      <c r="B215" s="4"/>
      <c r="C215" s="4"/>
      <c r="D215" s="26"/>
      <c r="E215" s="4"/>
      <c r="F215" s="4"/>
      <c r="G215" s="4"/>
      <c r="H215" s="4"/>
      <c r="I215" s="4"/>
      <c r="J215" s="4"/>
      <c r="K215" s="4"/>
      <c r="L215" s="4"/>
      <c r="M215" s="4"/>
      <c r="N215" s="4"/>
      <c r="O215" s="4"/>
      <c r="P215" s="4"/>
      <c r="Q215" s="4"/>
      <c r="R215" s="4"/>
      <c r="S215" s="4"/>
      <c r="T215" s="4"/>
      <c r="U215" s="4"/>
      <c r="V215" s="4"/>
      <c r="W215" s="4"/>
      <c r="X215" s="4"/>
      <c r="Y215" s="4"/>
      <c r="Z215" s="4"/>
      <c r="AA215" s="21"/>
    </row>
    <row r="216">
      <c r="A216" s="4"/>
      <c r="B216" s="4"/>
      <c r="C216" s="4"/>
      <c r="D216" s="26"/>
      <c r="E216" s="4"/>
      <c r="F216" s="4"/>
      <c r="G216" s="4"/>
      <c r="H216" s="4"/>
      <c r="I216" s="4"/>
      <c r="J216" s="4"/>
      <c r="K216" s="4"/>
      <c r="L216" s="4"/>
      <c r="M216" s="4"/>
      <c r="N216" s="4"/>
      <c r="O216" s="4"/>
      <c r="P216" s="4"/>
      <c r="Q216" s="4"/>
      <c r="R216" s="4"/>
      <c r="S216" s="4"/>
      <c r="T216" s="4"/>
      <c r="U216" s="4"/>
      <c r="V216" s="4"/>
      <c r="W216" s="4"/>
      <c r="X216" s="4"/>
      <c r="Y216" s="4"/>
      <c r="Z216" s="4"/>
      <c r="AA216" s="21"/>
    </row>
    <row r="217">
      <c r="A217" s="4"/>
      <c r="B217" s="4"/>
      <c r="C217" s="4"/>
      <c r="D217" s="26"/>
      <c r="E217" s="4"/>
      <c r="F217" s="4"/>
      <c r="G217" s="4"/>
      <c r="H217" s="4"/>
      <c r="I217" s="4"/>
      <c r="J217" s="4"/>
      <c r="K217" s="4"/>
      <c r="L217" s="4"/>
      <c r="M217" s="4"/>
      <c r="N217" s="4"/>
      <c r="O217" s="4"/>
      <c r="P217" s="4"/>
      <c r="Q217" s="4"/>
      <c r="R217" s="4"/>
      <c r="S217" s="4"/>
      <c r="T217" s="4"/>
      <c r="U217" s="4"/>
      <c r="V217" s="4"/>
      <c r="W217" s="4"/>
      <c r="X217" s="4"/>
      <c r="Y217" s="4"/>
      <c r="Z217" s="4"/>
      <c r="AA217" s="21"/>
    </row>
    <row r="218">
      <c r="A218" s="4"/>
      <c r="B218" s="4"/>
      <c r="C218" s="4"/>
      <c r="D218" s="26"/>
      <c r="E218" s="4"/>
      <c r="F218" s="4"/>
      <c r="G218" s="4"/>
      <c r="H218" s="4"/>
      <c r="I218" s="4"/>
      <c r="J218" s="4"/>
      <c r="K218" s="4"/>
      <c r="L218" s="4"/>
      <c r="M218" s="4"/>
      <c r="N218" s="4"/>
      <c r="O218" s="4"/>
      <c r="P218" s="4"/>
      <c r="Q218" s="4"/>
      <c r="R218" s="4"/>
      <c r="S218" s="4"/>
      <c r="T218" s="4"/>
      <c r="U218" s="4"/>
      <c r="V218" s="4"/>
      <c r="W218" s="4"/>
      <c r="X218" s="4"/>
      <c r="Y218" s="4"/>
      <c r="Z218" s="4"/>
      <c r="AA218" s="21"/>
    </row>
    <row r="219">
      <c r="A219" s="4"/>
      <c r="B219" s="4"/>
      <c r="C219" s="4"/>
      <c r="D219" s="26"/>
      <c r="E219" s="4"/>
      <c r="F219" s="4"/>
      <c r="G219" s="4"/>
      <c r="H219" s="4"/>
      <c r="I219" s="4"/>
      <c r="J219" s="4"/>
      <c r="K219" s="4"/>
      <c r="L219" s="4"/>
      <c r="M219" s="4"/>
      <c r="N219" s="4"/>
      <c r="O219" s="4"/>
      <c r="P219" s="4"/>
      <c r="Q219" s="4"/>
      <c r="R219" s="4"/>
      <c r="S219" s="4"/>
      <c r="T219" s="4"/>
      <c r="U219" s="4"/>
      <c r="V219" s="4"/>
      <c r="W219" s="4"/>
      <c r="X219" s="4"/>
      <c r="Y219" s="4"/>
      <c r="Z219" s="4"/>
      <c r="AA219" s="21"/>
    </row>
    <row r="220">
      <c r="A220" s="4"/>
      <c r="B220" s="4"/>
      <c r="C220" s="4"/>
      <c r="D220" s="26"/>
      <c r="E220" s="4"/>
      <c r="F220" s="4"/>
      <c r="G220" s="4"/>
      <c r="H220" s="4"/>
      <c r="I220" s="4"/>
      <c r="J220" s="4"/>
      <c r="K220" s="4"/>
      <c r="L220" s="4"/>
      <c r="M220" s="4"/>
      <c r="N220" s="4"/>
      <c r="O220" s="4"/>
      <c r="P220" s="4"/>
      <c r="Q220" s="4"/>
      <c r="R220" s="4"/>
      <c r="S220" s="4"/>
      <c r="T220" s="4"/>
      <c r="U220" s="4"/>
      <c r="V220" s="4"/>
      <c r="W220" s="4"/>
      <c r="X220" s="4"/>
      <c r="Y220" s="4"/>
      <c r="Z220" s="4"/>
      <c r="AA220" s="21"/>
    </row>
    <row r="221">
      <c r="A221" s="4"/>
      <c r="B221" s="4"/>
      <c r="C221" s="4"/>
      <c r="D221" s="26"/>
      <c r="E221" s="4"/>
      <c r="F221" s="4"/>
      <c r="G221" s="4"/>
      <c r="H221" s="4"/>
      <c r="I221" s="4"/>
      <c r="J221" s="4"/>
      <c r="K221" s="4"/>
      <c r="L221" s="4"/>
      <c r="M221" s="4"/>
      <c r="N221" s="4"/>
      <c r="O221" s="4"/>
      <c r="P221" s="4"/>
      <c r="Q221" s="4"/>
      <c r="R221" s="4"/>
      <c r="S221" s="4"/>
      <c r="T221" s="4"/>
      <c r="U221" s="4"/>
      <c r="V221" s="4"/>
      <c r="W221" s="4"/>
      <c r="X221" s="4"/>
      <c r="Y221" s="4"/>
      <c r="Z221" s="4"/>
      <c r="AA221" s="21"/>
    </row>
    <row r="222">
      <c r="A222" s="4"/>
      <c r="B222" s="4"/>
      <c r="C222" s="4"/>
      <c r="D222" s="26"/>
      <c r="E222" s="4"/>
      <c r="F222" s="4"/>
      <c r="G222" s="4"/>
      <c r="H222" s="4"/>
      <c r="I222" s="4"/>
      <c r="J222" s="4"/>
      <c r="K222" s="4"/>
      <c r="L222" s="4"/>
      <c r="M222" s="4"/>
      <c r="N222" s="4"/>
      <c r="O222" s="4"/>
      <c r="P222" s="4"/>
      <c r="Q222" s="4"/>
      <c r="R222" s="4"/>
      <c r="S222" s="4"/>
      <c r="T222" s="4"/>
      <c r="U222" s="4"/>
      <c r="V222" s="4"/>
      <c r="W222" s="4"/>
      <c r="X222" s="4"/>
      <c r="Y222" s="4"/>
      <c r="Z222" s="4"/>
      <c r="AA222" s="21"/>
    </row>
    <row r="223">
      <c r="A223" s="4"/>
      <c r="B223" s="4"/>
      <c r="C223" s="4"/>
      <c r="D223" s="26"/>
      <c r="E223" s="4"/>
      <c r="F223" s="4"/>
      <c r="G223" s="4"/>
      <c r="H223" s="4"/>
      <c r="I223" s="4"/>
      <c r="J223" s="4"/>
      <c r="K223" s="4"/>
      <c r="L223" s="4"/>
      <c r="M223" s="4"/>
      <c r="N223" s="4"/>
      <c r="O223" s="4"/>
      <c r="P223" s="4"/>
      <c r="Q223" s="4"/>
      <c r="R223" s="4"/>
      <c r="S223" s="4"/>
      <c r="T223" s="4"/>
      <c r="U223" s="4"/>
      <c r="V223" s="4"/>
      <c r="W223" s="4"/>
      <c r="X223" s="4"/>
      <c r="Y223" s="4"/>
      <c r="Z223" s="4"/>
      <c r="AA223" s="21"/>
    </row>
    <row r="224">
      <c r="A224" s="4"/>
      <c r="B224" s="4"/>
      <c r="C224" s="4"/>
      <c r="D224" s="26"/>
      <c r="E224" s="4"/>
      <c r="F224" s="4"/>
      <c r="G224" s="4"/>
      <c r="H224" s="4"/>
      <c r="I224" s="4"/>
      <c r="J224" s="4"/>
      <c r="K224" s="4"/>
      <c r="L224" s="4"/>
      <c r="M224" s="4"/>
      <c r="N224" s="4"/>
      <c r="O224" s="4"/>
      <c r="P224" s="4"/>
      <c r="Q224" s="4"/>
      <c r="R224" s="4"/>
      <c r="S224" s="4"/>
      <c r="T224" s="4"/>
      <c r="U224" s="4"/>
      <c r="V224" s="4"/>
      <c r="W224" s="4"/>
      <c r="X224" s="4"/>
      <c r="Y224" s="4"/>
      <c r="Z224" s="4"/>
      <c r="AA224" s="21"/>
    </row>
    <row r="225">
      <c r="A225" s="4"/>
      <c r="B225" s="4"/>
      <c r="C225" s="4"/>
      <c r="D225" s="26"/>
      <c r="E225" s="4"/>
      <c r="F225" s="4"/>
      <c r="G225" s="4"/>
      <c r="H225" s="4"/>
      <c r="I225" s="4"/>
      <c r="J225" s="4"/>
      <c r="K225" s="4"/>
      <c r="L225" s="4"/>
      <c r="M225" s="4"/>
      <c r="N225" s="4"/>
      <c r="O225" s="4"/>
      <c r="P225" s="4"/>
      <c r="Q225" s="4"/>
      <c r="R225" s="4"/>
      <c r="S225" s="4"/>
      <c r="T225" s="4"/>
      <c r="U225" s="4"/>
      <c r="V225" s="4"/>
      <c r="W225" s="4"/>
      <c r="X225" s="4"/>
      <c r="Y225" s="4"/>
      <c r="Z225" s="4"/>
      <c r="AA225" s="21"/>
    </row>
    <row r="226">
      <c r="A226" s="4"/>
      <c r="B226" s="4"/>
      <c r="C226" s="4"/>
      <c r="D226" s="26"/>
      <c r="E226" s="4"/>
      <c r="F226" s="4"/>
      <c r="G226" s="4"/>
      <c r="H226" s="4"/>
      <c r="I226" s="4"/>
      <c r="J226" s="4"/>
      <c r="K226" s="4"/>
      <c r="L226" s="4"/>
      <c r="M226" s="4"/>
      <c r="N226" s="4"/>
      <c r="O226" s="4"/>
      <c r="P226" s="4"/>
      <c r="Q226" s="4"/>
      <c r="R226" s="4"/>
      <c r="S226" s="4"/>
      <c r="T226" s="4"/>
      <c r="U226" s="4"/>
      <c r="V226" s="4"/>
      <c r="W226" s="4"/>
      <c r="X226" s="4"/>
      <c r="Y226" s="4"/>
      <c r="Z226" s="4"/>
      <c r="AA226" s="21"/>
    </row>
    <row r="227">
      <c r="A227" s="4"/>
      <c r="B227" s="4"/>
      <c r="C227" s="4"/>
      <c r="D227" s="26"/>
      <c r="E227" s="4"/>
      <c r="F227" s="4"/>
      <c r="G227" s="4"/>
      <c r="H227" s="4"/>
      <c r="I227" s="4"/>
      <c r="J227" s="4"/>
      <c r="K227" s="4"/>
      <c r="L227" s="4"/>
      <c r="M227" s="4"/>
      <c r="N227" s="4"/>
      <c r="O227" s="4"/>
      <c r="P227" s="4"/>
      <c r="Q227" s="4"/>
      <c r="R227" s="4"/>
      <c r="S227" s="4"/>
      <c r="T227" s="4"/>
      <c r="U227" s="4"/>
      <c r="V227" s="4"/>
      <c r="W227" s="4"/>
      <c r="X227" s="4"/>
      <c r="Y227" s="4"/>
      <c r="Z227" s="4"/>
      <c r="AA227" s="21"/>
    </row>
    <row r="228">
      <c r="A228" s="4"/>
      <c r="B228" s="4"/>
      <c r="C228" s="4"/>
      <c r="D228" s="26"/>
      <c r="E228" s="4"/>
      <c r="F228" s="4"/>
      <c r="G228" s="4"/>
      <c r="H228" s="4"/>
      <c r="I228" s="4"/>
      <c r="J228" s="4"/>
      <c r="K228" s="4"/>
      <c r="L228" s="4"/>
      <c r="M228" s="4"/>
      <c r="N228" s="4"/>
      <c r="O228" s="4"/>
      <c r="P228" s="4"/>
      <c r="Q228" s="4"/>
      <c r="R228" s="4"/>
      <c r="S228" s="4"/>
      <c r="T228" s="4"/>
      <c r="U228" s="4"/>
      <c r="V228" s="4"/>
      <c r="W228" s="4"/>
      <c r="X228" s="4"/>
      <c r="Y228" s="4"/>
      <c r="Z228" s="4"/>
      <c r="AA228" s="21"/>
    </row>
    <row r="229">
      <c r="A229" s="4"/>
      <c r="B229" s="4"/>
      <c r="C229" s="4"/>
      <c r="D229" s="26"/>
      <c r="E229" s="4"/>
      <c r="F229" s="4"/>
      <c r="G229" s="4"/>
      <c r="H229" s="4"/>
      <c r="I229" s="4"/>
      <c r="J229" s="4"/>
      <c r="K229" s="4"/>
      <c r="L229" s="4"/>
      <c r="M229" s="4"/>
      <c r="N229" s="4"/>
      <c r="O229" s="4"/>
      <c r="P229" s="4"/>
      <c r="Q229" s="4"/>
      <c r="R229" s="4"/>
      <c r="S229" s="4"/>
      <c r="T229" s="4"/>
      <c r="U229" s="4"/>
      <c r="V229" s="4"/>
      <c r="W229" s="4"/>
      <c r="X229" s="4"/>
      <c r="Y229" s="4"/>
      <c r="Z229" s="4"/>
      <c r="AA229" s="21"/>
    </row>
    <row r="230">
      <c r="A230" s="4"/>
      <c r="B230" s="4"/>
      <c r="C230" s="4"/>
      <c r="D230" s="26"/>
      <c r="E230" s="4"/>
      <c r="F230" s="4"/>
      <c r="G230" s="4"/>
      <c r="H230" s="4"/>
      <c r="I230" s="4"/>
      <c r="J230" s="4"/>
      <c r="K230" s="4"/>
      <c r="L230" s="4"/>
      <c r="M230" s="4"/>
      <c r="N230" s="4"/>
      <c r="O230" s="4"/>
      <c r="P230" s="4"/>
      <c r="Q230" s="4"/>
      <c r="R230" s="4"/>
      <c r="S230" s="4"/>
      <c r="T230" s="4"/>
      <c r="U230" s="4"/>
      <c r="V230" s="4"/>
      <c r="W230" s="4"/>
      <c r="X230" s="4"/>
      <c r="Y230" s="4"/>
      <c r="Z230" s="4"/>
      <c r="AA230" s="21"/>
    </row>
    <row r="231">
      <c r="A231" s="4"/>
      <c r="B231" s="4"/>
      <c r="C231" s="4"/>
      <c r="D231" s="26"/>
      <c r="E231" s="4"/>
      <c r="F231" s="4"/>
      <c r="G231" s="4"/>
      <c r="H231" s="4"/>
      <c r="I231" s="4"/>
      <c r="J231" s="4"/>
      <c r="K231" s="4"/>
      <c r="L231" s="4"/>
      <c r="M231" s="4"/>
      <c r="N231" s="4"/>
      <c r="O231" s="4"/>
      <c r="P231" s="4"/>
      <c r="Q231" s="4"/>
      <c r="R231" s="4"/>
      <c r="S231" s="4"/>
      <c r="T231" s="4"/>
      <c r="U231" s="4"/>
      <c r="V231" s="4"/>
      <c r="W231" s="4"/>
      <c r="X231" s="4"/>
      <c r="Y231" s="4"/>
      <c r="Z231" s="4"/>
      <c r="AA231" s="21"/>
    </row>
    <row r="232">
      <c r="A232" s="4"/>
      <c r="B232" s="4"/>
      <c r="C232" s="4"/>
      <c r="D232" s="26"/>
      <c r="E232" s="4"/>
      <c r="F232" s="4"/>
      <c r="G232" s="4"/>
      <c r="H232" s="4"/>
      <c r="I232" s="4"/>
      <c r="J232" s="4"/>
      <c r="K232" s="4"/>
      <c r="L232" s="4"/>
      <c r="M232" s="4"/>
      <c r="N232" s="4"/>
      <c r="O232" s="4"/>
      <c r="P232" s="4"/>
      <c r="Q232" s="4"/>
      <c r="R232" s="4"/>
      <c r="S232" s="4"/>
      <c r="T232" s="4"/>
      <c r="U232" s="4"/>
      <c r="V232" s="4"/>
      <c r="W232" s="4"/>
      <c r="X232" s="4"/>
      <c r="Y232" s="4"/>
      <c r="Z232" s="4"/>
      <c r="AA232" s="21"/>
    </row>
    <row r="233">
      <c r="A233" s="4"/>
      <c r="B233" s="4"/>
      <c r="C233" s="4"/>
      <c r="D233" s="26"/>
      <c r="E233" s="4"/>
      <c r="F233" s="4"/>
      <c r="G233" s="4"/>
      <c r="H233" s="4"/>
      <c r="I233" s="4"/>
      <c r="J233" s="4"/>
      <c r="K233" s="4"/>
      <c r="L233" s="4"/>
      <c r="M233" s="4"/>
      <c r="N233" s="4"/>
      <c r="O233" s="4"/>
      <c r="P233" s="4"/>
      <c r="Q233" s="4"/>
      <c r="R233" s="4"/>
      <c r="S233" s="4"/>
      <c r="T233" s="4"/>
      <c r="U233" s="4"/>
      <c r="V233" s="4"/>
      <c r="W233" s="4"/>
      <c r="X233" s="4"/>
      <c r="Y233" s="4"/>
      <c r="Z233" s="4"/>
      <c r="AA233" s="21"/>
    </row>
    <row r="234">
      <c r="A234" s="4"/>
      <c r="B234" s="4"/>
      <c r="C234" s="4"/>
      <c r="D234" s="26"/>
      <c r="E234" s="4"/>
      <c r="F234" s="4"/>
      <c r="G234" s="4"/>
      <c r="H234" s="4"/>
      <c r="I234" s="4"/>
      <c r="J234" s="4"/>
      <c r="K234" s="4"/>
      <c r="L234" s="4"/>
      <c r="M234" s="4"/>
      <c r="N234" s="4"/>
      <c r="O234" s="4"/>
      <c r="P234" s="4"/>
      <c r="Q234" s="4"/>
      <c r="R234" s="4"/>
      <c r="S234" s="4"/>
      <c r="T234" s="4"/>
      <c r="U234" s="4"/>
      <c r="V234" s="4"/>
      <c r="W234" s="4"/>
      <c r="X234" s="4"/>
      <c r="Y234" s="4"/>
      <c r="Z234" s="4"/>
      <c r="AA234" s="21"/>
    </row>
    <row r="235">
      <c r="A235" s="4"/>
      <c r="B235" s="4"/>
      <c r="C235" s="4"/>
      <c r="D235" s="26"/>
      <c r="E235" s="4"/>
      <c r="F235" s="4"/>
      <c r="G235" s="4"/>
      <c r="H235" s="4"/>
      <c r="I235" s="4"/>
      <c r="J235" s="4"/>
      <c r="K235" s="4"/>
      <c r="L235" s="4"/>
      <c r="M235" s="4"/>
      <c r="N235" s="4"/>
      <c r="O235" s="4"/>
      <c r="P235" s="4"/>
      <c r="Q235" s="4"/>
      <c r="R235" s="4"/>
      <c r="S235" s="4"/>
      <c r="T235" s="4"/>
      <c r="U235" s="4"/>
      <c r="V235" s="4"/>
      <c r="W235" s="4"/>
      <c r="X235" s="4"/>
      <c r="Y235" s="4"/>
      <c r="Z235" s="4"/>
      <c r="AA235" s="21"/>
    </row>
    <row r="236">
      <c r="A236" s="4"/>
      <c r="B236" s="4"/>
      <c r="C236" s="4"/>
      <c r="D236" s="26"/>
      <c r="E236" s="4"/>
      <c r="F236" s="4"/>
      <c r="G236" s="4"/>
      <c r="H236" s="4"/>
      <c r="I236" s="4"/>
      <c r="J236" s="4"/>
      <c r="K236" s="4"/>
      <c r="L236" s="4"/>
      <c r="M236" s="4"/>
      <c r="N236" s="4"/>
      <c r="O236" s="4"/>
      <c r="P236" s="4"/>
      <c r="Q236" s="4"/>
      <c r="R236" s="4"/>
      <c r="S236" s="4"/>
      <c r="T236" s="4"/>
      <c r="U236" s="4"/>
      <c r="V236" s="4"/>
      <c r="W236" s="4"/>
      <c r="X236" s="4"/>
      <c r="Y236" s="4"/>
      <c r="Z236" s="4"/>
      <c r="AA236" s="21"/>
    </row>
    <row r="237">
      <c r="A237" s="4"/>
      <c r="B237" s="4"/>
      <c r="C237" s="4"/>
      <c r="D237" s="26"/>
      <c r="E237" s="4"/>
      <c r="F237" s="4"/>
      <c r="G237" s="4"/>
      <c r="H237" s="4"/>
      <c r="I237" s="4"/>
      <c r="J237" s="4"/>
      <c r="K237" s="4"/>
      <c r="L237" s="4"/>
      <c r="M237" s="4"/>
      <c r="N237" s="4"/>
      <c r="O237" s="4"/>
      <c r="P237" s="4"/>
      <c r="Q237" s="4"/>
      <c r="R237" s="4"/>
      <c r="S237" s="4"/>
      <c r="T237" s="4"/>
      <c r="U237" s="4"/>
      <c r="V237" s="4"/>
      <c r="W237" s="4"/>
      <c r="X237" s="4"/>
      <c r="Y237" s="4"/>
      <c r="Z237" s="4"/>
      <c r="AA237" s="21"/>
    </row>
    <row r="238">
      <c r="A238" s="4"/>
      <c r="B238" s="4"/>
      <c r="C238" s="4"/>
      <c r="D238" s="26"/>
      <c r="E238" s="4"/>
      <c r="F238" s="4"/>
      <c r="G238" s="4"/>
      <c r="H238" s="4"/>
      <c r="I238" s="4"/>
      <c r="J238" s="4"/>
      <c r="K238" s="4"/>
      <c r="L238" s="4"/>
      <c r="M238" s="4"/>
      <c r="N238" s="4"/>
      <c r="O238" s="4"/>
      <c r="P238" s="4"/>
      <c r="Q238" s="4"/>
      <c r="R238" s="4"/>
      <c r="S238" s="4"/>
      <c r="T238" s="4"/>
      <c r="U238" s="4"/>
      <c r="V238" s="4"/>
      <c r="W238" s="4"/>
      <c r="X238" s="4"/>
      <c r="Y238" s="4"/>
      <c r="Z238" s="4"/>
      <c r="AA238" s="21"/>
    </row>
    <row r="239">
      <c r="A239" s="4"/>
      <c r="B239" s="4"/>
      <c r="C239" s="4"/>
      <c r="D239" s="26"/>
      <c r="E239" s="4"/>
      <c r="F239" s="4"/>
      <c r="G239" s="4"/>
      <c r="H239" s="4"/>
      <c r="I239" s="4"/>
      <c r="J239" s="4"/>
      <c r="K239" s="4"/>
      <c r="L239" s="4"/>
      <c r="M239" s="4"/>
      <c r="N239" s="4"/>
      <c r="O239" s="4"/>
      <c r="P239" s="4"/>
      <c r="Q239" s="4"/>
      <c r="R239" s="4"/>
      <c r="S239" s="4"/>
      <c r="T239" s="4"/>
      <c r="U239" s="4"/>
      <c r="V239" s="4"/>
      <c r="W239" s="4"/>
      <c r="X239" s="4"/>
      <c r="Y239" s="4"/>
      <c r="Z239" s="4"/>
      <c r="AA239" s="21"/>
    </row>
    <row r="240">
      <c r="A240" s="4"/>
      <c r="B240" s="4"/>
      <c r="C240" s="4"/>
      <c r="D240" s="26"/>
      <c r="E240" s="4"/>
      <c r="F240" s="4"/>
      <c r="G240" s="4"/>
      <c r="H240" s="4"/>
      <c r="I240" s="4"/>
      <c r="J240" s="4"/>
      <c r="K240" s="4"/>
      <c r="L240" s="4"/>
      <c r="M240" s="4"/>
      <c r="N240" s="4"/>
      <c r="O240" s="4"/>
      <c r="P240" s="4"/>
      <c r="Q240" s="4"/>
      <c r="R240" s="4"/>
      <c r="S240" s="4"/>
      <c r="T240" s="4"/>
      <c r="U240" s="4"/>
      <c r="V240" s="4"/>
      <c r="W240" s="4"/>
      <c r="X240" s="4"/>
      <c r="Y240" s="4"/>
      <c r="Z240" s="4"/>
      <c r="AA240" s="21"/>
    </row>
    <row r="241">
      <c r="A241" s="4"/>
      <c r="B241" s="4"/>
      <c r="C241" s="4"/>
      <c r="D241" s="26"/>
      <c r="E241" s="4"/>
      <c r="F241" s="4"/>
      <c r="G241" s="4"/>
      <c r="H241" s="4"/>
      <c r="I241" s="4"/>
      <c r="J241" s="4"/>
      <c r="K241" s="4"/>
      <c r="L241" s="4"/>
      <c r="M241" s="4"/>
      <c r="N241" s="4"/>
      <c r="O241" s="4"/>
      <c r="P241" s="4"/>
      <c r="Q241" s="4"/>
      <c r="R241" s="4"/>
      <c r="S241" s="4"/>
      <c r="T241" s="4"/>
      <c r="U241" s="4"/>
      <c r="V241" s="4"/>
      <c r="W241" s="4"/>
      <c r="X241" s="4"/>
      <c r="Y241" s="4"/>
      <c r="Z241" s="4"/>
      <c r="AA241" s="21"/>
    </row>
    <row r="242">
      <c r="A242" s="4"/>
      <c r="B242" s="4"/>
      <c r="C242" s="4"/>
      <c r="D242" s="26"/>
      <c r="E242" s="4"/>
      <c r="F242" s="4"/>
      <c r="G242" s="4"/>
      <c r="H242" s="4"/>
      <c r="I242" s="4"/>
      <c r="J242" s="4"/>
      <c r="K242" s="4"/>
      <c r="L242" s="4"/>
      <c r="M242" s="4"/>
      <c r="N242" s="4"/>
      <c r="O242" s="4"/>
      <c r="P242" s="4"/>
      <c r="Q242" s="4"/>
      <c r="R242" s="4"/>
      <c r="S242" s="4"/>
      <c r="T242" s="4"/>
      <c r="U242" s="4"/>
      <c r="V242" s="4"/>
      <c r="W242" s="4"/>
      <c r="X242" s="4"/>
      <c r="Y242" s="4"/>
      <c r="Z242" s="4"/>
      <c r="AA242" s="21"/>
    </row>
    <row r="243">
      <c r="A243" s="4"/>
      <c r="B243" s="4"/>
      <c r="C243" s="4"/>
      <c r="D243" s="26"/>
      <c r="E243" s="4"/>
      <c r="F243" s="4"/>
      <c r="G243" s="4"/>
      <c r="H243" s="4"/>
      <c r="I243" s="4"/>
      <c r="J243" s="4"/>
      <c r="K243" s="4"/>
      <c r="L243" s="4"/>
      <c r="M243" s="4"/>
      <c r="N243" s="4"/>
      <c r="O243" s="4"/>
      <c r="P243" s="4"/>
      <c r="Q243" s="4"/>
      <c r="R243" s="4"/>
      <c r="S243" s="4"/>
      <c r="T243" s="4"/>
      <c r="U243" s="4"/>
      <c r="V243" s="4"/>
      <c r="W243" s="4"/>
      <c r="X243" s="4"/>
      <c r="Y243" s="4"/>
      <c r="Z243" s="4"/>
      <c r="AA243" s="21"/>
    </row>
    <row r="244">
      <c r="A244" s="4"/>
      <c r="B244" s="4"/>
      <c r="C244" s="4"/>
      <c r="D244" s="26"/>
      <c r="E244" s="4"/>
      <c r="F244" s="4"/>
      <c r="G244" s="4"/>
      <c r="H244" s="4"/>
      <c r="I244" s="4"/>
      <c r="J244" s="4"/>
      <c r="K244" s="4"/>
      <c r="L244" s="4"/>
      <c r="M244" s="4"/>
      <c r="N244" s="4"/>
      <c r="O244" s="4"/>
      <c r="P244" s="4"/>
      <c r="Q244" s="4"/>
      <c r="R244" s="4"/>
      <c r="S244" s="4"/>
      <c r="T244" s="4"/>
      <c r="U244" s="4"/>
      <c r="V244" s="4"/>
      <c r="W244" s="4"/>
      <c r="X244" s="4"/>
      <c r="Y244" s="4"/>
      <c r="Z244" s="4"/>
      <c r="AA244" s="21"/>
    </row>
    <row r="245">
      <c r="A245" s="4"/>
      <c r="B245" s="4"/>
      <c r="C245" s="4"/>
      <c r="D245" s="26"/>
      <c r="E245" s="4"/>
      <c r="F245" s="4"/>
      <c r="G245" s="4"/>
      <c r="H245" s="4"/>
      <c r="I245" s="4"/>
      <c r="J245" s="4"/>
      <c r="K245" s="4"/>
      <c r="L245" s="4"/>
      <c r="M245" s="4"/>
      <c r="N245" s="4"/>
      <c r="O245" s="4"/>
      <c r="P245" s="4"/>
      <c r="Q245" s="4"/>
      <c r="R245" s="4"/>
      <c r="S245" s="4"/>
      <c r="T245" s="4"/>
      <c r="U245" s="4"/>
      <c r="V245" s="4"/>
      <c r="W245" s="4"/>
      <c r="X245" s="4"/>
      <c r="Y245" s="4"/>
      <c r="Z245" s="4"/>
      <c r="AA245" s="21"/>
    </row>
    <row r="246">
      <c r="A246" s="4"/>
      <c r="B246" s="4"/>
      <c r="C246" s="4"/>
      <c r="D246" s="26"/>
      <c r="E246" s="4"/>
      <c r="F246" s="4"/>
      <c r="G246" s="4"/>
      <c r="H246" s="4"/>
      <c r="I246" s="4"/>
      <c r="J246" s="4"/>
      <c r="K246" s="4"/>
      <c r="L246" s="4"/>
      <c r="M246" s="4"/>
      <c r="N246" s="4"/>
      <c r="O246" s="4"/>
      <c r="P246" s="4"/>
      <c r="Q246" s="4"/>
      <c r="R246" s="4"/>
      <c r="S246" s="4"/>
      <c r="T246" s="4"/>
      <c r="U246" s="4"/>
      <c r="V246" s="4"/>
      <c r="W246" s="4"/>
      <c r="X246" s="4"/>
      <c r="Y246" s="4"/>
      <c r="Z246" s="4"/>
      <c r="AA246" s="21"/>
    </row>
    <row r="247">
      <c r="A247" s="4"/>
      <c r="B247" s="4"/>
      <c r="C247" s="4"/>
      <c r="D247" s="26"/>
      <c r="E247" s="4"/>
      <c r="F247" s="4"/>
      <c r="G247" s="4"/>
      <c r="H247" s="4"/>
      <c r="I247" s="4"/>
      <c r="J247" s="4"/>
      <c r="K247" s="4"/>
      <c r="L247" s="4"/>
      <c r="M247" s="4"/>
      <c r="N247" s="4"/>
      <c r="O247" s="4"/>
      <c r="P247" s="4"/>
      <c r="Q247" s="4"/>
      <c r="R247" s="4"/>
      <c r="S247" s="4"/>
      <c r="T247" s="4"/>
      <c r="U247" s="4"/>
      <c r="V247" s="4"/>
      <c r="W247" s="4"/>
      <c r="X247" s="4"/>
      <c r="Y247" s="4"/>
      <c r="Z247" s="4"/>
      <c r="AA247" s="21"/>
    </row>
    <row r="248">
      <c r="A248" s="4"/>
      <c r="B248" s="4"/>
      <c r="C248" s="4"/>
      <c r="D248" s="26"/>
      <c r="E248" s="4"/>
      <c r="F248" s="4"/>
      <c r="G248" s="4"/>
      <c r="H248" s="4"/>
      <c r="I248" s="4"/>
      <c r="J248" s="4"/>
      <c r="K248" s="4"/>
      <c r="L248" s="4"/>
      <c r="M248" s="4"/>
      <c r="N248" s="4"/>
      <c r="O248" s="4"/>
      <c r="P248" s="4"/>
      <c r="Q248" s="4"/>
      <c r="R248" s="4"/>
      <c r="S248" s="4"/>
      <c r="T248" s="4"/>
      <c r="U248" s="4"/>
      <c r="V248" s="4"/>
      <c r="W248" s="4"/>
      <c r="X248" s="4"/>
      <c r="Y248" s="4"/>
      <c r="Z248" s="4"/>
      <c r="AA248" s="21"/>
    </row>
    <row r="249">
      <c r="A249" s="4"/>
      <c r="B249" s="4"/>
      <c r="C249" s="4"/>
      <c r="D249" s="26"/>
      <c r="E249" s="4"/>
      <c r="F249" s="4"/>
      <c r="G249" s="4"/>
      <c r="H249" s="4"/>
      <c r="I249" s="4"/>
      <c r="J249" s="4"/>
      <c r="K249" s="4"/>
      <c r="L249" s="4"/>
      <c r="M249" s="4"/>
      <c r="N249" s="4"/>
      <c r="O249" s="4"/>
      <c r="P249" s="4"/>
      <c r="Q249" s="4"/>
      <c r="R249" s="4"/>
      <c r="S249" s="4"/>
      <c r="T249" s="4"/>
      <c r="U249" s="4"/>
      <c r="V249" s="4"/>
      <c r="W249" s="4"/>
      <c r="X249" s="4"/>
      <c r="Y249" s="4"/>
      <c r="Z249" s="4"/>
      <c r="AA249" s="21"/>
    </row>
    <row r="250">
      <c r="A250" s="4"/>
      <c r="B250" s="4"/>
      <c r="C250" s="4"/>
      <c r="D250" s="26"/>
      <c r="E250" s="4"/>
      <c r="F250" s="4"/>
      <c r="G250" s="4"/>
      <c r="H250" s="4"/>
      <c r="I250" s="4"/>
      <c r="J250" s="4"/>
      <c r="K250" s="4"/>
      <c r="L250" s="4"/>
      <c r="M250" s="4"/>
      <c r="N250" s="4"/>
      <c r="O250" s="4"/>
      <c r="P250" s="4"/>
      <c r="Q250" s="4"/>
      <c r="R250" s="4"/>
      <c r="S250" s="4"/>
      <c r="T250" s="4"/>
      <c r="U250" s="4"/>
      <c r="V250" s="4"/>
      <c r="W250" s="4"/>
      <c r="X250" s="4"/>
      <c r="Y250" s="4"/>
      <c r="Z250" s="4"/>
      <c r="AA250" s="21"/>
    </row>
    <row r="251">
      <c r="A251" s="4"/>
      <c r="B251" s="4"/>
      <c r="C251" s="4"/>
      <c r="D251" s="26"/>
      <c r="E251" s="4"/>
      <c r="F251" s="4"/>
      <c r="G251" s="4"/>
      <c r="H251" s="4"/>
      <c r="I251" s="4"/>
      <c r="J251" s="4"/>
      <c r="K251" s="4"/>
      <c r="L251" s="4"/>
      <c r="M251" s="4"/>
      <c r="N251" s="4"/>
      <c r="O251" s="4"/>
      <c r="P251" s="4"/>
      <c r="Q251" s="4"/>
      <c r="R251" s="4"/>
      <c r="S251" s="4"/>
      <c r="T251" s="4"/>
      <c r="U251" s="4"/>
      <c r="V251" s="4"/>
      <c r="W251" s="4"/>
      <c r="X251" s="4"/>
      <c r="Y251" s="4"/>
      <c r="Z251" s="4"/>
      <c r="AA251" s="21"/>
    </row>
    <row r="252">
      <c r="A252" s="4"/>
      <c r="B252" s="4"/>
      <c r="C252" s="4"/>
      <c r="D252" s="26"/>
      <c r="E252" s="4"/>
      <c r="F252" s="4"/>
      <c r="G252" s="4"/>
      <c r="H252" s="4"/>
      <c r="I252" s="4"/>
      <c r="J252" s="4"/>
      <c r="K252" s="4"/>
      <c r="L252" s="4"/>
      <c r="M252" s="4"/>
      <c r="N252" s="4"/>
      <c r="O252" s="4"/>
      <c r="P252" s="4"/>
      <c r="Q252" s="4"/>
      <c r="R252" s="4"/>
      <c r="S252" s="4"/>
      <c r="T252" s="4"/>
      <c r="U252" s="4"/>
      <c r="V252" s="4"/>
      <c r="W252" s="4"/>
      <c r="X252" s="4"/>
      <c r="Y252" s="4"/>
      <c r="Z252" s="4"/>
      <c r="AA252" s="21"/>
    </row>
    <row r="253">
      <c r="A253" s="4"/>
      <c r="B253" s="4"/>
      <c r="C253" s="4"/>
      <c r="D253" s="26"/>
      <c r="E253" s="4"/>
      <c r="F253" s="4"/>
      <c r="G253" s="4"/>
      <c r="H253" s="4"/>
      <c r="I253" s="4"/>
      <c r="J253" s="4"/>
      <c r="K253" s="4"/>
      <c r="L253" s="4"/>
      <c r="M253" s="4"/>
      <c r="N253" s="4"/>
      <c r="O253" s="4"/>
      <c r="P253" s="4"/>
      <c r="Q253" s="4"/>
      <c r="R253" s="4"/>
      <c r="S253" s="4"/>
      <c r="T253" s="4"/>
      <c r="U253" s="4"/>
      <c r="V253" s="4"/>
      <c r="W253" s="4"/>
      <c r="X253" s="4"/>
      <c r="Y253" s="4"/>
      <c r="Z253" s="4"/>
      <c r="AA253" s="21"/>
    </row>
    <row r="254">
      <c r="A254" s="4"/>
      <c r="B254" s="4"/>
      <c r="C254" s="4"/>
      <c r="D254" s="26"/>
      <c r="E254" s="4"/>
      <c r="F254" s="4"/>
      <c r="G254" s="4"/>
      <c r="H254" s="4"/>
      <c r="I254" s="4"/>
      <c r="J254" s="4"/>
      <c r="K254" s="4"/>
      <c r="L254" s="4"/>
      <c r="M254" s="4"/>
      <c r="N254" s="4"/>
      <c r="O254" s="4"/>
      <c r="P254" s="4"/>
      <c r="Q254" s="4"/>
      <c r="R254" s="4"/>
      <c r="S254" s="4"/>
      <c r="T254" s="4"/>
      <c r="U254" s="4"/>
      <c r="V254" s="4"/>
      <c r="W254" s="4"/>
      <c r="X254" s="4"/>
      <c r="Y254" s="4"/>
      <c r="Z254" s="4"/>
      <c r="AA254" s="21"/>
    </row>
    <row r="255">
      <c r="A255" s="4"/>
      <c r="B255" s="4"/>
      <c r="C255" s="4"/>
      <c r="D255" s="26"/>
      <c r="E255" s="4"/>
      <c r="F255" s="4"/>
      <c r="G255" s="4"/>
      <c r="H255" s="4"/>
      <c r="I255" s="4"/>
      <c r="J255" s="4"/>
      <c r="K255" s="4"/>
      <c r="L255" s="4"/>
      <c r="M255" s="4"/>
      <c r="N255" s="4"/>
      <c r="O255" s="4"/>
      <c r="P255" s="4"/>
      <c r="Q255" s="4"/>
      <c r="R255" s="4"/>
      <c r="S255" s="4"/>
      <c r="T255" s="4"/>
      <c r="U255" s="4"/>
      <c r="V255" s="4"/>
      <c r="W255" s="4"/>
      <c r="X255" s="4"/>
      <c r="Y255" s="4"/>
      <c r="Z255" s="4"/>
      <c r="AA255" s="21"/>
    </row>
    <row r="256">
      <c r="A256" s="4"/>
      <c r="B256" s="4"/>
      <c r="C256" s="4"/>
      <c r="D256" s="26"/>
      <c r="E256" s="4"/>
      <c r="F256" s="4"/>
      <c r="G256" s="4"/>
      <c r="H256" s="4"/>
      <c r="I256" s="4"/>
      <c r="J256" s="4"/>
      <c r="K256" s="4"/>
      <c r="L256" s="4"/>
      <c r="M256" s="4"/>
      <c r="N256" s="4"/>
      <c r="O256" s="4"/>
      <c r="P256" s="4"/>
      <c r="Q256" s="4"/>
      <c r="R256" s="4"/>
      <c r="S256" s="4"/>
      <c r="T256" s="4"/>
      <c r="U256" s="4"/>
      <c r="V256" s="4"/>
      <c r="W256" s="4"/>
      <c r="X256" s="4"/>
      <c r="Y256" s="4"/>
      <c r="Z256" s="4"/>
      <c r="AA256" s="21"/>
    </row>
    <row r="257">
      <c r="A257" s="4"/>
      <c r="B257" s="4"/>
      <c r="C257" s="4"/>
      <c r="D257" s="26"/>
      <c r="E257" s="4"/>
      <c r="F257" s="4"/>
      <c r="G257" s="4"/>
      <c r="H257" s="4"/>
      <c r="I257" s="4"/>
      <c r="J257" s="4"/>
      <c r="K257" s="4"/>
      <c r="L257" s="4"/>
      <c r="M257" s="4"/>
      <c r="N257" s="4"/>
      <c r="O257" s="4"/>
      <c r="P257" s="4"/>
      <c r="Q257" s="4"/>
      <c r="R257" s="4"/>
      <c r="S257" s="4"/>
      <c r="T257" s="4"/>
      <c r="U257" s="4"/>
      <c r="V257" s="4"/>
      <c r="W257" s="4"/>
      <c r="X257" s="4"/>
      <c r="Y257" s="4"/>
      <c r="Z257" s="4"/>
      <c r="AA257" s="21"/>
    </row>
    <row r="258">
      <c r="A258" s="4"/>
      <c r="B258" s="4"/>
      <c r="C258" s="4"/>
      <c r="D258" s="26"/>
      <c r="E258" s="4"/>
      <c r="F258" s="4"/>
      <c r="G258" s="4"/>
      <c r="H258" s="4"/>
      <c r="I258" s="4"/>
      <c r="J258" s="4"/>
      <c r="K258" s="4"/>
      <c r="L258" s="4"/>
      <c r="M258" s="4"/>
      <c r="N258" s="4"/>
      <c r="O258" s="4"/>
      <c r="P258" s="4"/>
      <c r="Q258" s="4"/>
      <c r="R258" s="4"/>
      <c r="S258" s="4"/>
      <c r="T258" s="4"/>
      <c r="U258" s="4"/>
      <c r="V258" s="4"/>
      <c r="W258" s="4"/>
      <c r="X258" s="4"/>
      <c r="Y258" s="4"/>
      <c r="Z258" s="4"/>
      <c r="AA258" s="21"/>
    </row>
    <row r="259">
      <c r="A259" s="4"/>
      <c r="B259" s="4"/>
      <c r="C259" s="4"/>
      <c r="D259" s="26"/>
      <c r="E259" s="4"/>
      <c r="F259" s="4"/>
      <c r="G259" s="4"/>
      <c r="H259" s="4"/>
      <c r="I259" s="4"/>
      <c r="J259" s="4"/>
      <c r="K259" s="4"/>
      <c r="L259" s="4"/>
      <c r="M259" s="4"/>
      <c r="N259" s="4"/>
      <c r="O259" s="4"/>
      <c r="P259" s="4"/>
      <c r="Q259" s="4"/>
      <c r="R259" s="4"/>
      <c r="S259" s="4"/>
      <c r="T259" s="4"/>
      <c r="U259" s="4"/>
      <c r="V259" s="4"/>
      <c r="W259" s="4"/>
      <c r="X259" s="4"/>
      <c r="Y259" s="4"/>
      <c r="Z259" s="4"/>
      <c r="AA259" s="21"/>
    </row>
    <row r="260">
      <c r="A260" s="4"/>
      <c r="B260" s="4"/>
      <c r="C260" s="4"/>
      <c r="D260" s="26"/>
      <c r="E260" s="4"/>
      <c r="F260" s="4"/>
      <c r="G260" s="4"/>
      <c r="H260" s="4"/>
      <c r="I260" s="4"/>
      <c r="J260" s="4"/>
      <c r="K260" s="4"/>
      <c r="L260" s="4"/>
      <c r="M260" s="4"/>
      <c r="N260" s="4"/>
      <c r="O260" s="4"/>
      <c r="P260" s="4"/>
      <c r="Q260" s="4"/>
      <c r="R260" s="4"/>
      <c r="S260" s="4"/>
      <c r="T260" s="4"/>
      <c r="U260" s="4"/>
      <c r="V260" s="4"/>
      <c r="W260" s="4"/>
      <c r="X260" s="4"/>
      <c r="Y260" s="4"/>
      <c r="Z260" s="4"/>
      <c r="AA260" s="21"/>
    </row>
    <row r="261">
      <c r="A261" s="4"/>
      <c r="B261" s="4"/>
      <c r="C261" s="4"/>
      <c r="D261" s="26"/>
      <c r="E261" s="4"/>
      <c r="F261" s="4"/>
      <c r="G261" s="4"/>
      <c r="H261" s="4"/>
      <c r="I261" s="4"/>
      <c r="J261" s="4"/>
      <c r="K261" s="4"/>
      <c r="L261" s="4"/>
      <c r="M261" s="4"/>
      <c r="N261" s="4"/>
      <c r="O261" s="4"/>
      <c r="P261" s="4"/>
      <c r="Q261" s="4"/>
      <c r="R261" s="4"/>
      <c r="S261" s="4"/>
      <c r="T261" s="4"/>
      <c r="U261" s="4"/>
      <c r="V261" s="4"/>
      <c r="W261" s="4"/>
      <c r="X261" s="4"/>
      <c r="Y261" s="4"/>
      <c r="Z261" s="4"/>
      <c r="AA261" s="21"/>
    </row>
    <row r="262">
      <c r="A262" s="4"/>
      <c r="B262" s="4"/>
      <c r="C262" s="4"/>
      <c r="D262" s="26"/>
      <c r="E262" s="4"/>
      <c r="F262" s="4"/>
      <c r="G262" s="4"/>
      <c r="H262" s="4"/>
      <c r="I262" s="4"/>
      <c r="J262" s="4"/>
      <c r="K262" s="4"/>
      <c r="L262" s="4"/>
      <c r="M262" s="4"/>
      <c r="N262" s="4"/>
      <c r="O262" s="4"/>
      <c r="P262" s="4"/>
      <c r="Q262" s="4"/>
      <c r="R262" s="4"/>
      <c r="S262" s="4"/>
      <c r="T262" s="4"/>
      <c r="U262" s="4"/>
      <c r="V262" s="4"/>
      <c r="W262" s="4"/>
      <c r="X262" s="4"/>
      <c r="Y262" s="4"/>
      <c r="Z262" s="4"/>
      <c r="AA262" s="21"/>
    </row>
    <row r="263">
      <c r="A263" s="4"/>
      <c r="B263" s="4"/>
      <c r="C263" s="4"/>
      <c r="D263" s="26"/>
      <c r="E263" s="4"/>
      <c r="F263" s="4"/>
      <c r="G263" s="4"/>
      <c r="H263" s="4"/>
      <c r="I263" s="4"/>
      <c r="J263" s="4"/>
      <c r="K263" s="4"/>
      <c r="L263" s="4"/>
      <c r="M263" s="4"/>
      <c r="N263" s="4"/>
      <c r="O263" s="4"/>
      <c r="P263" s="4"/>
      <c r="Q263" s="4"/>
      <c r="R263" s="4"/>
      <c r="S263" s="4"/>
      <c r="T263" s="4"/>
      <c r="U263" s="4"/>
      <c r="V263" s="4"/>
      <c r="W263" s="4"/>
      <c r="X263" s="4"/>
      <c r="Y263" s="4"/>
      <c r="Z263" s="4"/>
      <c r="AA263" s="21"/>
    </row>
    <row r="264">
      <c r="A264" s="4"/>
      <c r="B264" s="4"/>
      <c r="C264" s="4"/>
      <c r="D264" s="26"/>
      <c r="E264" s="4"/>
      <c r="F264" s="4"/>
      <c r="G264" s="4"/>
      <c r="H264" s="4"/>
      <c r="I264" s="4"/>
      <c r="J264" s="4"/>
      <c r="K264" s="4"/>
      <c r="L264" s="4"/>
      <c r="M264" s="4"/>
      <c r="N264" s="4"/>
      <c r="O264" s="4"/>
      <c r="P264" s="4"/>
      <c r="Q264" s="4"/>
      <c r="R264" s="4"/>
      <c r="S264" s="4"/>
      <c r="T264" s="4"/>
      <c r="U264" s="4"/>
      <c r="V264" s="4"/>
      <c r="W264" s="4"/>
      <c r="X264" s="4"/>
      <c r="Y264" s="4"/>
      <c r="Z264" s="4"/>
      <c r="AA264" s="21"/>
    </row>
    <row r="265">
      <c r="A265" s="4"/>
      <c r="B265" s="4"/>
      <c r="C265" s="4"/>
      <c r="D265" s="26"/>
      <c r="E265" s="4"/>
      <c r="F265" s="4"/>
      <c r="G265" s="4"/>
      <c r="H265" s="4"/>
      <c r="I265" s="4"/>
      <c r="J265" s="4"/>
      <c r="K265" s="4"/>
      <c r="L265" s="4"/>
      <c r="M265" s="4"/>
      <c r="N265" s="4"/>
      <c r="O265" s="4"/>
      <c r="P265" s="4"/>
      <c r="Q265" s="4"/>
      <c r="R265" s="4"/>
      <c r="S265" s="4"/>
      <c r="T265" s="4"/>
      <c r="U265" s="4"/>
      <c r="V265" s="4"/>
      <c r="W265" s="4"/>
      <c r="X265" s="4"/>
      <c r="Y265" s="4"/>
      <c r="Z265" s="4"/>
      <c r="AA265" s="21"/>
    </row>
    <row r="266">
      <c r="A266" s="4"/>
      <c r="B266" s="4"/>
      <c r="C266" s="4"/>
      <c r="D266" s="26"/>
      <c r="E266" s="4"/>
      <c r="F266" s="4"/>
      <c r="G266" s="4"/>
      <c r="H266" s="4"/>
      <c r="I266" s="4"/>
      <c r="J266" s="4"/>
      <c r="K266" s="4"/>
      <c r="L266" s="4"/>
      <c r="M266" s="4"/>
      <c r="N266" s="4"/>
      <c r="O266" s="4"/>
      <c r="P266" s="4"/>
      <c r="Q266" s="4"/>
      <c r="R266" s="4"/>
      <c r="S266" s="4"/>
      <c r="T266" s="4"/>
      <c r="U266" s="4"/>
      <c r="V266" s="4"/>
      <c r="W266" s="4"/>
      <c r="X266" s="4"/>
      <c r="Y266" s="4"/>
      <c r="Z266" s="4"/>
      <c r="AA266" s="21"/>
    </row>
    <row r="267">
      <c r="A267" s="4"/>
      <c r="B267" s="4"/>
      <c r="C267" s="4"/>
      <c r="D267" s="26"/>
      <c r="E267" s="4"/>
      <c r="F267" s="4"/>
      <c r="G267" s="4"/>
      <c r="H267" s="4"/>
      <c r="I267" s="4"/>
      <c r="J267" s="4"/>
      <c r="K267" s="4"/>
      <c r="L267" s="4"/>
      <c r="M267" s="4"/>
      <c r="N267" s="4"/>
      <c r="O267" s="4"/>
      <c r="P267" s="4"/>
      <c r="Q267" s="4"/>
      <c r="R267" s="4"/>
      <c r="S267" s="4"/>
      <c r="T267" s="4"/>
      <c r="U267" s="4"/>
      <c r="V267" s="4"/>
      <c r="W267" s="4"/>
      <c r="X267" s="4"/>
      <c r="Y267" s="4"/>
      <c r="Z267" s="4"/>
      <c r="AA267" s="21"/>
    </row>
    <row r="268">
      <c r="A268" s="4"/>
      <c r="B268" s="4"/>
      <c r="C268" s="4"/>
      <c r="D268" s="26"/>
      <c r="E268" s="4"/>
      <c r="F268" s="4"/>
      <c r="G268" s="4"/>
      <c r="H268" s="4"/>
      <c r="I268" s="4"/>
      <c r="J268" s="4"/>
      <c r="K268" s="4"/>
      <c r="L268" s="4"/>
      <c r="M268" s="4"/>
      <c r="N268" s="4"/>
      <c r="O268" s="4"/>
      <c r="P268" s="4"/>
      <c r="Q268" s="4"/>
      <c r="R268" s="4"/>
      <c r="S268" s="4"/>
      <c r="T268" s="4"/>
      <c r="U268" s="4"/>
      <c r="V268" s="4"/>
      <c r="W268" s="4"/>
      <c r="X268" s="4"/>
      <c r="Y268" s="4"/>
      <c r="Z268" s="4"/>
      <c r="AA268" s="21"/>
    </row>
    <row r="269">
      <c r="A269" s="4"/>
      <c r="B269" s="4"/>
      <c r="C269" s="4"/>
      <c r="D269" s="26"/>
      <c r="E269" s="4"/>
      <c r="F269" s="4"/>
      <c r="G269" s="4"/>
      <c r="H269" s="4"/>
      <c r="I269" s="4"/>
      <c r="J269" s="4"/>
      <c r="K269" s="4"/>
      <c r="L269" s="4"/>
      <c r="M269" s="4"/>
      <c r="N269" s="4"/>
      <c r="O269" s="4"/>
      <c r="P269" s="4"/>
      <c r="Q269" s="4"/>
      <c r="R269" s="4"/>
      <c r="S269" s="4"/>
      <c r="T269" s="4"/>
      <c r="U269" s="4"/>
      <c r="V269" s="4"/>
      <c r="W269" s="4"/>
      <c r="X269" s="4"/>
      <c r="Y269" s="4"/>
      <c r="Z269" s="4"/>
      <c r="AA269" s="21"/>
    </row>
    <row r="270">
      <c r="A270" s="4"/>
      <c r="B270" s="4"/>
      <c r="C270" s="4"/>
      <c r="D270" s="26"/>
      <c r="E270" s="4"/>
      <c r="F270" s="4"/>
      <c r="G270" s="4"/>
      <c r="H270" s="4"/>
      <c r="I270" s="4"/>
      <c r="J270" s="4"/>
      <c r="K270" s="4"/>
      <c r="L270" s="4"/>
      <c r="M270" s="4"/>
      <c r="N270" s="4"/>
      <c r="O270" s="4"/>
      <c r="P270" s="4"/>
      <c r="Q270" s="4"/>
      <c r="R270" s="4"/>
      <c r="S270" s="4"/>
      <c r="T270" s="4"/>
      <c r="U270" s="4"/>
      <c r="V270" s="4"/>
      <c r="W270" s="4"/>
      <c r="X270" s="4"/>
      <c r="Y270" s="4"/>
      <c r="Z270" s="4"/>
      <c r="AA270" s="21"/>
    </row>
    <row r="271">
      <c r="A271" s="4"/>
      <c r="B271" s="4"/>
      <c r="C271" s="4"/>
      <c r="D271" s="26"/>
      <c r="E271" s="4"/>
      <c r="F271" s="4"/>
      <c r="G271" s="4"/>
      <c r="H271" s="4"/>
      <c r="I271" s="4"/>
      <c r="J271" s="4"/>
      <c r="K271" s="4"/>
      <c r="L271" s="4"/>
      <c r="M271" s="4"/>
      <c r="N271" s="4"/>
      <c r="O271" s="4"/>
      <c r="P271" s="4"/>
      <c r="Q271" s="4"/>
      <c r="R271" s="4"/>
      <c r="S271" s="4"/>
      <c r="T271" s="4"/>
      <c r="U271" s="4"/>
      <c r="V271" s="4"/>
      <c r="W271" s="4"/>
      <c r="X271" s="4"/>
      <c r="Y271" s="4"/>
      <c r="Z271" s="4"/>
      <c r="AA271" s="21"/>
    </row>
    <row r="272">
      <c r="A272" s="4"/>
      <c r="B272" s="4"/>
      <c r="C272" s="4"/>
      <c r="D272" s="26"/>
      <c r="E272" s="4"/>
      <c r="F272" s="4"/>
      <c r="G272" s="4"/>
      <c r="H272" s="4"/>
      <c r="I272" s="4"/>
      <c r="J272" s="4"/>
      <c r="K272" s="4"/>
      <c r="L272" s="4"/>
      <c r="M272" s="4"/>
      <c r="N272" s="4"/>
      <c r="O272" s="4"/>
      <c r="P272" s="4"/>
      <c r="Q272" s="4"/>
      <c r="R272" s="4"/>
      <c r="S272" s="4"/>
      <c r="T272" s="4"/>
      <c r="U272" s="4"/>
      <c r="V272" s="4"/>
      <c r="W272" s="4"/>
      <c r="X272" s="4"/>
      <c r="Y272" s="4"/>
      <c r="Z272" s="4"/>
      <c r="AA272" s="21"/>
    </row>
    <row r="273">
      <c r="A273" s="4"/>
      <c r="B273" s="4"/>
      <c r="C273" s="4"/>
      <c r="D273" s="26"/>
      <c r="E273" s="4"/>
      <c r="F273" s="4"/>
      <c r="G273" s="4"/>
      <c r="H273" s="4"/>
      <c r="I273" s="4"/>
      <c r="J273" s="4"/>
      <c r="K273" s="4"/>
      <c r="L273" s="4"/>
      <c r="M273" s="4"/>
      <c r="N273" s="4"/>
      <c r="O273" s="4"/>
      <c r="P273" s="4"/>
      <c r="Q273" s="4"/>
      <c r="R273" s="4"/>
      <c r="S273" s="4"/>
      <c r="T273" s="4"/>
      <c r="U273" s="4"/>
      <c r="V273" s="4"/>
      <c r="W273" s="4"/>
      <c r="X273" s="4"/>
      <c r="Y273" s="4"/>
      <c r="Z273" s="4"/>
      <c r="AA273" s="21"/>
    </row>
    <row r="274">
      <c r="A274" s="4"/>
      <c r="B274" s="4"/>
      <c r="C274" s="4"/>
      <c r="D274" s="26"/>
      <c r="E274" s="4"/>
      <c r="F274" s="4"/>
      <c r="G274" s="4"/>
      <c r="H274" s="4"/>
      <c r="I274" s="4"/>
      <c r="J274" s="4"/>
      <c r="K274" s="4"/>
      <c r="L274" s="4"/>
      <c r="M274" s="4"/>
      <c r="N274" s="4"/>
      <c r="O274" s="4"/>
      <c r="P274" s="4"/>
      <c r="Q274" s="4"/>
      <c r="R274" s="4"/>
      <c r="S274" s="4"/>
      <c r="T274" s="4"/>
      <c r="U274" s="4"/>
      <c r="V274" s="4"/>
      <c r="W274" s="4"/>
      <c r="X274" s="4"/>
      <c r="Y274" s="4"/>
      <c r="Z274" s="4"/>
      <c r="AA274" s="21"/>
    </row>
    <row r="275">
      <c r="A275" s="4"/>
      <c r="B275" s="4"/>
      <c r="C275" s="4"/>
      <c r="D275" s="26"/>
      <c r="E275" s="4"/>
      <c r="F275" s="4"/>
      <c r="G275" s="4"/>
      <c r="H275" s="4"/>
      <c r="I275" s="4"/>
      <c r="J275" s="4"/>
      <c r="K275" s="4"/>
      <c r="L275" s="4"/>
      <c r="M275" s="4"/>
      <c r="N275" s="4"/>
      <c r="O275" s="4"/>
      <c r="P275" s="4"/>
      <c r="Q275" s="4"/>
      <c r="R275" s="4"/>
      <c r="S275" s="4"/>
      <c r="T275" s="4"/>
      <c r="U275" s="4"/>
      <c r="V275" s="4"/>
      <c r="W275" s="4"/>
      <c r="X275" s="4"/>
      <c r="Y275" s="4"/>
      <c r="Z275" s="4"/>
      <c r="AA275" s="21"/>
    </row>
    <row r="276">
      <c r="A276" s="4"/>
      <c r="B276" s="4"/>
      <c r="C276" s="4"/>
      <c r="D276" s="26"/>
      <c r="E276" s="4"/>
      <c r="F276" s="4"/>
      <c r="G276" s="4"/>
      <c r="H276" s="4"/>
      <c r="I276" s="4"/>
      <c r="J276" s="4"/>
      <c r="K276" s="4"/>
      <c r="L276" s="4"/>
      <c r="M276" s="4"/>
      <c r="N276" s="4"/>
      <c r="O276" s="4"/>
      <c r="P276" s="4"/>
      <c r="Q276" s="4"/>
      <c r="R276" s="4"/>
      <c r="S276" s="4"/>
      <c r="T276" s="4"/>
      <c r="U276" s="4"/>
      <c r="V276" s="4"/>
      <c r="W276" s="4"/>
      <c r="X276" s="4"/>
      <c r="Y276" s="4"/>
      <c r="Z276" s="4"/>
      <c r="AA276" s="21"/>
    </row>
    <row r="277">
      <c r="A277" s="4"/>
      <c r="B277" s="4"/>
      <c r="C277" s="4"/>
      <c r="D277" s="26"/>
      <c r="E277" s="4"/>
      <c r="F277" s="4"/>
      <c r="G277" s="4"/>
      <c r="H277" s="4"/>
      <c r="I277" s="4"/>
      <c r="J277" s="4"/>
      <c r="K277" s="4"/>
      <c r="L277" s="4"/>
      <c r="M277" s="4"/>
      <c r="N277" s="4"/>
      <c r="O277" s="4"/>
      <c r="P277" s="4"/>
      <c r="Q277" s="4"/>
      <c r="R277" s="4"/>
      <c r="S277" s="4"/>
      <c r="T277" s="4"/>
      <c r="U277" s="4"/>
      <c r="V277" s="4"/>
      <c r="W277" s="4"/>
      <c r="X277" s="4"/>
      <c r="Y277" s="4"/>
      <c r="Z277" s="4"/>
      <c r="AA277" s="21"/>
    </row>
    <row r="278">
      <c r="A278" s="4"/>
      <c r="B278" s="4"/>
      <c r="C278" s="4"/>
      <c r="D278" s="26"/>
      <c r="E278" s="4"/>
      <c r="F278" s="4"/>
      <c r="G278" s="4"/>
      <c r="H278" s="4"/>
      <c r="I278" s="4"/>
      <c r="J278" s="4"/>
      <c r="K278" s="4"/>
      <c r="L278" s="4"/>
      <c r="M278" s="4"/>
      <c r="N278" s="4"/>
      <c r="O278" s="4"/>
      <c r="P278" s="4"/>
      <c r="Q278" s="4"/>
      <c r="R278" s="4"/>
      <c r="S278" s="4"/>
      <c r="T278" s="4"/>
      <c r="U278" s="4"/>
      <c r="V278" s="4"/>
      <c r="W278" s="4"/>
      <c r="X278" s="4"/>
      <c r="Y278" s="4"/>
      <c r="Z278" s="4"/>
      <c r="AA278" s="21"/>
    </row>
    <row r="279">
      <c r="A279" s="4"/>
      <c r="B279" s="4"/>
      <c r="C279" s="4"/>
      <c r="D279" s="26"/>
      <c r="E279" s="4"/>
      <c r="F279" s="4"/>
      <c r="G279" s="4"/>
      <c r="H279" s="4"/>
      <c r="I279" s="4"/>
      <c r="J279" s="4"/>
      <c r="K279" s="4"/>
      <c r="L279" s="4"/>
      <c r="M279" s="4"/>
      <c r="N279" s="4"/>
      <c r="O279" s="4"/>
      <c r="P279" s="4"/>
      <c r="Q279" s="4"/>
      <c r="R279" s="4"/>
      <c r="S279" s="4"/>
      <c r="T279" s="4"/>
      <c r="U279" s="4"/>
      <c r="V279" s="4"/>
      <c r="W279" s="4"/>
      <c r="X279" s="4"/>
      <c r="Y279" s="4"/>
      <c r="Z279" s="4"/>
      <c r="AA279" s="21"/>
    </row>
    <row r="280">
      <c r="A280" s="4"/>
      <c r="B280" s="4"/>
      <c r="C280" s="4"/>
      <c r="D280" s="26"/>
      <c r="E280" s="4"/>
      <c r="F280" s="4"/>
      <c r="G280" s="4"/>
      <c r="H280" s="4"/>
      <c r="I280" s="4"/>
      <c r="J280" s="4"/>
      <c r="K280" s="4"/>
      <c r="L280" s="4"/>
      <c r="M280" s="4"/>
      <c r="N280" s="4"/>
      <c r="O280" s="4"/>
      <c r="P280" s="4"/>
      <c r="Q280" s="4"/>
      <c r="R280" s="4"/>
      <c r="S280" s="4"/>
      <c r="T280" s="4"/>
      <c r="U280" s="4"/>
      <c r="V280" s="4"/>
      <c r="W280" s="4"/>
      <c r="X280" s="4"/>
      <c r="Y280" s="4"/>
      <c r="Z280" s="4"/>
      <c r="AA280" s="21"/>
    </row>
    <row r="281">
      <c r="A281" s="4"/>
      <c r="B281" s="4"/>
      <c r="C281" s="4"/>
      <c r="D281" s="26"/>
      <c r="E281" s="4"/>
      <c r="F281" s="4"/>
      <c r="G281" s="4"/>
      <c r="H281" s="4"/>
      <c r="I281" s="4"/>
      <c r="J281" s="4"/>
      <c r="K281" s="4"/>
      <c r="L281" s="4"/>
      <c r="M281" s="4"/>
      <c r="N281" s="4"/>
      <c r="O281" s="4"/>
      <c r="P281" s="4"/>
      <c r="Q281" s="4"/>
      <c r="R281" s="4"/>
      <c r="S281" s="4"/>
      <c r="T281" s="4"/>
      <c r="U281" s="4"/>
      <c r="V281" s="4"/>
      <c r="W281" s="4"/>
      <c r="X281" s="4"/>
      <c r="Y281" s="4"/>
      <c r="Z281" s="4"/>
      <c r="AA281" s="21"/>
    </row>
    <row r="282">
      <c r="A282" s="4"/>
      <c r="B282" s="4"/>
      <c r="C282" s="4"/>
      <c r="D282" s="26"/>
      <c r="E282" s="4"/>
      <c r="F282" s="4"/>
      <c r="G282" s="4"/>
      <c r="H282" s="4"/>
      <c r="I282" s="4"/>
      <c r="J282" s="4"/>
      <c r="K282" s="4"/>
      <c r="L282" s="4"/>
      <c r="M282" s="4"/>
      <c r="N282" s="4"/>
      <c r="O282" s="4"/>
      <c r="P282" s="4"/>
      <c r="Q282" s="4"/>
      <c r="R282" s="4"/>
      <c r="S282" s="4"/>
      <c r="T282" s="4"/>
      <c r="U282" s="4"/>
      <c r="V282" s="4"/>
      <c r="W282" s="4"/>
      <c r="X282" s="4"/>
      <c r="Y282" s="4"/>
      <c r="Z282" s="4"/>
      <c r="AA282" s="21"/>
    </row>
    <row r="283">
      <c r="A283" s="4"/>
      <c r="B283" s="4"/>
      <c r="C283" s="4"/>
      <c r="D283" s="26"/>
      <c r="E283" s="4"/>
      <c r="F283" s="4"/>
      <c r="G283" s="4"/>
      <c r="H283" s="4"/>
      <c r="I283" s="4"/>
      <c r="J283" s="4"/>
      <c r="K283" s="4"/>
      <c r="L283" s="4"/>
      <c r="M283" s="4"/>
      <c r="N283" s="4"/>
      <c r="O283" s="4"/>
      <c r="P283" s="4"/>
      <c r="Q283" s="4"/>
      <c r="R283" s="4"/>
      <c r="S283" s="4"/>
      <c r="T283" s="4"/>
      <c r="U283" s="4"/>
      <c r="V283" s="4"/>
      <c r="W283" s="4"/>
      <c r="X283" s="4"/>
      <c r="Y283" s="4"/>
      <c r="Z283" s="4"/>
      <c r="AA283" s="21"/>
    </row>
    <row r="284">
      <c r="A284" s="4"/>
      <c r="B284" s="4"/>
      <c r="C284" s="4"/>
      <c r="D284" s="26"/>
      <c r="E284" s="4"/>
      <c r="F284" s="4"/>
      <c r="G284" s="4"/>
      <c r="H284" s="4"/>
      <c r="I284" s="4"/>
      <c r="J284" s="4"/>
      <c r="K284" s="4"/>
      <c r="L284" s="4"/>
      <c r="M284" s="4"/>
      <c r="N284" s="4"/>
      <c r="O284" s="4"/>
      <c r="P284" s="4"/>
      <c r="Q284" s="4"/>
      <c r="R284" s="4"/>
      <c r="S284" s="4"/>
      <c r="T284" s="4"/>
      <c r="U284" s="4"/>
      <c r="V284" s="4"/>
      <c r="W284" s="4"/>
      <c r="X284" s="4"/>
      <c r="Y284" s="4"/>
      <c r="Z284" s="4"/>
      <c r="AA284" s="21"/>
    </row>
    <row r="285">
      <c r="A285" s="4"/>
      <c r="B285" s="4"/>
      <c r="C285" s="4"/>
      <c r="D285" s="26"/>
      <c r="E285" s="4"/>
      <c r="F285" s="4"/>
      <c r="G285" s="4"/>
      <c r="H285" s="4"/>
      <c r="I285" s="4"/>
      <c r="J285" s="4"/>
      <c r="K285" s="4"/>
      <c r="L285" s="4"/>
      <c r="M285" s="4"/>
      <c r="N285" s="4"/>
      <c r="O285" s="4"/>
      <c r="P285" s="4"/>
      <c r="Q285" s="4"/>
      <c r="R285" s="4"/>
      <c r="S285" s="4"/>
      <c r="T285" s="4"/>
      <c r="U285" s="4"/>
      <c r="V285" s="4"/>
      <c r="W285" s="4"/>
      <c r="X285" s="4"/>
      <c r="Y285" s="4"/>
      <c r="Z285" s="4"/>
      <c r="AA285" s="21"/>
    </row>
    <row r="286">
      <c r="A286" s="4"/>
      <c r="B286" s="4"/>
      <c r="C286" s="4"/>
      <c r="D286" s="26"/>
      <c r="E286" s="4"/>
      <c r="F286" s="4"/>
      <c r="G286" s="4"/>
      <c r="H286" s="4"/>
      <c r="I286" s="4"/>
      <c r="J286" s="4"/>
      <c r="K286" s="4"/>
      <c r="L286" s="4"/>
      <c r="M286" s="4"/>
      <c r="N286" s="4"/>
      <c r="O286" s="4"/>
      <c r="P286" s="4"/>
      <c r="Q286" s="4"/>
      <c r="R286" s="4"/>
      <c r="S286" s="4"/>
      <c r="T286" s="4"/>
      <c r="U286" s="4"/>
      <c r="V286" s="4"/>
      <c r="W286" s="4"/>
      <c r="X286" s="4"/>
      <c r="Y286" s="4"/>
      <c r="Z286" s="4"/>
      <c r="AA286" s="21"/>
    </row>
    <row r="287">
      <c r="A287" s="4"/>
      <c r="B287" s="4"/>
      <c r="C287" s="4"/>
      <c r="D287" s="26"/>
      <c r="E287" s="4"/>
      <c r="F287" s="4"/>
      <c r="G287" s="4"/>
      <c r="H287" s="4"/>
      <c r="I287" s="4"/>
      <c r="J287" s="4"/>
      <c r="K287" s="4"/>
      <c r="L287" s="4"/>
      <c r="M287" s="4"/>
      <c r="N287" s="4"/>
      <c r="O287" s="4"/>
      <c r="P287" s="4"/>
      <c r="Q287" s="4"/>
      <c r="R287" s="4"/>
      <c r="S287" s="4"/>
      <c r="T287" s="4"/>
      <c r="U287" s="4"/>
      <c r="V287" s="4"/>
      <c r="W287" s="4"/>
      <c r="X287" s="4"/>
      <c r="Y287" s="4"/>
      <c r="Z287" s="4"/>
      <c r="AA287" s="21"/>
    </row>
    <row r="288">
      <c r="A288" s="4"/>
      <c r="B288" s="4"/>
      <c r="C288" s="4"/>
      <c r="D288" s="26"/>
      <c r="E288" s="4"/>
      <c r="F288" s="4"/>
      <c r="G288" s="4"/>
      <c r="H288" s="4"/>
      <c r="I288" s="4"/>
      <c r="J288" s="4"/>
      <c r="K288" s="4"/>
      <c r="L288" s="4"/>
      <c r="M288" s="4"/>
      <c r="N288" s="4"/>
      <c r="O288" s="4"/>
      <c r="P288" s="4"/>
      <c r="Q288" s="4"/>
      <c r="R288" s="4"/>
      <c r="S288" s="4"/>
      <c r="T288" s="4"/>
      <c r="U288" s="4"/>
      <c r="V288" s="4"/>
      <c r="W288" s="4"/>
      <c r="X288" s="4"/>
      <c r="Y288" s="4"/>
      <c r="Z288" s="4"/>
      <c r="AA288" s="21"/>
    </row>
    <row r="289">
      <c r="A289" s="4"/>
      <c r="B289" s="4"/>
      <c r="C289" s="4"/>
      <c r="D289" s="26"/>
      <c r="E289" s="4"/>
      <c r="F289" s="4"/>
      <c r="G289" s="4"/>
      <c r="H289" s="4"/>
      <c r="I289" s="4"/>
      <c r="J289" s="4"/>
      <c r="K289" s="4"/>
      <c r="L289" s="4"/>
      <c r="M289" s="4"/>
      <c r="N289" s="4"/>
      <c r="O289" s="4"/>
      <c r="P289" s="4"/>
      <c r="Q289" s="4"/>
      <c r="R289" s="4"/>
      <c r="S289" s="4"/>
      <c r="T289" s="4"/>
      <c r="U289" s="4"/>
      <c r="V289" s="4"/>
      <c r="W289" s="4"/>
      <c r="X289" s="4"/>
      <c r="Y289" s="4"/>
      <c r="Z289" s="4"/>
      <c r="AA289" s="21"/>
    </row>
    <row r="290">
      <c r="A290" s="4"/>
      <c r="B290" s="4"/>
      <c r="C290" s="4"/>
      <c r="D290" s="26"/>
      <c r="E290" s="4"/>
      <c r="F290" s="4"/>
      <c r="G290" s="4"/>
      <c r="H290" s="4"/>
      <c r="I290" s="4"/>
      <c r="J290" s="4"/>
      <c r="K290" s="4"/>
      <c r="L290" s="4"/>
      <c r="M290" s="4"/>
      <c r="N290" s="4"/>
      <c r="O290" s="4"/>
      <c r="P290" s="4"/>
      <c r="Q290" s="4"/>
      <c r="R290" s="4"/>
      <c r="S290" s="4"/>
      <c r="T290" s="4"/>
      <c r="U290" s="4"/>
      <c r="V290" s="4"/>
      <c r="W290" s="4"/>
      <c r="X290" s="4"/>
      <c r="Y290" s="4"/>
      <c r="Z290" s="4"/>
      <c r="AA290" s="21"/>
    </row>
    <row r="291">
      <c r="A291" s="4"/>
      <c r="B291" s="4"/>
      <c r="C291" s="4"/>
      <c r="D291" s="26"/>
      <c r="E291" s="4"/>
      <c r="F291" s="4"/>
      <c r="G291" s="4"/>
      <c r="H291" s="4"/>
      <c r="I291" s="4"/>
      <c r="J291" s="4"/>
      <c r="K291" s="4"/>
      <c r="L291" s="4"/>
      <c r="M291" s="4"/>
      <c r="N291" s="4"/>
      <c r="O291" s="4"/>
      <c r="P291" s="4"/>
      <c r="Q291" s="4"/>
      <c r="R291" s="4"/>
      <c r="S291" s="4"/>
      <c r="T291" s="4"/>
      <c r="U291" s="4"/>
      <c r="V291" s="4"/>
      <c r="W291" s="4"/>
      <c r="X291" s="4"/>
      <c r="Y291" s="4"/>
      <c r="Z291" s="4"/>
      <c r="AA291" s="21"/>
    </row>
    <row r="292">
      <c r="A292" s="4"/>
      <c r="B292" s="4"/>
      <c r="C292" s="4"/>
      <c r="D292" s="26"/>
      <c r="E292" s="4"/>
      <c r="F292" s="4"/>
      <c r="G292" s="4"/>
      <c r="H292" s="4"/>
      <c r="I292" s="4"/>
      <c r="J292" s="4"/>
      <c r="K292" s="4"/>
      <c r="L292" s="4"/>
      <c r="M292" s="4"/>
      <c r="N292" s="4"/>
      <c r="O292" s="4"/>
      <c r="P292" s="4"/>
      <c r="Q292" s="4"/>
      <c r="R292" s="4"/>
      <c r="S292" s="4"/>
      <c r="T292" s="4"/>
      <c r="U292" s="4"/>
      <c r="V292" s="4"/>
      <c r="W292" s="4"/>
      <c r="X292" s="4"/>
      <c r="Y292" s="4"/>
      <c r="Z292" s="4"/>
      <c r="AA292" s="21"/>
    </row>
    <row r="293">
      <c r="A293" s="4"/>
      <c r="B293" s="4"/>
      <c r="C293" s="4"/>
      <c r="D293" s="26"/>
      <c r="E293" s="4"/>
      <c r="F293" s="4"/>
      <c r="G293" s="4"/>
      <c r="H293" s="4"/>
      <c r="I293" s="4"/>
      <c r="J293" s="4"/>
      <c r="K293" s="4"/>
      <c r="L293" s="4"/>
      <c r="M293" s="4"/>
      <c r="N293" s="4"/>
      <c r="O293" s="4"/>
      <c r="P293" s="4"/>
      <c r="Q293" s="4"/>
      <c r="R293" s="4"/>
      <c r="S293" s="4"/>
      <c r="T293" s="4"/>
      <c r="U293" s="4"/>
      <c r="V293" s="4"/>
      <c r="W293" s="4"/>
      <c r="X293" s="4"/>
      <c r="Y293" s="4"/>
      <c r="Z293" s="4"/>
      <c r="AA293" s="21"/>
    </row>
    <row r="294">
      <c r="A294" s="4"/>
      <c r="B294" s="4"/>
      <c r="C294" s="4"/>
      <c r="D294" s="26"/>
      <c r="E294" s="4"/>
      <c r="F294" s="4"/>
      <c r="G294" s="4"/>
      <c r="H294" s="4"/>
      <c r="I294" s="4"/>
      <c r="J294" s="4"/>
      <c r="K294" s="4"/>
      <c r="L294" s="4"/>
      <c r="M294" s="4"/>
      <c r="N294" s="4"/>
      <c r="O294" s="4"/>
      <c r="P294" s="4"/>
      <c r="Q294" s="4"/>
      <c r="R294" s="4"/>
      <c r="S294" s="4"/>
      <c r="T294" s="4"/>
      <c r="U294" s="4"/>
      <c r="V294" s="4"/>
      <c r="W294" s="4"/>
      <c r="X294" s="4"/>
      <c r="Y294" s="4"/>
      <c r="Z294" s="4"/>
      <c r="AA294" s="21"/>
    </row>
    <row r="295">
      <c r="A295" s="4"/>
      <c r="B295" s="4"/>
      <c r="C295" s="4"/>
      <c r="D295" s="26"/>
      <c r="E295" s="4"/>
      <c r="F295" s="4"/>
      <c r="G295" s="4"/>
      <c r="H295" s="4"/>
      <c r="I295" s="4"/>
      <c r="J295" s="4"/>
      <c r="K295" s="4"/>
      <c r="L295" s="4"/>
      <c r="M295" s="4"/>
      <c r="N295" s="4"/>
      <c r="O295" s="4"/>
      <c r="P295" s="4"/>
      <c r="Q295" s="4"/>
      <c r="R295" s="4"/>
      <c r="S295" s="4"/>
      <c r="T295" s="4"/>
      <c r="U295" s="4"/>
      <c r="V295" s="4"/>
      <c r="W295" s="4"/>
      <c r="X295" s="4"/>
      <c r="Y295" s="4"/>
      <c r="Z295" s="4"/>
      <c r="AA295" s="21"/>
    </row>
    <row r="296">
      <c r="A296" s="4"/>
      <c r="B296" s="4"/>
      <c r="C296" s="4"/>
      <c r="D296" s="26"/>
      <c r="E296" s="4"/>
      <c r="F296" s="4"/>
      <c r="G296" s="4"/>
      <c r="H296" s="4"/>
      <c r="I296" s="4"/>
      <c r="J296" s="4"/>
      <c r="K296" s="4"/>
      <c r="L296" s="4"/>
      <c r="M296" s="4"/>
      <c r="N296" s="4"/>
      <c r="O296" s="4"/>
      <c r="P296" s="4"/>
      <c r="Q296" s="4"/>
      <c r="R296" s="4"/>
      <c r="S296" s="4"/>
      <c r="T296" s="4"/>
      <c r="U296" s="4"/>
      <c r="V296" s="4"/>
      <c r="W296" s="4"/>
      <c r="X296" s="4"/>
      <c r="Y296" s="4"/>
      <c r="Z296" s="4"/>
      <c r="AA296" s="21"/>
    </row>
    <row r="297">
      <c r="A297" s="4"/>
      <c r="B297" s="4"/>
      <c r="C297" s="4"/>
      <c r="D297" s="26"/>
      <c r="E297" s="4"/>
      <c r="F297" s="4"/>
      <c r="G297" s="4"/>
      <c r="H297" s="4"/>
      <c r="I297" s="4"/>
      <c r="J297" s="4"/>
      <c r="K297" s="4"/>
      <c r="L297" s="4"/>
      <c r="M297" s="4"/>
      <c r="N297" s="4"/>
      <c r="O297" s="4"/>
      <c r="P297" s="4"/>
      <c r="Q297" s="4"/>
      <c r="R297" s="4"/>
      <c r="S297" s="4"/>
      <c r="T297" s="4"/>
      <c r="U297" s="4"/>
      <c r="V297" s="4"/>
      <c r="W297" s="4"/>
      <c r="X297" s="4"/>
      <c r="Y297" s="4"/>
      <c r="Z297" s="4"/>
      <c r="AA297" s="21"/>
    </row>
    <row r="298">
      <c r="A298" s="4"/>
      <c r="B298" s="4"/>
      <c r="C298" s="4"/>
      <c r="D298" s="26"/>
      <c r="E298" s="4"/>
      <c r="F298" s="4"/>
      <c r="G298" s="4"/>
      <c r="H298" s="4"/>
      <c r="I298" s="4"/>
      <c r="J298" s="4"/>
      <c r="K298" s="4"/>
      <c r="L298" s="4"/>
      <c r="M298" s="4"/>
      <c r="N298" s="4"/>
      <c r="O298" s="4"/>
      <c r="P298" s="4"/>
      <c r="Q298" s="4"/>
      <c r="R298" s="4"/>
      <c r="S298" s="4"/>
      <c r="T298" s="4"/>
      <c r="U298" s="4"/>
      <c r="V298" s="4"/>
      <c r="W298" s="4"/>
      <c r="X298" s="4"/>
      <c r="Y298" s="4"/>
      <c r="Z298" s="4"/>
      <c r="AA298" s="21"/>
    </row>
    <row r="299">
      <c r="A299" s="4"/>
      <c r="B299" s="4"/>
      <c r="C299" s="4"/>
      <c r="D299" s="26"/>
      <c r="E299" s="4"/>
      <c r="F299" s="4"/>
      <c r="G299" s="4"/>
      <c r="H299" s="4"/>
      <c r="I299" s="4"/>
      <c r="J299" s="4"/>
      <c r="K299" s="4"/>
      <c r="L299" s="4"/>
      <c r="M299" s="4"/>
      <c r="N299" s="4"/>
      <c r="O299" s="4"/>
      <c r="P299" s="4"/>
      <c r="Q299" s="4"/>
      <c r="R299" s="4"/>
      <c r="S299" s="4"/>
      <c r="T299" s="4"/>
      <c r="U299" s="4"/>
      <c r="V299" s="4"/>
      <c r="W299" s="4"/>
      <c r="X299" s="4"/>
      <c r="Y299" s="4"/>
      <c r="Z299" s="4"/>
      <c r="AA299" s="21"/>
    </row>
    <row r="300">
      <c r="A300" s="4"/>
      <c r="B300" s="4"/>
      <c r="C300" s="4"/>
      <c r="D300" s="26"/>
      <c r="E300" s="4"/>
      <c r="F300" s="4"/>
      <c r="G300" s="4"/>
      <c r="H300" s="4"/>
      <c r="I300" s="4"/>
      <c r="J300" s="4"/>
      <c r="K300" s="4"/>
      <c r="L300" s="4"/>
      <c r="M300" s="4"/>
      <c r="N300" s="4"/>
      <c r="O300" s="4"/>
      <c r="P300" s="4"/>
      <c r="Q300" s="4"/>
      <c r="R300" s="4"/>
      <c r="S300" s="4"/>
      <c r="T300" s="4"/>
      <c r="U300" s="4"/>
      <c r="V300" s="4"/>
      <c r="W300" s="4"/>
      <c r="X300" s="4"/>
      <c r="Y300" s="4"/>
      <c r="Z300" s="4"/>
      <c r="AA300" s="21"/>
    </row>
    <row r="301">
      <c r="A301" s="4"/>
      <c r="B301" s="4"/>
      <c r="C301" s="4"/>
      <c r="D301" s="26"/>
      <c r="E301" s="4"/>
      <c r="F301" s="4"/>
      <c r="G301" s="4"/>
      <c r="H301" s="4"/>
      <c r="I301" s="4"/>
      <c r="J301" s="4"/>
      <c r="K301" s="4"/>
      <c r="L301" s="4"/>
      <c r="M301" s="4"/>
      <c r="N301" s="4"/>
      <c r="O301" s="4"/>
      <c r="P301" s="4"/>
      <c r="Q301" s="4"/>
      <c r="R301" s="4"/>
      <c r="S301" s="4"/>
      <c r="T301" s="4"/>
      <c r="U301" s="4"/>
      <c r="V301" s="4"/>
      <c r="W301" s="4"/>
      <c r="X301" s="4"/>
      <c r="Y301" s="4"/>
      <c r="Z301" s="4"/>
      <c r="AA301" s="21"/>
    </row>
    <row r="302">
      <c r="A302" s="4"/>
      <c r="B302" s="4"/>
      <c r="C302" s="4"/>
      <c r="D302" s="26"/>
      <c r="E302" s="4"/>
      <c r="F302" s="4"/>
      <c r="G302" s="4"/>
      <c r="H302" s="4"/>
      <c r="I302" s="4"/>
      <c r="J302" s="4"/>
      <c r="K302" s="4"/>
      <c r="L302" s="4"/>
      <c r="M302" s="4"/>
      <c r="N302" s="4"/>
      <c r="O302" s="4"/>
      <c r="P302" s="4"/>
      <c r="Q302" s="4"/>
      <c r="R302" s="4"/>
      <c r="S302" s="4"/>
      <c r="T302" s="4"/>
      <c r="U302" s="4"/>
      <c r="V302" s="4"/>
      <c r="W302" s="4"/>
      <c r="X302" s="4"/>
      <c r="Y302" s="4"/>
      <c r="Z302" s="4"/>
      <c r="AA302" s="21"/>
    </row>
    <row r="303">
      <c r="A303" s="4"/>
      <c r="B303" s="4"/>
      <c r="C303" s="4"/>
      <c r="D303" s="26"/>
      <c r="E303" s="4"/>
      <c r="F303" s="4"/>
      <c r="G303" s="4"/>
      <c r="H303" s="4"/>
      <c r="I303" s="4"/>
      <c r="J303" s="4"/>
      <c r="K303" s="4"/>
      <c r="L303" s="4"/>
      <c r="M303" s="4"/>
      <c r="N303" s="4"/>
      <c r="O303" s="4"/>
      <c r="P303" s="4"/>
      <c r="Q303" s="4"/>
      <c r="R303" s="4"/>
      <c r="S303" s="4"/>
      <c r="T303" s="4"/>
      <c r="U303" s="4"/>
      <c r="V303" s="4"/>
      <c r="W303" s="4"/>
      <c r="X303" s="4"/>
      <c r="Y303" s="4"/>
      <c r="Z303" s="4"/>
      <c r="AA303" s="21"/>
    </row>
    <row r="304">
      <c r="A304" s="4"/>
      <c r="B304" s="4"/>
      <c r="C304" s="4"/>
      <c r="D304" s="26"/>
      <c r="E304" s="4"/>
      <c r="F304" s="4"/>
      <c r="G304" s="4"/>
      <c r="H304" s="4"/>
      <c r="I304" s="4"/>
      <c r="J304" s="4"/>
      <c r="K304" s="4"/>
      <c r="L304" s="4"/>
      <c r="M304" s="4"/>
      <c r="N304" s="4"/>
      <c r="O304" s="4"/>
      <c r="P304" s="4"/>
      <c r="Q304" s="4"/>
      <c r="R304" s="4"/>
      <c r="S304" s="4"/>
      <c r="T304" s="4"/>
      <c r="U304" s="4"/>
      <c r="V304" s="4"/>
      <c r="W304" s="4"/>
      <c r="X304" s="4"/>
      <c r="Y304" s="4"/>
      <c r="Z304" s="4"/>
      <c r="AA304" s="21"/>
    </row>
    <row r="305">
      <c r="A305" s="4"/>
      <c r="B305" s="4"/>
      <c r="C305" s="4"/>
      <c r="D305" s="26"/>
      <c r="E305" s="4"/>
      <c r="F305" s="4"/>
      <c r="G305" s="4"/>
      <c r="H305" s="4"/>
      <c r="I305" s="4"/>
      <c r="J305" s="4"/>
      <c r="K305" s="4"/>
      <c r="L305" s="4"/>
      <c r="M305" s="4"/>
      <c r="N305" s="4"/>
      <c r="O305" s="4"/>
      <c r="P305" s="4"/>
      <c r="Q305" s="4"/>
      <c r="R305" s="4"/>
      <c r="S305" s="4"/>
      <c r="T305" s="4"/>
      <c r="U305" s="4"/>
      <c r="V305" s="4"/>
      <c r="W305" s="4"/>
      <c r="X305" s="4"/>
      <c r="Y305" s="4"/>
      <c r="Z305" s="4"/>
      <c r="AA305" s="21"/>
    </row>
    <row r="306">
      <c r="A306" s="4"/>
      <c r="B306" s="4"/>
      <c r="C306" s="4"/>
      <c r="D306" s="26"/>
      <c r="E306" s="4"/>
      <c r="F306" s="4"/>
      <c r="G306" s="4"/>
      <c r="H306" s="4"/>
      <c r="I306" s="4"/>
      <c r="J306" s="4"/>
      <c r="K306" s="4"/>
      <c r="L306" s="4"/>
      <c r="M306" s="4"/>
      <c r="N306" s="4"/>
      <c r="O306" s="4"/>
      <c r="P306" s="4"/>
      <c r="Q306" s="4"/>
      <c r="R306" s="4"/>
      <c r="S306" s="4"/>
      <c r="T306" s="4"/>
      <c r="U306" s="4"/>
      <c r="V306" s="4"/>
      <c r="W306" s="4"/>
      <c r="X306" s="4"/>
      <c r="Y306" s="4"/>
      <c r="Z306" s="4"/>
      <c r="AA306" s="21"/>
    </row>
    <row r="307">
      <c r="A307" s="4"/>
      <c r="B307" s="4"/>
      <c r="C307" s="4"/>
      <c r="D307" s="26"/>
      <c r="E307" s="4"/>
      <c r="F307" s="4"/>
      <c r="G307" s="4"/>
      <c r="H307" s="4"/>
      <c r="I307" s="4"/>
      <c r="J307" s="4"/>
      <c r="K307" s="4"/>
      <c r="L307" s="4"/>
      <c r="M307" s="4"/>
      <c r="N307" s="4"/>
      <c r="O307" s="4"/>
      <c r="P307" s="4"/>
      <c r="Q307" s="4"/>
      <c r="R307" s="4"/>
      <c r="S307" s="4"/>
      <c r="T307" s="4"/>
      <c r="U307" s="4"/>
      <c r="V307" s="4"/>
      <c r="W307" s="4"/>
      <c r="X307" s="4"/>
      <c r="Y307" s="4"/>
      <c r="Z307" s="4"/>
      <c r="AA307" s="21"/>
    </row>
    <row r="308">
      <c r="A308" s="4"/>
      <c r="B308" s="4"/>
      <c r="C308" s="4"/>
      <c r="D308" s="26"/>
      <c r="E308" s="4"/>
      <c r="F308" s="4"/>
      <c r="G308" s="4"/>
      <c r="H308" s="4"/>
      <c r="I308" s="4"/>
      <c r="J308" s="4"/>
      <c r="K308" s="4"/>
      <c r="L308" s="4"/>
      <c r="M308" s="4"/>
      <c r="N308" s="4"/>
      <c r="O308" s="4"/>
      <c r="P308" s="4"/>
      <c r="Q308" s="4"/>
      <c r="R308" s="4"/>
      <c r="S308" s="4"/>
      <c r="T308" s="4"/>
      <c r="U308" s="4"/>
      <c r="V308" s="4"/>
      <c r="W308" s="4"/>
      <c r="X308" s="4"/>
      <c r="Y308" s="4"/>
      <c r="Z308" s="4"/>
      <c r="AA308" s="21"/>
    </row>
    <row r="309">
      <c r="A309" s="4"/>
      <c r="B309" s="4"/>
      <c r="C309" s="4"/>
      <c r="D309" s="26"/>
      <c r="E309" s="4"/>
      <c r="F309" s="4"/>
      <c r="G309" s="4"/>
      <c r="H309" s="4"/>
      <c r="I309" s="4"/>
      <c r="J309" s="4"/>
      <c r="K309" s="4"/>
      <c r="L309" s="4"/>
      <c r="M309" s="4"/>
      <c r="N309" s="4"/>
      <c r="O309" s="4"/>
      <c r="P309" s="4"/>
      <c r="Q309" s="4"/>
      <c r="R309" s="4"/>
      <c r="S309" s="4"/>
      <c r="T309" s="4"/>
      <c r="U309" s="4"/>
      <c r="V309" s="4"/>
      <c r="W309" s="4"/>
      <c r="X309" s="4"/>
      <c r="Y309" s="4"/>
      <c r="Z309" s="4"/>
      <c r="AA309" s="21"/>
    </row>
    <row r="310">
      <c r="A310" s="4"/>
      <c r="B310" s="4"/>
      <c r="C310" s="4"/>
      <c r="D310" s="26"/>
      <c r="E310" s="4"/>
      <c r="F310" s="4"/>
      <c r="G310" s="4"/>
      <c r="H310" s="4"/>
      <c r="I310" s="4"/>
      <c r="J310" s="4"/>
      <c r="K310" s="4"/>
      <c r="L310" s="4"/>
      <c r="M310" s="4"/>
      <c r="N310" s="4"/>
      <c r="O310" s="4"/>
      <c r="P310" s="4"/>
      <c r="Q310" s="4"/>
      <c r="R310" s="4"/>
      <c r="S310" s="4"/>
      <c r="T310" s="4"/>
      <c r="U310" s="4"/>
      <c r="V310" s="4"/>
      <c r="W310" s="4"/>
      <c r="X310" s="4"/>
      <c r="Y310" s="4"/>
      <c r="Z310" s="4"/>
      <c r="AA310" s="21"/>
    </row>
    <row r="311">
      <c r="A311" s="4"/>
      <c r="B311" s="4"/>
      <c r="C311" s="4"/>
      <c r="D311" s="26"/>
      <c r="E311" s="4"/>
      <c r="F311" s="4"/>
      <c r="G311" s="4"/>
      <c r="H311" s="4"/>
      <c r="I311" s="4"/>
      <c r="J311" s="4"/>
      <c r="K311" s="4"/>
      <c r="L311" s="4"/>
      <c r="M311" s="4"/>
      <c r="N311" s="4"/>
      <c r="O311" s="4"/>
      <c r="P311" s="4"/>
      <c r="Q311" s="4"/>
      <c r="R311" s="4"/>
      <c r="S311" s="4"/>
      <c r="T311" s="4"/>
      <c r="U311" s="4"/>
      <c r="V311" s="4"/>
      <c r="W311" s="4"/>
      <c r="X311" s="4"/>
      <c r="Y311" s="4"/>
      <c r="Z311" s="4"/>
      <c r="AA311" s="21"/>
    </row>
    <row r="312">
      <c r="A312" s="4"/>
      <c r="B312" s="4"/>
      <c r="C312" s="4"/>
      <c r="D312" s="26"/>
      <c r="E312" s="4"/>
      <c r="F312" s="4"/>
      <c r="G312" s="4"/>
      <c r="H312" s="4"/>
      <c r="I312" s="4"/>
      <c r="J312" s="4"/>
      <c r="K312" s="4"/>
      <c r="L312" s="4"/>
      <c r="M312" s="4"/>
      <c r="N312" s="4"/>
      <c r="O312" s="4"/>
      <c r="P312" s="4"/>
      <c r="Q312" s="4"/>
      <c r="R312" s="4"/>
      <c r="S312" s="4"/>
      <c r="T312" s="4"/>
      <c r="U312" s="4"/>
      <c r="V312" s="4"/>
      <c r="W312" s="4"/>
      <c r="X312" s="4"/>
      <c r="Y312" s="4"/>
      <c r="Z312" s="4"/>
      <c r="AA312" s="21"/>
    </row>
    <row r="313">
      <c r="A313" s="4"/>
      <c r="B313" s="4"/>
      <c r="C313" s="4"/>
      <c r="D313" s="26"/>
      <c r="E313" s="4"/>
      <c r="F313" s="4"/>
      <c r="G313" s="4"/>
      <c r="H313" s="4"/>
      <c r="I313" s="4"/>
      <c r="J313" s="4"/>
      <c r="K313" s="4"/>
      <c r="L313" s="4"/>
      <c r="M313" s="4"/>
      <c r="N313" s="4"/>
      <c r="O313" s="4"/>
      <c r="P313" s="4"/>
      <c r="Q313" s="4"/>
      <c r="R313" s="4"/>
      <c r="S313" s="4"/>
      <c r="T313" s="4"/>
      <c r="U313" s="4"/>
      <c r="V313" s="4"/>
      <c r="W313" s="4"/>
      <c r="X313" s="4"/>
      <c r="Y313" s="4"/>
      <c r="Z313" s="4"/>
      <c r="AA313" s="21"/>
    </row>
    <row r="314">
      <c r="A314" s="4"/>
      <c r="B314" s="4"/>
      <c r="C314" s="4"/>
      <c r="D314" s="26"/>
      <c r="E314" s="4"/>
      <c r="F314" s="4"/>
      <c r="G314" s="4"/>
      <c r="H314" s="4"/>
      <c r="I314" s="4"/>
      <c r="J314" s="4"/>
      <c r="K314" s="4"/>
      <c r="L314" s="4"/>
      <c r="M314" s="4"/>
      <c r="N314" s="4"/>
      <c r="O314" s="4"/>
      <c r="P314" s="4"/>
      <c r="Q314" s="4"/>
      <c r="R314" s="4"/>
      <c r="S314" s="4"/>
      <c r="T314" s="4"/>
      <c r="U314" s="4"/>
      <c r="V314" s="4"/>
      <c r="W314" s="4"/>
      <c r="X314" s="4"/>
      <c r="Y314" s="4"/>
      <c r="Z314" s="4"/>
      <c r="AA314" s="21"/>
    </row>
    <row r="315">
      <c r="A315" s="4"/>
      <c r="B315" s="4"/>
      <c r="C315" s="4"/>
      <c r="D315" s="26"/>
      <c r="E315" s="4"/>
      <c r="F315" s="4"/>
      <c r="G315" s="4"/>
      <c r="H315" s="4"/>
      <c r="I315" s="4"/>
      <c r="J315" s="4"/>
      <c r="K315" s="4"/>
      <c r="L315" s="4"/>
      <c r="M315" s="4"/>
      <c r="N315" s="4"/>
      <c r="O315" s="4"/>
      <c r="P315" s="4"/>
      <c r="Q315" s="4"/>
      <c r="R315" s="4"/>
      <c r="S315" s="4"/>
      <c r="T315" s="4"/>
      <c r="U315" s="4"/>
      <c r="V315" s="4"/>
      <c r="W315" s="4"/>
      <c r="X315" s="4"/>
      <c r="Y315" s="4"/>
      <c r="Z315" s="4"/>
      <c r="AA315" s="21"/>
    </row>
    <row r="316">
      <c r="A316" s="4"/>
      <c r="B316" s="4"/>
      <c r="C316" s="4"/>
      <c r="D316" s="26"/>
      <c r="E316" s="4"/>
      <c r="F316" s="4"/>
      <c r="G316" s="4"/>
      <c r="H316" s="4"/>
      <c r="I316" s="4"/>
      <c r="J316" s="4"/>
      <c r="K316" s="4"/>
      <c r="L316" s="4"/>
      <c r="M316" s="4"/>
      <c r="N316" s="4"/>
      <c r="O316" s="4"/>
      <c r="P316" s="4"/>
      <c r="Q316" s="4"/>
      <c r="R316" s="4"/>
      <c r="S316" s="4"/>
      <c r="T316" s="4"/>
      <c r="U316" s="4"/>
      <c r="V316" s="4"/>
      <c r="W316" s="4"/>
      <c r="X316" s="4"/>
      <c r="Y316" s="4"/>
      <c r="Z316" s="4"/>
      <c r="AA316" s="21"/>
    </row>
    <row r="317">
      <c r="A317" s="4"/>
      <c r="B317" s="4"/>
      <c r="C317" s="4"/>
      <c r="D317" s="26"/>
      <c r="E317" s="4"/>
      <c r="F317" s="4"/>
      <c r="G317" s="4"/>
      <c r="H317" s="4"/>
      <c r="I317" s="4"/>
      <c r="J317" s="4"/>
      <c r="K317" s="4"/>
      <c r="L317" s="4"/>
      <c r="M317" s="4"/>
      <c r="N317" s="4"/>
      <c r="O317" s="4"/>
      <c r="P317" s="4"/>
      <c r="Q317" s="4"/>
      <c r="R317" s="4"/>
      <c r="S317" s="4"/>
      <c r="T317" s="4"/>
      <c r="U317" s="4"/>
      <c r="V317" s="4"/>
      <c r="W317" s="4"/>
      <c r="X317" s="4"/>
      <c r="Y317" s="4"/>
      <c r="Z317" s="4"/>
      <c r="AA317" s="21"/>
    </row>
    <row r="318">
      <c r="A318" s="4"/>
      <c r="B318" s="4"/>
      <c r="C318" s="4"/>
      <c r="D318" s="26"/>
      <c r="E318" s="4"/>
      <c r="F318" s="4"/>
      <c r="G318" s="4"/>
      <c r="H318" s="4"/>
      <c r="I318" s="4"/>
      <c r="J318" s="4"/>
      <c r="K318" s="4"/>
      <c r="L318" s="4"/>
      <c r="M318" s="4"/>
      <c r="N318" s="4"/>
      <c r="O318" s="4"/>
      <c r="P318" s="4"/>
      <c r="Q318" s="4"/>
      <c r="R318" s="4"/>
      <c r="S318" s="4"/>
      <c r="T318" s="4"/>
      <c r="U318" s="4"/>
      <c r="V318" s="4"/>
      <c r="W318" s="4"/>
      <c r="X318" s="4"/>
      <c r="Y318" s="4"/>
      <c r="Z318" s="4"/>
      <c r="AA318" s="21"/>
    </row>
    <row r="319">
      <c r="A319" s="4"/>
      <c r="B319" s="4"/>
      <c r="C319" s="4"/>
      <c r="D319" s="26"/>
      <c r="E319" s="4"/>
      <c r="F319" s="4"/>
      <c r="G319" s="4"/>
      <c r="H319" s="4"/>
      <c r="I319" s="4"/>
      <c r="J319" s="4"/>
      <c r="K319" s="4"/>
      <c r="L319" s="4"/>
      <c r="M319" s="4"/>
      <c r="N319" s="4"/>
      <c r="O319" s="4"/>
      <c r="P319" s="4"/>
      <c r="Q319" s="4"/>
      <c r="R319" s="4"/>
      <c r="S319" s="4"/>
      <c r="T319" s="4"/>
      <c r="U319" s="4"/>
      <c r="V319" s="4"/>
      <c r="W319" s="4"/>
      <c r="X319" s="4"/>
      <c r="Y319" s="4"/>
      <c r="Z319" s="4"/>
      <c r="AA319" s="21"/>
    </row>
    <row r="320">
      <c r="A320" s="4"/>
      <c r="B320" s="4"/>
      <c r="C320" s="4"/>
      <c r="D320" s="26"/>
      <c r="E320" s="4"/>
      <c r="F320" s="4"/>
      <c r="G320" s="4"/>
      <c r="H320" s="4"/>
      <c r="I320" s="4"/>
      <c r="J320" s="4"/>
      <c r="K320" s="4"/>
      <c r="L320" s="4"/>
      <c r="M320" s="4"/>
      <c r="N320" s="4"/>
      <c r="O320" s="4"/>
      <c r="P320" s="4"/>
      <c r="Q320" s="4"/>
      <c r="R320" s="4"/>
      <c r="S320" s="4"/>
      <c r="T320" s="4"/>
      <c r="U320" s="4"/>
      <c r="V320" s="4"/>
      <c r="W320" s="4"/>
      <c r="X320" s="4"/>
      <c r="Y320" s="4"/>
      <c r="Z320" s="4"/>
      <c r="AA320" s="21"/>
    </row>
    <row r="321">
      <c r="A321" s="4"/>
      <c r="B321" s="4"/>
      <c r="C321" s="4"/>
      <c r="D321" s="26"/>
      <c r="E321" s="4"/>
      <c r="F321" s="4"/>
      <c r="G321" s="4"/>
      <c r="H321" s="4"/>
      <c r="I321" s="4"/>
      <c r="J321" s="4"/>
      <c r="K321" s="4"/>
      <c r="L321" s="4"/>
      <c r="M321" s="4"/>
      <c r="N321" s="4"/>
      <c r="O321" s="4"/>
      <c r="P321" s="4"/>
      <c r="Q321" s="4"/>
      <c r="R321" s="4"/>
      <c r="S321" s="4"/>
      <c r="T321" s="4"/>
      <c r="U321" s="4"/>
      <c r="V321" s="4"/>
      <c r="W321" s="4"/>
      <c r="X321" s="4"/>
      <c r="Y321" s="4"/>
      <c r="Z321" s="4"/>
      <c r="AA321" s="21"/>
    </row>
    <row r="322">
      <c r="A322" s="4"/>
      <c r="B322" s="4"/>
      <c r="C322" s="4"/>
      <c r="D322" s="26"/>
      <c r="E322" s="4"/>
      <c r="F322" s="4"/>
      <c r="G322" s="4"/>
      <c r="H322" s="4"/>
      <c r="I322" s="4"/>
      <c r="J322" s="4"/>
      <c r="K322" s="4"/>
      <c r="L322" s="4"/>
      <c r="M322" s="4"/>
      <c r="N322" s="4"/>
      <c r="O322" s="4"/>
      <c r="P322" s="4"/>
      <c r="Q322" s="4"/>
      <c r="R322" s="4"/>
      <c r="S322" s="4"/>
      <c r="T322" s="4"/>
      <c r="U322" s="4"/>
      <c r="V322" s="4"/>
      <c r="W322" s="4"/>
      <c r="X322" s="4"/>
      <c r="Y322" s="4"/>
      <c r="Z322" s="4"/>
      <c r="AA322" s="21"/>
    </row>
    <row r="323">
      <c r="A323" s="4"/>
      <c r="B323" s="4"/>
      <c r="C323" s="4"/>
      <c r="D323" s="26"/>
      <c r="E323" s="4"/>
      <c r="F323" s="4"/>
      <c r="G323" s="4"/>
      <c r="H323" s="4"/>
      <c r="I323" s="4"/>
      <c r="J323" s="4"/>
      <c r="K323" s="4"/>
      <c r="L323" s="4"/>
      <c r="M323" s="4"/>
      <c r="N323" s="4"/>
      <c r="O323" s="4"/>
      <c r="P323" s="4"/>
      <c r="Q323" s="4"/>
      <c r="R323" s="4"/>
      <c r="S323" s="4"/>
      <c r="T323" s="4"/>
      <c r="U323" s="4"/>
      <c r="V323" s="4"/>
      <c r="W323" s="4"/>
      <c r="X323" s="4"/>
      <c r="Y323" s="4"/>
      <c r="Z323" s="4"/>
      <c r="AA323" s="21"/>
    </row>
    <row r="324">
      <c r="A324" s="4"/>
      <c r="B324" s="4"/>
      <c r="C324" s="4"/>
      <c r="D324" s="26"/>
      <c r="E324" s="4"/>
      <c r="F324" s="4"/>
      <c r="G324" s="4"/>
      <c r="H324" s="4"/>
      <c r="I324" s="4"/>
      <c r="J324" s="4"/>
      <c r="K324" s="4"/>
      <c r="L324" s="4"/>
      <c r="M324" s="4"/>
      <c r="N324" s="4"/>
      <c r="O324" s="4"/>
      <c r="P324" s="4"/>
      <c r="Q324" s="4"/>
      <c r="R324" s="4"/>
      <c r="S324" s="4"/>
      <c r="T324" s="4"/>
      <c r="U324" s="4"/>
      <c r="V324" s="4"/>
      <c r="W324" s="4"/>
      <c r="X324" s="4"/>
      <c r="Y324" s="4"/>
      <c r="Z324" s="4"/>
      <c r="AA324" s="21"/>
    </row>
    <row r="325">
      <c r="A325" s="4"/>
      <c r="B325" s="4"/>
      <c r="C325" s="4"/>
      <c r="D325" s="26"/>
      <c r="E325" s="4"/>
      <c r="F325" s="4"/>
      <c r="G325" s="4"/>
      <c r="H325" s="4"/>
      <c r="I325" s="4"/>
      <c r="J325" s="4"/>
      <c r="K325" s="4"/>
      <c r="L325" s="4"/>
      <c r="M325" s="4"/>
      <c r="N325" s="4"/>
      <c r="O325" s="4"/>
      <c r="P325" s="4"/>
      <c r="Q325" s="4"/>
      <c r="R325" s="4"/>
      <c r="S325" s="4"/>
      <c r="T325" s="4"/>
      <c r="U325" s="4"/>
      <c r="V325" s="4"/>
      <c r="W325" s="4"/>
      <c r="X325" s="4"/>
      <c r="Y325" s="4"/>
      <c r="Z325" s="4"/>
      <c r="AA325" s="21"/>
    </row>
    <row r="326">
      <c r="A326" s="4"/>
      <c r="B326" s="4"/>
      <c r="C326" s="4"/>
      <c r="D326" s="26"/>
      <c r="E326" s="4"/>
      <c r="F326" s="4"/>
      <c r="G326" s="4"/>
      <c r="H326" s="4"/>
      <c r="I326" s="4"/>
      <c r="J326" s="4"/>
      <c r="K326" s="4"/>
      <c r="L326" s="4"/>
      <c r="M326" s="4"/>
      <c r="N326" s="4"/>
      <c r="O326" s="4"/>
      <c r="P326" s="4"/>
      <c r="Q326" s="4"/>
      <c r="R326" s="4"/>
      <c r="S326" s="4"/>
      <c r="T326" s="4"/>
      <c r="U326" s="4"/>
      <c r="V326" s="4"/>
      <c r="W326" s="4"/>
      <c r="X326" s="4"/>
      <c r="Y326" s="4"/>
      <c r="Z326" s="4"/>
      <c r="AA326" s="21"/>
    </row>
    <row r="327">
      <c r="A327" s="4"/>
      <c r="B327" s="4"/>
      <c r="C327" s="4"/>
      <c r="D327" s="26"/>
      <c r="E327" s="4"/>
      <c r="F327" s="4"/>
      <c r="G327" s="4"/>
      <c r="H327" s="4"/>
      <c r="I327" s="4"/>
      <c r="J327" s="4"/>
      <c r="K327" s="4"/>
      <c r="L327" s="4"/>
      <c r="M327" s="4"/>
      <c r="N327" s="4"/>
      <c r="O327" s="4"/>
      <c r="P327" s="4"/>
      <c r="Q327" s="4"/>
      <c r="R327" s="4"/>
      <c r="S327" s="4"/>
      <c r="T327" s="4"/>
      <c r="U327" s="4"/>
      <c r="V327" s="4"/>
      <c r="W327" s="4"/>
      <c r="X327" s="4"/>
      <c r="Y327" s="4"/>
      <c r="Z327" s="4"/>
      <c r="AA327" s="21"/>
    </row>
    <row r="328">
      <c r="A328" s="4"/>
      <c r="B328" s="4"/>
      <c r="C328" s="4"/>
      <c r="D328" s="26"/>
      <c r="E328" s="4"/>
      <c r="F328" s="4"/>
      <c r="G328" s="4"/>
      <c r="H328" s="4"/>
      <c r="I328" s="4"/>
      <c r="J328" s="4"/>
      <c r="K328" s="4"/>
      <c r="L328" s="4"/>
      <c r="M328" s="4"/>
      <c r="N328" s="4"/>
      <c r="O328" s="4"/>
      <c r="P328" s="4"/>
      <c r="Q328" s="4"/>
      <c r="R328" s="4"/>
      <c r="S328" s="4"/>
      <c r="T328" s="4"/>
      <c r="U328" s="4"/>
      <c r="V328" s="4"/>
      <c r="W328" s="4"/>
      <c r="X328" s="4"/>
      <c r="Y328" s="4"/>
      <c r="Z328" s="4"/>
      <c r="AA328" s="21"/>
    </row>
    <row r="329">
      <c r="A329" s="4"/>
      <c r="B329" s="4"/>
      <c r="C329" s="4"/>
      <c r="D329" s="26"/>
      <c r="E329" s="4"/>
      <c r="F329" s="4"/>
      <c r="G329" s="4"/>
      <c r="H329" s="4"/>
      <c r="I329" s="4"/>
      <c r="J329" s="4"/>
      <c r="K329" s="4"/>
      <c r="L329" s="4"/>
      <c r="M329" s="4"/>
      <c r="N329" s="4"/>
      <c r="O329" s="4"/>
      <c r="P329" s="4"/>
      <c r="Q329" s="4"/>
      <c r="R329" s="4"/>
      <c r="S329" s="4"/>
      <c r="T329" s="4"/>
      <c r="U329" s="4"/>
      <c r="V329" s="4"/>
      <c r="W329" s="4"/>
      <c r="X329" s="4"/>
      <c r="Y329" s="4"/>
      <c r="Z329" s="4"/>
      <c r="AA329" s="21"/>
    </row>
    <row r="330">
      <c r="A330" s="4"/>
      <c r="B330" s="4"/>
      <c r="C330" s="4"/>
      <c r="D330" s="26"/>
      <c r="E330" s="4"/>
      <c r="F330" s="4"/>
      <c r="G330" s="4"/>
      <c r="H330" s="4"/>
      <c r="I330" s="4"/>
      <c r="J330" s="4"/>
      <c r="K330" s="4"/>
      <c r="L330" s="4"/>
      <c r="M330" s="4"/>
      <c r="N330" s="4"/>
      <c r="O330" s="4"/>
      <c r="P330" s="4"/>
      <c r="Q330" s="4"/>
      <c r="R330" s="4"/>
      <c r="S330" s="4"/>
      <c r="T330" s="4"/>
      <c r="U330" s="4"/>
      <c r="V330" s="4"/>
      <c r="W330" s="4"/>
      <c r="X330" s="4"/>
      <c r="Y330" s="4"/>
      <c r="Z330" s="4"/>
      <c r="AA330" s="21"/>
    </row>
    <row r="331">
      <c r="A331" s="4"/>
      <c r="B331" s="4"/>
      <c r="C331" s="4"/>
      <c r="D331" s="26"/>
      <c r="E331" s="4"/>
      <c r="F331" s="4"/>
      <c r="G331" s="4"/>
      <c r="H331" s="4"/>
      <c r="I331" s="4"/>
      <c r="J331" s="4"/>
      <c r="K331" s="4"/>
      <c r="L331" s="4"/>
      <c r="M331" s="4"/>
      <c r="N331" s="4"/>
      <c r="O331" s="4"/>
      <c r="P331" s="4"/>
      <c r="Q331" s="4"/>
      <c r="R331" s="4"/>
      <c r="S331" s="4"/>
      <c r="T331" s="4"/>
      <c r="U331" s="4"/>
      <c r="V331" s="4"/>
      <c r="W331" s="4"/>
      <c r="X331" s="4"/>
      <c r="Y331" s="4"/>
      <c r="Z331" s="4"/>
      <c r="AA331" s="21"/>
    </row>
    <row r="332">
      <c r="A332" s="4"/>
      <c r="B332" s="4"/>
      <c r="C332" s="4"/>
      <c r="D332" s="26"/>
      <c r="E332" s="4"/>
      <c r="F332" s="4"/>
      <c r="G332" s="4"/>
      <c r="H332" s="4"/>
      <c r="I332" s="4"/>
      <c r="J332" s="4"/>
      <c r="K332" s="4"/>
      <c r="L332" s="4"/>
      <c r="M332" s="4"/>
      <c r="N332" s="4"/>
      <c r="O332" s="4"/>
      <c r="P332" s="4"/>
      <c r="Q332" s="4"/>
      <c r="R332" s="4"/>
      <c r="S332" s="4"/>
      <c r="T332" s="4"/>
      <c r="U332" s="4"/>
      <c r="V332" s="4"/>
      <c r="W332" s="4"/>
      <c r="X332" s="4"/>
      <c r="Y332" s="4"/>
      <c r="Z332" s="4"/>
      <c r="AA332" s="21"/>
    </row>
    <row r="333">
      <c r="A333" s="4"/>
      <c r="B333" s="4"/>
      <c r="C333" s="4"/>
      <c r="D333" s="26"/>
      <c r="E333" s="4"/>
      <c r="F333" s="4"/>
      <c r="G333" s="4"/>
      <c r="H333" s="4"/>
      <c r="I333" s="4"/>
      <c r="J333" s="4"/>
      <c r="K333" s="4"/>
      <c r="L333" s="4"/>
      <c r="M333" s="4"/>
      <c r="N333" s="4"/>
      <c r="O333" s="4"/>
      <c r="P333" s="4"/>
      <c r="Q333" s="4"/>
      <c r="R333" s="4"/>
      <c r="S333" s="4"/>
      <c r="T333" s="4"/>
      <c r="U333" s="4"/>
      <c r="V333" s="4"/>
      <c r="W333" s="4"/>
      <c r="X333" s="4"/>
      <c r="Y333" s="4"/>
      <c r="Z333" s="4"/>
      <c r="AA333" s="21"/>
    </row>
    <row r="334">
      <c r="A334" s="4"/>
      <c r="B334" s="4"/>
      <c r="C334" s="4"/>
      <c r="D334" s="26"/>
      <c r="E334" s="4"/>
      <c r="F334" s="4"/>
      <c r="G334" s="4"/>
      <c r="H334" s="4"/>
      <c r="I334" s="4"/>
      <c r="J334" s="4"/>
      <c r="K334" s="4"/>
      <c r="L334" s="4"/>
      <c r="M334" s="4"/>
      <c r="N334" s="4"/>
      <c r="O334" s="4"/>
      <c r="P334" s="4"/>
      <c r="Q334" s="4"/>
      <c r="R334" s="4"/>
      <c r="S334" s="4"/>
      <c r="T334" s="4"/>
      <c r="U334" s="4"/>
      <c r="V334" s="4"/>
      <c r="W334" s="4"/>
      <c r="X334" s="4"/>
      <c r="Y334" s="4"/>
      <c r="Z334" s="4"/>
      <c r="AA334" s="21"/>
    </row>
    <row r="335">
      <c r="A335" s="4"/>
      <c r="B335" s="4"/>
      <c r="C335" s="4"/>
      <c r="D335" s="26"/>
      <c r="E335" s="4"/>
      <c r="F335" s="4"/>
      <c r="G335" s="4"/>
      <c r="H335" s="4"/>
      <c r="I335" s="4"/>
      <c r="J335" s="4"/>
      <c r="K335" s="4"/>
      <c r="L335" s="4"/>
      <c r="M335" s="4"/>
      <c r="N335" s="4"/>
      <c r="O335" s="4"/>
      <c r="P335" s="4"/>
      <c r="Q335" s="4"/>
      <c r="R335" s="4"/>
      <c r="S335" s="4"/>
      <c r="T335" s="4"/>
      <c r="U335" s="4"/>
      <c r="V335" s="4"/>
      <c r="W335" s="4"/>
      <c r="X335" s="4"/>
      <c r="Y335" s="4"/>
      <c r="Z335" s="4"/>
      <c r="AA335" s="21"/>
    </row>
    <row r="336">
      <c r="A336" s="4"/>
      <c r="B336" s="4"/>
      <c r="C336" s="4"/>
      <c r="D336" s="26"/>
      <c r="E336" s="4"/>
      <c r="F336" s="4"/>
      <c r="G336" s="4"/>
      <c r="H336" s="4"/>
      <c r="I336" s="4"/>
      <c r="J336" s="4"/>
      <c r="K336" s="4"/>
      <c r="L336" s="4"/>
      <c r="M336" s="4"/>
      <c r="N336" s="4"/>
      <c r="O336" s="4"/>
      <c r="P336" s="4"/>
      <c r="Q336" s="4"/>
      <c r="R336" s="4"/>
      <c r="S336" s="4"/>
      <c r="T336" s="4"/>
      <c r="U336" s="4"/>
      <c r="V336" s="4"/>
      <c r="W336" s="4"/>
      <c r="X336" s="4"/>
      <c r="Y336" s="4"/>
      <c r="Z336" s="4"/>
      <c r="AA336" s="21"/>
    </row>
    <row r="337">
      <c r="A337" s="4"/>
      <c r="B337" s="4"/>
      <c r="C337" s="4"/>
      <c r="D337" s="26"/>
      <c r="E337" s="4"/>
      <c r="F337" s="4"/>
      <c r="G337" s="4"/>
      <c r="H337" s="4"/>
      <c r="I337" s="4"/>
      <c r="J337" s="4"/>
      <c r="K337" s="4"/>
      <c r="L337" s="4"/>
      <c r="M337" s="4"/>
      <c r="N337" s="4"/>
      <c r="O337" s="4"/>
      <c r="P337" s="4"/>
      <c r="Q337" s="4"/>
      <c r="R337" s="4"/>
      <c r="S337" s="4"/>
      <c r="T337" s="4"/>
      <c r="U337" s="4"/>
      <c r="V337" s="4"/>
      <c r="W337" s="4"/>
      <c r="X337" s="4"/>
      <c r="Y337" s="4"/>
      <c r="Z337" s="4"/>
      <c r="AA337" s="21"/>
    </row>
    <row r="338">
      <c r="A338" s="4"/>
      <c r="B338" s="4"/>
      <c r="C338" s="4"/>
      <c r="D338" s="26"/>
      <c r="E338" s="4"/>
      <c r="F338" s="4"/>
      <c r="G338" s="4"/>
      <c r="H338" s="4"/>
      <c r="I338" s="4"/>
      <c r="J338" s="4"/>
      <c r="K338" s="4"/>
      <c r="L338" s="4"/>
      <c r="M338" s="4"/>
      <c r="N338" s="4"/>
      <c r="O338" s="4"/>
      <c r="P338" s="4"/>
      <c r="Q338" s="4"/>
      <c r="R338" s="4"/>
      <c r="S338" s="4"/>
      <c r="T338" s="4"/>
      <c r="U338" s="4"/>
      <c r="V338" s="4"/>
      <c r="W338" s="4"/>
      <c r="X338" s="4"/>
      <c r="Y338" s="4"/>
      <c r="Z338" s="4"/>
      <c r="AA338" s="21"/>
    </row>
    <row r="339">
      <c r="A339" s="4"/>
      <c r="B339" s="4"/>
      <c r="C339" s="4"/>
      <c r="D339" s="26"/>
      <c r="E339" s="4"/>
      <c r="F339" s="4"/>
      <c r="G339" s="4"/>
      <c r="H339" s="4"/>
      <c r="I339" s="4"/>
      <c r="J339" s="4"/>
      <c r="K339" s="4"/>
      <c r="L339" s="4"/>
      <c r="M339" s="4"/>
      <c r="N339" s="4"/>
      <c r="O339" s="4"/>
      <c r="P339" s="4"/>
      <c r="Q339" s="4"/>
      <c r="R339" s="4"/>
      <c r="S339" s="4"/>
      <c r="T339" s="4"/>
      <c r="U339" s="4"/>
      <c r="V339" s="4"/>
      <c r="W339" s="4"/>
      <c r="X339" s="4"/>
      <c r="Y339" s="4"/>
      <c r="Z339" s="4"/>
      <c r="AA339" s="21"/>
    </row>
    <row r="340">
      <c r="A340" s="4"/>
      <c r="B340" s="4"/>
      <c r="C340" s="4"/>
      <c r="D340" s="26"/>
      <c r="E340" s="4"/>
      <c r="F340" s="4"/>
      <c r="G340" s="4"/>
      <c r="H340" s="4"/>
      <c r="I340" s="4"/>
      <c r="J340" s="4"/>
      <c r="K340" s="4"/>
      <c r="L340" s="4"/>
      <c r="M340" s="4"/>
      <c r="N340" s="4"/>
      <c r="O340" s="4"/>
      <c r="P340" s="4"/>
      <c r="Q340" s="4"/>
      <c r="R340" s="4"/>
      <c r="S340" s="4"/>
      <c r="T340" s="4"/>
      <c r="U340" s="4"/>
      <c r="V340" s="4"/>
      <c r="W340" s="4"/>
      <c r="X340" s="4"/>
      <c r="Y340" s="4"/>
      <c r="Z340" s="4"/>
      <c r="AA340" s="21"/>
    </row>
    <row r="341">
      <c r="A341" s="4"/>
      <c r="B341" s="4"/>
      <c r="C341" s="4"/>
      <c r="D341" s="26"/>
      <c r="E341" s="4"/>
      <c r="F341" s="4"/>
      <c r="G341" s="4"/>
      <c r="H341" s="4"/>
      <c r="I341" s="4"/>
      <c r="J341" s="4"/>
      <c r="K341" s="4"/>
      <c r="L341" s="4"/>
      <c r="M341" s="4"/>
      <c r="N341" s="4"/>
      <c r="O341" s="4"/>
      <c r="P341" s="4"/>
      <c r="Q341" s="4"/>
      <c r="R341" s="4"/>
      <c r="S341" s="4"/>
      <c r="T341" s="4"/>
      <c r="U341" s="4"/>
      <c r="V341" s="4"/>
      <c r="W341" s="4"/>
      <c r="X341" s="4"/>
      <c r="Y341" s="4"/>
      <c r="Z341" s="4"/>
      <c r="AA341" s="21"/>
    </row>
    <row r="342">
      <c r="A342" s="4"/>
      <c r="B342" s="4"/>
      <c r="C342" s="4"/>
      <c r="D342" s="26"/>
      <c r="E342" s="4"/>
      <c r="F342" s="4"/>
      <c r="G342" s="4"/>
      <c r="H342" s="4"/>
      <c r="I342" s="4"/>
      <c r="J342" s="4"/>
      <c r="K342" s="4"/>
      <c r="L342" s="4"/>
      <c r="M342" s="4"/>
      <c r="N342" s="4"/>
      <c r="O342" s="4"/>
      <c r="P342" s="4"/>
      <c r="Q342" s="4"/>
      <c r="R342" s="4"/>
      <c r="S342" s="4"/>
      <c r="T342" s="4"/>
      <c r="U342" s="4"/>
      <c r="V342" s="4"/>
      <c r="W342" s="4"/>
      <c r="X342" s="4"/>
      <c r="Y342" s="4"/>
      <c r="Z342" s="4"/>
      <c r="AA342" s="21"/>
    </row>
    <row r="343">
      <c r="A343" s="4"/>
      <c r="B343" s="4"/>
      <c r="C343" s="4"/>
      <c r="D343" s="26"/>
      <c r="E343" s="4"/>
      <c r="F343" s="4"/>
      <c r="G343" s="4"/>
      <c r="H343" s="4"/>
      <c r="I343" s="4"/>
      <c r="J343" s="4"/>
      <c r="K343" s="4"/>
      <c r="L343" s="4"/>
      <c r="M343" s="4"/>
      <c r="N343" s="4"/>
      <c r="O343" s="4"/>
      <c r="P343" s="4"/>
      <c r="Q343" s="4"/>
      <c r="R343" s="4"/>
      <c r="S343" s="4"/>
      <c r="T343" s="4"/>
      <c r="U343" s="4"/>
      <c r="V343" s="4"/>
      <c r="W343" s="4"/>
      <c r="X343" s="4"/>
      <c r="Y343" s="4"/>
      <c r="Z343" s="4"/>
      <c r="AA343" s="21"/>
    </row>
    <row r="344">
      <c r="A344" s="4"/>
      <c r="B344" s="4"/>
      <c r="C344" s="4"/>
      <c r="D344" s="26"/>
      <c r="E344" s="4"/>
      <c r="F344" s="4"/>
      <c r="G344" s="4"/>
      <c r="H344" s="4"/>
      <c r="I344" s="4"/>
      <c r="J344" s="4"/>
      <c r="K344" s="4"/>
      <c r="L344" s="4"/>
      <c r="M344" s="4"/>
      <c r="N344" s="4"/>
      <c r="O344" s="4"/>
      <c r="P344" s="4"/>
      <c r="Q344" s="4"/>
      <c r="R344" s="4"/>
      <c r="S344" s="4"/>
      <c r="T344" s="4"/>
      <c r="U344" s="4"/>
      <c r="V344" s="4"/>
      <c r="W344" s="4"/>
      <c r="X344" s="4"/>
      <c r="Y344" s="4"/>
      <c r="Z344" s="4"/>
      <c r="AA344" s="21"/>
    </row>
    <row r="345">
      <c r="A345" s="4"/>
      <c r="B345" s="4"/>
      <c r="C345" s="4"/>
      <c r="D345" s="26"/>
      <c r="E345" s="4"/>
      <c r="F345" s="4"/>
      <c r="G345" s="4"/>
      <c r="H345" s="4"/>
      <c r="I345" s="4"/>
      <c r="J345" s="4"/>
      <c r="K345" s="4"/>
      <c r="L345" s="4"/>
      <c r="M345" s="4"/>
      <c r="N345" s="4"/>
      <c r="O345" s="4"/>
      <c r="P345" s="4"/>
      <c r="Q345" s="4"/>
      <c r="R345" s="4"/>
      <c r="S345" s="4"/>
      <c r="T345" s="4"/>
      <c r="U345" s="4"/>
      <c r="V345" s="4"/>
      <c r="W345" s="4"/>
      <c r="X345" s="4"/>
      <c r="Y345" s="4"/>
      <c r="Z345" s="4"/>
      <c r="AA345" s="21"/>
    </row>
    <row r="346">
      <c r="A346" s="4"/>
      <c r="B346" s="4"/>
      <c r="C346" s="4"/>
      <c r="D346" s="26"/>
      <c r="E346" s="4"/>
      <c r="F346" s="4"/>
      <c r="G346" s="4"/>
      <c r="H346" s="4"/>
      <c r="I346" s="4"/>
      <c r="J346" s="4"/>
      <c r="K346" s="4"/>
      <c r="L346" s="4"/>
      <c r="M346" s="4"/>
      <c r="N346" s="4"/>
      <c r="O346" s="4"/>
      <c r="P346" s="4"/>
      <c r="Q346" s="4"/>
      <c r="R346" s="4"/>
      <c r="S346" s="4"/>
      <c r="T346" s="4"/>
      <c r="U346" s="4"/>
      <c r="V346" s="4"/>
      <c r="W346" s="4"/>
      <c r="X346" s="4"/>
      <c r="Y346" s="4"/>
      <c r="Z346" s="4"/>
      <c r="AA346" s="21"/>
    </row>
    <row r="347">
      <c r="A347" s="4"/>
      <c r="B347" s="4"/>
      <c r="C347" s="4"/>
      <c r="D347" s="26"/>
      <c r="E347" s="4"/>
      <c r="F347" s="4"/>
      <c r="G347" s="4"/>
      <c r="H347" s="4"/>
      <c r="I347" s="4"/>
      <c r="J347" s="4"/>
      <c r="K347" s="4"/>
      <c r="L347" s="4"/>
      <c r="M347" s="4"/>
      <c r="N347" s="4"/>
      <c r="O347" s="4"/>
      <c r="P347" s="4"/>
      <c r="Q347" s="4"/>
      <c r="R347" s="4"/>
      <c r="S347" s="4"/>
      <c r="T347" s="4"/>
      <c r="U347" s="4"/>
      <c r="V347" s="4"/>
      <c r="W347" s="4"/>
      <c r="X347" s="4"/>
      <c r="Y347" s="4"/>
      <c r="Z347" s="4"/>
      <c r="AA347" s="21"/>
    </row>
    <row r="348">
      <c r="A348" s="4"/>
      <c r="B348" s="4"/>
      <c r="C348" s="4"/>
      <c r="D348" s="26"/>
      <c r="E348" s="4"/>
      <c r="F348" s="4"/>
      <c r="G348" s="4"/>
      <c r="H348" s="4"/>
      <c r="I348" s="4"/>
      <c r="J348" s="4"/>
      <c r="K348" s="4"/>
      <c r="L348" s="4"/>
      <c r="M348" s="4"/>
      <c r="N348" s="4"/>
      <c r="O348" s="4"/>
      <c r="P348" s="4"/>
      <c r="Q348" s="4"/>
      <c r="R348" s="4"/>
      <c r="S348" s="4"/>
      <c r="T348" s="4"/>
      <c r="U348" s="4"/>
      <c r="V348" s="4"/>
      <c r="W348" s="4"/>
      <c r="X348" s="4"/>
      <c r="Y348" s="4"/>
      <c r="Z348" s="4"/>
      <c r="AA348" s="21"/>
    </row>
    <row r="349">
      <c r="A349" s="4"/>
      <c r="B349" s="4"/>
      <c r="C349" s="4"/>
      <c r="D349" s="26"/>
      <c r="E349" s="4"/>
      <c r="F349" s="4"/>
      <c r="G349" s="4"/>
      <c r="H349" s="4"/>
      <c r="I349" s="4"/>
      <c r="J349" s="4"/>
      <c r="K349" s="4"/>
      <c r="L349" s="4"/>
      <c r="M349" s="4"/>
      <c r="N349" s="4"/>
      <c r="O349" s="4"/>
      <c r="P349" s="4"/>
      <c r="Q349" s="4"/>
      <c r="R349" s="4"/>
      <c r="S349" s="4"/>
      <c r="T349" s="4"/>
      <c r="U349" s="4"/>
      <c r="V349" s="4"/>
      <c r="W349" s="4"/>
      <c r="X349" s="4"/>
      <c r="Y349" s="4"/>
      <c r="Z349" s="4"/>
      <c r="AA349" s="21"/>
    </row>
    <row r="350">
      <c r="A350" s="4"/>
      <c r="B350" s="4"/>
      <c r="C350" s="4"/>
      <c r="D350" s="26"/>
      <c r="E350" s="4"/>
      <c r="F350" s="4"/>
      <c r="G350" s="4"/>
      <c r="H350" s="4"/>
      <c r="I350" s="4"/>
      <c r="J350" s="4"/>
      <c r="K350" s="4"/>
      <c r="L350" s="4"/>
      <c r="M350" s="4"/>
      <c r="N350" s="4"/>
      <c r="O350" s="4"/>
      <c r="P350" s="4"/>
      <c r="Q350" s="4"/>
      <c r="R350" s="4"/>
      <c r="S350" s="4"/>
      <c r="T350" s="4"/>
      <c r="U350" s="4"/>
      <c r="V350" s="4"/>
      <c r="W350" s="4"/>
      <c r="X350" s="4"/>
      <c r="Y350" s="4"/>
      <c r="Z350" s="4"/>
      <c r="AA350" s="21"/>
    </row>
    <row r="351">
      <c r="A351" s="4"/>
      <c r="B351" s="4"/>
      <c r="C351" s="4"/>
      <c r="D351" s="26"/>
      <c r="E351" s="4"/>
      <c r="F351" s="4"/>
      <c r="G351" s="4"/>
      <c r="H351" s="4"/>
      <c r="I351" s="4"/>
      <c r="J351" s="4"/>
      <c r="K351" s="4"/>
      <c r="L351" s="4"/>
      <c r="M351" s="4"/>
      <c r="N351" s="4"/>
      <c r="O351" s="4"/>
      <c r="P351" s="4"/>
      <c r="Q351" s="4"/>
      <c r="R351" s="4"/>
      <c r="S351" s="4"/>
      <c r="T351" s="4"/>
      <c r="U351" s="4"/>
      <c r="V351" s="4"/>
      <c r="W351" s="4"/>
      <c r="X351" s="4"/>
      <c r="Y351" s="4"/>
      <c r="Z351" s="4"/>
      <c r="AA351" s="21"/>
    </row>
    <row r="352">
      <c r="A352" s="4"/>
      <c r="B352" s="4"/>
      <c r="C352" s="4"/>
      <c r="D352" s="26"/>
      <c r="E352" s="4"/>
      <c r="F352" s="4"/>
      <c r="G352" s="4"/>
      <c r="H352" s="4"/>
      <c r="I352" s="4"/>
      <c r="J352" s="4"/>
      <c r="K352" s="4"/>
      <c r="L352" s="4"/>
      <c r="M352" s="4"/>
      <c r="N352" s="4"/>
      <c r="O352" s="4"/>
      <c r="P352" s="4"/>
      <c r="Q352" s="4"/>
      <c r="R352" s="4"/>
      <c r="S352" s="4"/>
      <c r="T352" s="4"/>
      <c r="U352" s="4"/>
      <c r="V352" s="4"/>
      <c r="W352" s="4"/>
      <c r="X352" s="4"/>
      <c r="Y352" s="4"/>
      <c r="Z352" s="4"/>
      <c r="AA352" s="21"/>
    </row>
    <row r="353">
      <c r="A353" s="4"/>
      <c r="B353" s="4"/>
      <c r="C353" s="4"/>
      <c r="D353" s="26"/>
      <c r="E353" s="4"/>
      <c r="F353" s="4"/>
      <c r="G353" s="4"/>
      <c r="H353" s="4"/>
      <c r="I353" s="4"/>
      <c r="J353" s="4"/>
      <c r="K353" s="4"/>
      <c r="L353" s="4"/>
      <c r="M353" s="4"/>
      <c r="N353" s="4"/>
      <c r="O353" s="4"/>
      <c r="P353" s="4"/>
      <c r="Q353" s="4"/>
      <c r="R353" s="4"/>
      <c r="S353" s="4"/>
      <c r="T353" s="4"/>
      <c r="U353" s="4"/>
      <c r="V353" s="4"/>
      <c r="W353" s="4"/>
      <c r="X353" s="4"/>
      <c r="Y353" s="4"/>
      <c r="Z353" s="4"/>
      <c r="AA353" s="21"/>
    </row>
    <row r="354">
      <c r="A354" s="4"/>
      <c r="B354" s="4"/>
      <c r="C354" s="4"/>
      <c r="D354" s="26"/>
      <c r="E354" s="4"/>
      <c r="F354" s="4"/>
      <c r="G354" s="4"/>
      <c r="H354" s="4"/>
      <c r="I354" s="4"/>
      <c r="J354" s="4"/>
      <c r="K354" s="4"/>
      <c r="L354" s="4"/>
      <c r="M354" s="4"/>
      <c r="N354" s="4"/>
      <c r="O354" s="4"/>
      <c r="P354" s="4"/>
      <c r="Q354" s="4"/>
      <c r="R354" s="4"/>
      <c r="S354" s="4"/>
      <c r="T354" s="4"/>
      <c r="U354" s="4"/>
      <c r="V354" s="4"/>
      <c r="W354" s="4"/>
      <c r="X354" s="4"/>
      <c r="Y354" s="4"/>
      <c r="Z354" s="4"/>
      <c r="AA354" s="21"/>
    </row>
    <row r="355">
      <c r="A355" s="4"/>
      <c r="B355" s="4"/>
      <c r="C355" s="4"/>
      <c r="D355" s="26"/>
      <c r="E355" s="4"/>
      <c r="F355" s="4"/>
      <c r="G355" s="4"/>
      <c r="H355" s="4"/>
      <c r="I355" s="4"/>
      <c r="J355" s="4"/>
      <c r="K355" s="4"/>
      <c r="L355" s="4"/>
      <c r="M355" s="4"/>
      <c r="N355" s="4"/>
      <c r="O355" s="4"/>
      <c r="P355" s="4"/>
      <c r="Q355" s="4"/>
      <c r="R355" s="4"/>
      <c r="S355" s="4"/>
      <c r="T355" s="4"/>
      <c r="U355" s="4"/>
      <c r="V355" s="4"/>
      <c r="W355" s="4"/>
      <c r="X355" s="4"/>
      <c r="Y355" s="4"/>
      <c r="Z355" s="4"/>
      <c r="AA355" s="21"/>
    </row>
    <row r="356">
      <c r="A356" s="4"/>
      <c r="B356" s="4"/>
      <c r="C356" s="4"/>
      <c r="D356" s="26"/>
      <c r="E356" s="4"/>
      <c r="F356" s="4"/>
      <c r="G356" s="4"/>
      <c r="H356" s="4"/>
      <c r="I356" s="4"/>
      <c r="J356" s="4"/>
      <c r="K356" s="4"/>
      <c r="L356" s="4"/>
      <c r="M356" s="4"/>
      <c r="N356" s="4"/>
      <c r="O356" s="4"/>
      <c r="P356" s="4"/>
      <c r="Q356" s="4"/>
      <c r="R356" s="4"/>
      <c r="S356" s="4"/>
      <c r="T356" s="4"/>
      <c r="U356" s="4"/>
      <c r="V356" s="4"/>
      <c r="W356" s="4"/>
      <c r="X356" s="4"/>
      <c r="Y356" s="4"/>
      <c r="Z356" s="4"/>
      <c r="AA356" s="21"/>
    </row>
    <row r="357">
      <c r="A357" s="4"/>
      <c r="B357" s="4"/>
      <c r="C357" s="4"/>
      <c r="D357" s="26"/>
      <c r="E357" s="4"/>
      <c r="F357" s="4"/>
      <c r="G357" s="4"/>
      <c r="H357" s="4"/>
      <c r="I357" s="4"/>
      <c r="J357" s="4"/>
      <c r="K357" s="4"/>
      <c r="L357" s="4"/>
      <c r="M357" s="4"/>
      <c r="N357" s="4"/>
      <c r="O357" s="4"/>
      <c r="P357" s="4"/>
      <c r="Q357" s="4"/>
      <c r="R357" s="4"/>
      <c r="S357" s="4"/>
      <c r="T357" s="4"/>
      <c r="U357" s="4"/>
      <c r="V357" s="4"/>
      <c r="W357" s="4"/>
      <c r="X357" s="4"/>
      <c r="Y357" s="4"/>
      <c r="Z357" s="4"/>
      <c r="AA357" s="21"/>
    </row>
    <row r="358">
      <c r="A358" s="4"/>
      <c r="B358" s="4"/>
      <c r="C358" s="4"/>
      <c r="D358" s="26"/>
      <c r="E358" s="4"/>
      <c r="F358" s="4"/>
      <c r="G358" s="4"/>
      <c r="H358" s="4"/>
      <c r="I358" s="4"/>
      <c r="J358" s="4"/>
      <c r="K358" s="4"/>
      <c r="L358" s="4"/>
      <c r="M358" s="4"/>
      <c r="N358" s="4"/>
      <c r="O358" s="4"/>
      <c r="P358" s="4"/>
      <c r="Q358" s="4"/>
      <c r="R358" s="4"/>
      <c r="S358" s="4"/>
      <c r="T358" s="4"/>
      <c r="U358" s="4"/>
      <c r="V358" s="4"/>
      <c r="W358" s="4"/>
      <c r="X358" s="4"/>
      <c r="Y358" s="4"/>
      <c r="Z358" s="4"/>
      <c r="AA358" s="21"/>
    </row>
    <row r="359">
      <c r="A359" s="4"/>
      <c r="B359" s="4"/>
      <c r="C359" s="4"/>
      <c r="D359" s="26"/>
      <c r="E359" s="4"/>
      <c r="F359" s="4"/>
      <c r="G359" s="4"/>
      <c r="H359" s="4"/>
      <c r="I359" s="4"/>
      <c r="J359" s="4"/>
      <c r="K359" s="4"/>
      <c r="L359" s="4"/>
      <c r="M359" s="4"/>
      <c r="N359" s="4"/>
      <c r="O359" s="4"/>
      <c r="P359" s="4"/>
      <c r="Q359" s="4"/>
      <c r="R359" s="4"/>
      <c r="S359" s="4"/>
      <c r="T359" s="4"/>
      <c r="U359" s="4"/>
      <c r="V359" s="4"/>
      <c r="W359" s="4"/>
      <c r="X359" s="4"/>
      <c r="Y359" s="4"/>
      <c r="Z359" s="4"/>
      <c r="AA359" s="21"/>
    </row>
    <row r="360">
      <c r="A360" s="4"/>
      <c r="B360" s="4"/>
      <c r="C360" s="4"/>
      <c r="D360" s="26"/>
      <c r="E360" s="4"/>
      <c r="F360" s="4"/>
      <c r="G360" s="4"/>
      <c r="H360" s="4"/>
      <c r="I360" s="4"/>
      <c r="J360" s="4"/>
      <c r="K360" s="4"/>
      <c r="L360" s="4"/>
      <c r="M360" s="4"/>
      <c r="N360" s="4"/>
      <c r="O360" s="4"/>
      <c r="P360" s="4"/>
      <c r="Q360" s="4"/>
      <c r="R360" s="4"/>
      <c r="S360" s="4"/>
      <c r="T360" s="4"/>
      <c r="U360" s="4"/>
      <c r="V360" s="4"/>
      <c r="W360" s="4"/>
      <c r="X360" s="4"/>
      <c r="Y360" s="4"/>
      <c r="Z360" s="4"/>
      <c r="AA360" s="21"/>
    </row>
    <row r="361">
      <c r="A361" s="4"/>
      <c r="B361" s="4"/>
      <c r="C361" s="4"/>
      <c r="D361" s="26"/>
      <c r="E361" s="4"/>
      <c r="F361" s="4"/>
      <c r="G361" s="4"/>
      <c r="H361" s="4"/>
      <c r="I361" s="4"/>
      <c r="J361" s="4"/>
      <c r="K361" s="4"/>
      <c r="L361" s="4"/>
      <c r="M361" s="4"/>
      <c r="N361" s="4"/>
      <c r="O361" s="4"/>
      <c r="P361" s="4"/>
      <c r="Q361" s="4"/>
      <c r="R361" s="4"/>
      <c r="S361" s="4"/>
      <c r="T361" s="4"/>
      <c r="U361" s="4"/>
      <c r="V361" s="4"/>
      <c r="W361" s="4"/>
      <c r="X361" s="4"/>
      <c r="Y361" s="4"/>
      <c r="Z361" s="4"/>
      <c r="AA361" s="21"/>
    </row>
    <row r="362">
      <c r="A362" s="4"/>
      <c r="B362" s="4"/>
      <c r="C362" s="4"/>
      <c r="D362" s="26"/>
      <c r="E362" s="4"/>
      <c r="F362" s="4"/>
      <c r="G362" s="4"/>
      <c r="H362" s="4"/>
      <c r="I362" s="4"/>
      <c r="J362" s="4"/>
      <c r="K362" s="4"/>
      <c r="L362" s="4"/>
      <c r="M362" s="4"/>
      <c r="N362" s="4"/>
      <c r="O362" s="4"/>
      <c r="P362" s="4"/>
      <c r="Q362" s="4"/>
      <c r="R362" s="4"/>
      <c r="S362" s="4"/>
      <c r="T362" s="4"/>
      <c r="U362" s="4"/>
      <c r="V362" s="4"/>
      <c r="W362" s="4"/>
      <c r="X362" s="4"/>
      <c r="Y362" s="4"/>
      <c r="Z362" s="4"/>
      <c r="AA362" s="21"/>
    </row>
    <row r="363">
      <c r="A363" s="4"/>
      <c r="B363" s="4"/>
      <c r="C363" s="4"/>
      <c r="D363" s="26"/>
      <c r="E363" s="4"/>
      <c r="F363" s="4"/>
      <c r="G363" s="4"/>
      <c r="H363" s="4"/>
      <c r="I363" s="4"/>
      <c r="J363" s="4"/>
      <c r="K363" s="4"/>
      <c r="L363" s="4"/>
      <c r="M363" s="4"/>
      <c r="N363" s="4"/>
      <c r="O363" s="4"/>
      <c r="P363" s="4"/>
      <c r="Q363" s="4"/>
      <c r="R363" s="4"/>
      <c r="S363" s="4"/>
      <c r="T363" s="4"/>
      <c r="U363" s="4"/>
      <c r="V363" s="4"/>
      <c r="W363" s="4"/>
      <c r="X363" s="4"/>
      <c r="Y363" s="4"/>
      <c r="Z363" s="4"/>
      <c r="AA363" s="21"/>
    </row>
    <row r="364">
      <c r="A364" s="4"/>
      <c r="B364" s="4"/>
      <c r="C364" s="4"/>
      <c r="D364" s="26"/>
      <c r="E364" s="4"/>
      <c r="F364" s="4"/>
      <c r="G364" s="4"/>
      <c r="H364" s="4"/>
      <c r="I364" s="4"/>
      <c r="J364" s="4"/>
      <c r="K364" s="4"/>
      <c r="L364" s="4"/>
      <c r="M364" s="4"/>
      <c r="N364" s="4"/>
      <c r="O364" s="4"/>
      <c r="P364" s="4"/>
      <c r="Q364" s="4"/>
      <c r="R364" s="4"/>
      <c r="S364" s="4"/>
      <c r="T364" s="4"/>
      <c r="U364" s="4"/>
      <c r="V364" s="4"/>
      <c r="W364" s="4"/>
      <c r="X364" s="4"/>
      <c r="Y364" s="4"/>
      <c r="Z364" s="4"/>
      <c r="AA364" s="21"/>
    </row>
    <row r="365">
      <c r="A365" s="4"/>
      <c r="B365" s="4"/>
      <c r="C365" s="4"/>
      <c r="D365" s="26"/>
      <c r="E365" s="4"/>
      <c r="F365" s="4"/>
      <c r="G365" s="4"/>
      <c r="H365" s="4"/>
      <c r="I365" s="4"/>
      <c r="J365" s="4"/>
      <c r="K365" s="4"/>
      <c r="L365" s="4"/>
      <c r="M365" s="4"/>
      <c r="N365" s="4"/>
      <c r="O365" s="4"/>
      <c r="P365" s="4"/>
      <c r="Q365" s="4"/>
      <c r="R365" s="4"/>
      <c r="S365" s="4"/>
      <c r="T365" s="4"/>
      <c r="U365" s="4"/>
      <c r="V365" s="4"/>
      <c r="W365" s="4"/>
      <c r="X365" s="4"/>
      <c r="Y365" s="4"/>
      <c r="Z365" s="4"/>
      <c r="AA365" s="21"/>
    </row>
    <row r="366">
      <c r="A366" s="4"/>
      <c r="B366" s="4"/>
      <c r="C366" s="4"/>
      <c r="D366" s="26"/>
      <c r="E366" s="4"/>
      <c r="F366" s="4"/>
      <c r="G366" s="4"/>
      <c r="H366" s="4"/>
      <c r="I366" s="4"/>
      <c r="J366" s="4"/>
      <c r="K366" s="4"/>
      <c r="L366" s="4"/>
      <c r="M366" s="4"/>
      <c r="N366" s="4"/>
      <c r="O366" s="4"/>
      <c r="P366" s="4"/>
      <c r="Q366" s="4"/>
      <c r="R366" s="4"/>
      <c r="S366" s="4"/>
      <c r="T366" s="4"/>
      <c r="U366" s="4"/>
      <c r="V366" s="4"/>
      <c r="W366" s="4"/>
      <c r="X366" s="4"/>
      <c r="Y366" s="4"/>
      <c r="Z366" s="4"/>
      <c r="AA366" s="21"/>
    </row>
    <row r="367">
      <c r="A367" s="4"/>
      <c r="B367" s="4"/>
      <c r="C367" s="4"/>
      <c r="D367" s="26"/>
      <c r="E367" s="4"/>
      <c r="F367" s="4"/>
      <c r="G367" s="4"/>
      <c r="H367" s="4"/>
      <c r="I367" s="4"/>
      <c r="J367" s="4"/>
      <c r="K367" s="4"/>
      <c r="L367" s="4"/>
      <c r="M367" s="4"/>
      <c r="N367" s="4"/>
      <c r="O367" s="4"/>
      <c r="P367" s="4"/>
      <c r="Q367" s="4"/>
      <c r="R367" s="4"/>
      <c r="S367" s="4"/>
      <c r="T367" s="4"/>
      <c r="U367" s="4"/>
      <c r="V367" s="4"/>
      <c r="W367" s="4"/>
      <c r="X367" s="4"/>
      <c r="Y367" s="4"/>
      <c r="Z367" s="4"/>
      <c r="AA367" s="21"/>
    </row>
    <row r="368">
      <c r="A368" s="4"/>
      <c r="B368" s="4"/>
      <c r="C368" s="4"/>
      <c r="D368" s="26"/>
      <c r="E368" s="4"/>
      <c r="F368" s="4"/>
      <c r="G368" s="4"/>
      <c r="H368" s="4"/>
      <c r="I368" s="4"/>
      <c r="J368" s="4"/>
      <c r="K368" s="4"/>
      <c r="L368" s="4"/>
      <c r="M368" s="4"/>
      <c r="N368" s="4"/>
      <c r="O368" s="4"/>
      <c r="P368" s="4"/>
      <c r="Q368" s="4"/>
      <c r="R368" s="4"/>
      <c r="S368" s="4"/>
      <c r="T368" s="4"/>
      <c r="U368" s="4"/>
      <c r="V368" s="4"/>
      <c r="W368" s="4"/>
      <c r="X368" s="4"/>
      <c r="Y368" s="4"/>
      <c r="Z368" s="4"/>
      <c r="AA368" s="21"/>
    </row>
    <row r="369">
      <c r="A369" s="4"/>
      <c r="B369" s="4"/>
      <c r="C369" s="4"/>
      <c r="D369" s="26"/>
      <c r="E369" s="4"/>
      <c r="F369" s="4"/>
      <c r="G369" s="4"/>
      <c r="H369" s="4"/>
      <c r="I369" s="4"/>
      <c r="J369" s="4"/>
      <c r="K369" s="4"/>
      <c r="L369" s="4"/>
      <c r="M369" s="4"/>
      <c r="N369" s="4"/>
      <c r="O369" s="4"/>
      <c r="P369" s="4"/>
      <c r="Q369" s="4"/>
      <c r="R369" s="4"/>
      <c r="S369" s="4"/>
      <c r="T369" s="4"/>
      <c r="U369" s="4"/>
      <c r="V369" s="4"/>
      <c r="W369" s="4"/>
      <c r="X369" s="4"/>
      <c r="Y369" s="4"/>
      <c r="Z369" s="4"/>
      <c r="AA369" s="21"/>
    </row>
    <row r="370">
      <c r="A370" s="4"/>
      <c r="B370" s="4"/>
      <c r="C370" s="4"/>
      <c r="D370" s="26"/>
      <c r="E370" s="4"/>
      <c r="F370" s="4"/>
      <c r="G370" s="4"/>
      <c r="H370" s="4"/>
      <c r="I370" s="4"/>
      <c r="J370" s="4"/>
      <c r="K370" s="4"/>
      <c r="L370" s="4"/>
      <c r="M370" s="4"/>
      <c r="N370" s="4"/>
      <c r="O370" s="4"/>
      <c r="P370" s="4"/>
      <c r="Q370" s="4"/>
      <c r="R370" s="4"/>
      <c r="S370" s="4"/>
      <c r="T370" s="4"/>
      <c r="U370" s="4"/>
      <c r="V370" s="4"/>
      <c r="W370" s="4"/>
      <c r="X370" s="4"/>
      <c r="Y370" s="4"/>
      <c r="Z370" s="4"/>
      <c r="AA370" s="21"/>
    </row>
    <row r="371">
      <c r="A371" s="4"/>
      <c r="B371" s="4"/>
      <c r="C371" s="4"/>
      <c r="D371" s="26"/>
      <c r="E371" s="4"/>
      <c r="F371" s="4"/>
      <c r="G371" s="4"/>
      <c r="H371" s="4"/>
      <c r="I371" s="4"/>
      <c r="J371" s="4"/>
      <c r="K371" s="4"/>
      <c r="L371" s="4"/>
      <c r="M371" s="4"/>
      <c r="N371" s="4"/>
      <c r="O371" s="4"/>
      <c r="P371" s="4"/>
      <c r="Q371" s="4"/>
      <c r="R371" s="4"/>
      <c r="S371" s="4"/>
      <c r="T371" s="4"/>
      <c r="U371" s="4"/>
      <c r="V371" s="4"/>
      <c r="W371" s="4"/>
      <c r="X371" s="4"/>
      <c r="Y371" s="4"/>
      <c r="Z371" s="4"/>
      <c r="AA371" s="21"/>
    </row>
    <row r="372">
      <c r="A372" s="4"/>
      <c r="B372" s="4"/>
      <c r="C372" s="4"/>
      <c r="D372" s="26"/>
      <c r="E372" s="4"/>
      <c r="F372" s="4"/>
      <c r="G372" s="4"/>
      <c r="H372" s="4"/>
      <c r="I372" s="4"/>
      <c r="J372" s="4"/>
      <c r="K372" s="4"/>
      <c r="L372" s="4"/>
      <c r="M372" s="4"/>
      <c r="N372" s="4"/>
      <c r="O372" s="4"/>
      <c r="P372" s="4"/>
      <c r="Q372" s="4"/>
      <c r="R372" s="4"/>
      <c r="S372" s="4"/>
      <c r="T372" s="4"/>
      <c r="U372" s="4"/>
      <c r="V372" s="4"/>
      <c r="W372" s="4"/>
      <c r="X372" s="4"/>
      <c r="Y372" s="4"/>
      <c r="Z372" s="4"/>
      <c r="AA372" s="21"/>
    </row>
    <row r="373">
      <c r="A373" s="4"/>
      <c r="B373" s="4"/>
      <c r="C373" s="4"/>
      <c r="D373" s="26"/>
      <c r="E373" s="4"/>
      <c r="F373" s="4"/>
      <c r="G373" s="4"/>
      <c r="H373" s="4"/>
      <c r="I373" s="4"/>
      <c r="J373" s="4"/>
      <c r="K373" s="4"/>
      <c r="L373" s="4"/>
      <c r="M373" s="4"/>
      <c r="N373" s="4"/>
      <c r="O373" s="4"/>
      <c r="P373" s="4"/>
      <c r="Q373" s="4"/>
      <c r="R373" s="4"/>
      <c r="S373" s="4"/>
      <c r="T373" s="4"/>
      <c r="U373" s="4"/>
      <c r="V373" s="4"/>
      <c r="W373" s="4"/>
      <c r="X373" s="4"/>
      <c r="Y373" s="4"/>
      <c r="Z373" s="4"/>
      <c r="AA373" s="21"/>
    </row>
    <row r="374">
      <c r="A374" s="4"/>
      <c r="B374" s="4"/>
      <c r="C374" s="4"/>
      <c r="D374" s="26"/>
      <c r="E374" s="4"/>
      <c r="F374" s="4"/>
      <c r="G374" s="4"/>
      <c r="H374" s="4"/>
      <c r="I374" s="4"/>
      <c r="J374" s="4"/>
      <c r="K374" s="4"/>
      <c r="L374" s="4"/>
      <c r="M374" s="4"/>
      <c r="N374" s="4"/>
      <c r="O374" s="4"/>
      <c r="P374" s="4"/>
      <c r="Q374" s="4"/>
      <c r="R374" s="4"/>
      <c r="S374" s="4"/>
      <c r="T374" s="4"/>
      <c r="U374" s="4"/>
      <c r="V374" s="4"/>
      <c r="W374" s="4"/>
      <c r="X374" s="4"/>
      <c r="Y374" s="4"/>
      <c r="Z374" s="4"/>
      <c r="AA374" s="21"/>
    </row>
    <row r="375">
      <c r="A375" s="4"/>
      <c r="B375" s="4"/>
      <c r="C375" s="4"/>
      <c r="D375" s="26"/>
      <c r="E375" s="4"/>
      <c r="F375" s="4"/>
      <c r="G375" s="4"/>
      <c r="H375" s="4"/>
      <c r="I375" s="4"/>
      <c r="J375" s="4"/>
      <c r="K375" s="4"/>
      <c r="L375" s="4"/>
      <c r="M375" s="4"/>
      <c r="N375" s="4"/>
      <c r="O375" s="4"/>
      <c r="P375" s="4"/>
      <c r="Q375" s="4"/>
      <c r="R375" s="4"/>
      <c r="S375" s="4"/>
      <c r="T375" s="4"/>
      <c r="U375" s="4"/>
      <c r="V375" s="4"/>
      <c r="W375" s="4"/>
      <c r="X375" s="4"/>
      <c r="Y375" s="4"/>
      <c r="Z375" s="4"/>
      <c r="AA375" s="21"/>
    </row>
    <row r="376">
      <c r="A376" s="4"/>
      <c r="B376" s="4"/>
      <c r="C376" s="4"/>
      <c r="D376" s="26"/>
      <c r="E376" s="4"/>
      <c r="F376" s="4"/>
      <c r="G376" s="4"/>
      <c r="H376" s="4"/>
      <c r="I376" s="4"/>
      <c r="J376" s="4"/>
      <c r="K376" s="4"/>
      <c r="L376" s="4"/>
      <c r="M376" s="4"/>
      <c r="N376" s="4"/>
      <c r="O376" s="4"/>
      <c r="P376" s="4"/>
      <c r="Q376" s="4"/>
      <c r="R376" s="4"/>
      <c r="S376" s="4"/>
      <c r="T376" s="4"/>
      <c r="U376" s="4"/>
      <c r="V376" s="4"/>
      <c r="W376" s="4"/>
      <c r="X376" s="4"/>
      <c r="Y376" s="4"/>
      <c r="Z376" s="4"/>
      <c r="AA376" s="21"/>
    </row>
    <row r="377">
      <c r="A377" s="4"/>
      <c r="B377" s="4"/>
      <c r="C377" s="4"/>
      <c r="D377" s="26"/>
      <c r="E377" s="4"/>
      <c r="F377" s="4"/>
      <c r="G377" s="4"/>
      <c r="H377" s="4"/>
      <c r="I377" s="4"/>
      <c r="J377" s="4"/>
      <c r="K377" s="4"/>
      <c r="L377" s="4"/>
      <c r="M377" s="4"/>
      <c r="N377" s="4"/>
      <c r="O377" s="4"/>
      <c r="P377" s="4"/>
      <c r="Q377" s="4"/>
      <c r="R377" s="4"/>
      <c r="S377" s="4"/>
      <c r="T377" s="4"/>
      <c r="U377" s="4"/>
      <c r="V377" s="4"/>
      <c r="W377" s="4"/>
      <c r="X377" s="4"/>
      <c r="Y377" s="4"/>
      <c r="Z377" s="4"/>
      <c r="AA377" s="21"/>
    </row>
    <row r="378">
      <c r="A378" s="4"/>
      <c r="B378" s="4"/>
      <c r="C378" s="4"/>
      <c r="D378" s="26"/>
      <c r="E378" s="4"/>
      <c r="F378" s="4"/>
      <c r="G378" s="4"/>
      <c r="H378" s="4"/>
      <c r="I378" s="4"/>
      <c r="J378" s="4"/>
      <c r="K378" s="4"/>
      <c r="L378" s="4"/>
      <c r="M378" s="4"/>
      <c r="N378" s="4"/>
      <c r="O378" s="4"/>
      <c r="P378" s="4"/>
      <c r="Q378" s="4"/>
      <c r="R378" s="4"/>
      <c r="S378" s="4"/>
      <c r="T378" s="4"/>
      <c r="U378" s="4"/>
      <c r="V378" s="4"/>
      <c r="W378" s="4"/>
      <c r="X378" s="4"/>
      <c r="Y378" s="4"/>
      <c r="Z378" s="4"/>
      <c r="AA378" s="21"/>
    </row>
    <row r="379">
      <c r="A379" s="4"/>
      <c r="B379" s="4"/>
      <c r="C379" s="4"/>
      <c r="D379" s="26"/>
      <c r="E379" s="4"/>
      <c r="F379" s="4"/>
      <c r="G379" s="4"/>
      <c r="H379" s="4"/>
      <c r="I379" s="4"/>
      <c r="J379" s="4"/>
      <c r="K379" s="4"/>
      <c r="L379" s="4"/>
      <c r="M379" s="4"/>
      <c r="N379" s="4"/>
      <c r="O379" s="4"/>
      <c r="P379" s="4"/>
      <c r="Q379" s="4"/>
      <c r="R379" s="4"/>
      <c r="S379" s="4"/>
      <c r="T379" s="4"/>
      <c r="U379" s="4"/>
      <c r="V379" s="4"/>
      <c r="W379" s="4"/>
      <c r="X379" s="4"/>
      <c r="Y379" s="4"/>
      <c r="Z379" s="4"/>
      <c r="AA379" s="21"/>
    </row>
    <row r="380">
      <c r="A380" s="4"/>
      <c r="B380" s="4"/>
      <c r="C380" s="4"/>
      <c r="D380" s="26"/>
      <c r="E380" s="4"/>
      <c r="F380" s="4"/>
      <c r="G380" s="4"/>
      <c r="H380" s="4"/>
      <c r="I380" s="4"/>
      <c r="J380" s="4"/>
      <c r="K380" s="4"/>
      <c r="L380" s="4"/>
      <c r="M380" s="4"/>
      <c r="N380" s="4"/>
      <c r="O380" s="4"/>
      <c r="P380" s="4"/>
      <c r="Q380" s="4"/>
      <c r="R380" s="4"/>
      <c r="S380" s="4"/>
      <c r="T380" s="4"/>
      <c r="U380" s="4"/>
      <c r="V380" s="4"/>
      <c r="W380" s="4"/>
      <c r="X380" s="4"/>
      <c r="Y380" s="4"/>
      <c r="Z380" s="4"/>
      <c r="AA380" s="21"/>
    </row>
    <row r="381">
      <c r="A381" s="4"/>
      <c r="B381" s="4"/>
      <c r="C381" s="4"/>
      <c r="D381" s="26"/>
      <c r="E381" s="4"/>
      <c r="F381" s="4"/>
      <c r="G381" s="4"/>
      <c r="H381" s="4"/>
      <c r="I381" s="4"/>
      <c r="J381" s="4"/>
      <c r="K381" s="4"/>
      <c r="L381" s="4"/>
      <c r="M381" s="4"/>
      <c r="N381" s="4"/>
      <c r="O381" s="4"/>
      <c r="P381" s="4"/>
      <c r="Q381" s="4"/>
      <c r="R381" s="4"/>
      <c r="S381" s="4"/>
      <c r="T381" s="4"/>
      <c r="U381" s="4"/>
      <c r="V381" s="4"/>
      <c r="W381" s="4"/>
      <c r="X381" s="4"/>
      <c r="Y381" s="4"/>
      <c r="Z381" s="4"/>
      <c r="AA381" s="21"/>
    </row>
    <row r="382">
      <c r="A382" s="4"/>
      <c r="B382" s="4"/>
      <c r="C382" s="4"/>
      <c r="D382" s="26"/>
      <c r="E382" s="4"/>
      <c r="F382" s="4"/>
      <c r="G382" s="4"/>
      <c r="H382" s="4"/>
      <c r="I382" s="4"/>
      <c r="J382" s="4"/>
      <c r="K382" s="4"/>
      <c r="L382" s="4"/>
      <c r="M382" s="4"/>
      <c r="N382" s="4"/>
      <c r="O382" s="4"/>
      <c r="P382" s="4"/>
      <c r="Q382" s="4"/>
      <c r="R382" s="4"/>
      <c r="S382" s="4"/>
      <c r="T382" s="4"/>
      <c r="U382" s="4"/>
      <c r="V382" s="4"/>
      <c r="W382" s="4"/>
      <c r="X382" s="4"/>
      <c r="Y382" s="4"/>
      <c r="Z382" s="4"/>
      <c r="AA382" s="21"/>
    </row>
    <row r="383">
      <c r="A383" s="4"/>
      <c r="B383" s="4"/>
      <c r="C383" s="4"/>
      <c r="D383" s="26"/>
      <c r="E383" s="4"/>
      <c r="F383" s="4"/>
      <c r="G383" s="4"/>
      <c r="H383" s="4"/>
      <c r="I383" s="4"/>
      <c r="J383" s="4"/>
      <c r="K383" s="4"/>
      <c r="L383" s="4"/>
      <c r="M383" s="4"/>
      <c r="N383" s="4"/>
      <c r="O383" s="4"/>
      <c r="P383" s="4"/>
      <c r="Q383" s="4"/>
      <c r="R383" s="4"/>
      <c r="S383" s="4"/>
      <c r="T383" s="4"/>
      <c r="U383" s="4"/>
      <c r="V383" s="4"/>
      <c r="W383" s="4"/>
      <c r="X383" s="4"/>
      <c r="Y383" s="4"/>
      <c r="Z383" s="4"/>
      <c r="AA383" s="21"/>
    </row>
    <row r="384">
      <c r="A384" s="4"/>
      <c r="B384" s="4"/>
      <c r="C384" s="4"/>
      <c r="D384" s="26"/>
      <c r="E384" s="4"/>
      <c r="F384" s="4"/>
      <c r="G384" s="4"/>
      <c r="H384" s="4"/>
      <c r="I384" s="4"/>
      <c r="J384" s="4"/>
      <c r="K384" s="4"/>
      <c r="L384" s="4"/>
      <c r="M384" s="4"/>
      <c r="N384" s="4"/>
      <c r="O384" s="4"/>
      <c r="P384" s="4"/>
      <c r="Q384" s="4"/>
      <c r="R384" s="4"/>
      <c r="S384" s="4"/>
      <c r="T384" s="4"/>
      <c r="U384" s="4"/>
      <c r="V384" s="4"/>
      <c r="W384" s="4"/>
      <c r="X384" s="4"/>
      <c r="Y384" s="4"/>
      <c r="Z384" s="4"/>
      <c r="AA384" s="21"/>
    </row>
    <row r="385">
      <c r="A385" s="4"/>
      <c r="B385" s="4"/>
      <c r="C385" s="4"/>
      <c r="D385" s="26"/>
      <c r="E385" s="4"/>
      <c r="F385" s="4"/>
      <c r="G385" s="4"/>
      <c r="H385" s="4"/>
      <c r="I385" s="4"/>
      <c r="J385" s="4"/>
      <c r="K385" s="4"/>
      <c r="L385" s="4"/>
      <c r="M385" s="4"/>
      <c r="N385" s="4"/>
      <c r="O385" s="4"/>
      <c r="P385" s="4"/>
      <c r="Q385" s="4"/>
      <c r="R385" s="4"/>
      <c r="S385" s="4"/>
      <c r="T385" s="4"/>
      <c r="U385" s="4"/>
      <c r="V385" s="4"/>
      <c r="W385" s="4"/>
      <c r="X385" s="4"/>
      <c r="Y385" s="4"/>
      <c r="Z385" s="4"/>
      <c r="AA385" s="21"/>
    </row>
    <row r="386">
      <c r="A386" s="4"/>
      <c r="B386" s="4"/>
      <c r="C386" s="4"/>
      <c r="D386" s="26"/>
      <c r="E386" s="4"/>
      <c r="F386" s="4"/>
      <c r="G386" s="4"/>
      <c r="H386" s="4"/>
      <c r="I386" s="4"/>
      <c r="J386" s="4"/>
      <c r="K386" s="4"/>
      <c r="L386" s="4"/>
      <c r="M386" s="4"/>
      <c r="N386" s="4"/>
      <c r="O386" s="4"/>
      <c r="P386" s="4"/>
      <c r="Q386" s="4"/>
      <c r="R386" s="4"/>
      <c r="S386" s="4"/>
      <c r="T386" s="4"/>
      <c r="U386" s="4"/>
      <c r="V386" s="4"/>
      <c r="W386" s="4"/>
      <c r="X386" s="4"/>
      <c r="Y386" s="4"/>
      <c r="Z386" s="4"/>
      <c r="AA386" s="21"/>
    </row>
    <row r="387">
      <c r="A387" s="4"/>
      <c r="B387" s="4"/>
      <c r="C387" s="4"/>
      <c r="D387" s="26"/>
      <c r="E387" s="4"/>
      <c r="F387" s="4"/>
      <c r="G387" s="4"/>
      <c r="H387" s="4"/>
      <c r="I387" s="4"/>
      <c r="J387" s="4"/>
      <c r="K387" s="4"/>
      <c r="L387" s="4"/>
      <c r="M387" s="4"/>
      <c r="N387" s="4"/>
      <c r="O387" s="4"/>
      <c r="P387" s="4"/>
      <c r="Q387" s="4"/>
      <c r="R387" s="4"/>
      <c r="S387" s="4"/>
      <c r="T387" s="4"/>
      <c r="U387" s="4"/>
      <c r="V387" s="4"/>
      <c r="W387" s="4"/>
      <c r="X387" s="4"/>
      <c r="Y387" s="4"/>
      <c r="Z387" s="4"/>
      <c r="AA387" s="21"/>
    </row>
    <row r="388">
      <c r="A388" s="4"/>
      <c r="B388" s="4"/>
      <c r="C388" s="4"/>
      <c r="D388" s="26"/>
      <c r="E388" s="4"/>
      <c r="F388" s="4"/>
      <c r="G388" s="4"/>
      <c r="H388" s="4"/>
      <c r="I388" s="4"/>
      <c r="J388" s="4"/>
      <c r="K388" s="4"/>
      <c r="L388" s="4"/>
      <c r="M388" s="4"/>
      <c r="N388" s="4"/>
      <c r="O388" s="4"/>
      <c r="P388" s="4"/>
      <c r="Q388" s="4"/>
      <c r="R388" s="4"/>
      <c r="S388" s="4"/>
      <c r="T388" s="4"/>
      <c r="U388" s="4"/>
      <c r="V388" s="4"/>
      <c r="W388" s="4"/>
      <c r="X388" s="4"/>
      <c r="Y388" s="4"/>
      <c r="Z388" s="4"/>
      <c r="AA388" s="21"/>
    </row>
    <row r="389">
      <c r="A389" s="4"/>
      <c r="B389" s="4"/>
      <c r="C389" s="4"/>
      <c r="D389" s="26"/>
      <c r="E389" s="4"/>
      <c r="F389" s="4"/>
      <c r="G389" s="4"/>
      <c r="H389" s="4"/>
      <c r="I389" s="4"/>
      <c r="J389" s="4"/>
      <c r="K389" s="4"/>
      <c r="L389" s="4"/>
      <c r="M389" s="4"/>
      <c r="N389" s="4"/>
      <c r="O389" s="4"/>
      <c r="P389" s="4"/>
      <c r="Q389" s="4"/>
      <c r="R389" s="4"/>
      <c r="S389" s="4"/>
      <c r="T389" s="4"/>
      <c r="U389" s="4"/>
      <c r="V389" s="4"/>
      <c r="W389" s="4"/>
      <c r="X389" s="4"/>
      <c r="Y389" s="4"/>
      <c r="Z389" s="4"/>
      <c r="AA389" s="21"/>
    </row>
    <row r="390">
      <c r="A390" s="4"/>
      <c r="B390" s="4"/>
      <c r="C390" s="4"/>
      <c r="D390" s="26"/>
      <c r="E390" s="4"/>
      <c r="F390" s="4"/>
      <c r="G390" s="4"/>
      <c r="H390" s="4"/>
      <c r="I390" s="4"/>
      <c r="J390" s="4"/>
      <c r="K390" s="4"/>
      <c r="L390" s="4"/>
      <c r="M390" s="4"/>
      <c r="N390" s="4"/>
      <c r="O390" s="4"/>
      <c r="P390" s="4"/>
      <c r="Q390" s="4"/>
      <c r="R390" s="4"/>
      <c r="S390" s="4"/>
      <c r="T390" s="4"/>
      <c r="U390" s="4"/>
      <c r="V390" s="4"/>
      <c r="W390" s="4"/>
      <c r="X390" s="4"/>
      <c r="Y390" s="4"/>
      <c r="Z390" s="4"/>
      <c r="AA390" s="21"/>
    </row>
    <row r="391">
      <c r="A391" s="4"/>
      <c r="B391" s="4"/>
      <c r="C391" s="4"/>
      <c r="D391" s="26"/>
      <c r="E391" s="4"/>
      <c r="F391" s="4"/>
      <c r="G391" s="4"/>
      <c r="H391" s="4"/>
      <c r="I391" s="4"/>
      <c r="J391" s="4"/>
      <c r="K391" s="4"/>
      <c r="L391" s="4"/>
      <c r="M391" s="4"/>
      <c r="N391" s="4"/>
      <c r="O391" s="4"/>
      <c r="P391" s="4"/>
      <c r="Q391" s="4"/>
      <c r="R391" s="4"/>
      <c r="S391" s="4"/>
      <c r="T391" s="4"/>
      <c r="U391" s="4"/>
      <c r="V391" s="4"/>
      <c r="W391" s="4"/>
      <c r="X391" s="4"/>
      <c r="Y391" s="4"/>
      <c r="Z391" s="4"/>
      <c r="AA391" s="21"/>
    </row>
    <row r="392">
      <c r="A392" s="4"/>
      <c r="B392" s="4"/>
      <c r="C392" s="4"/>
      <c r="D392" s="26"/>
      <c r="E392" s="4"/>
      <c r="F392" s="4"/>
      <c r="G392" s="4"/>
      <c r="H392" s="4"/>
      <c r="I392" s="4"/>
      <c r="J392" s="4"/>
      <c r="K392" s="4"/>
      <c r="L392" s="4"/>
      <c r="M392" s="4"/>
      <c r="N392" s="4"/>
      <c r="O392" s="4"/>
      <c r="P392" s="4"/>
      <c r="Q392" s="4"/>
      <c r="R392" s="4"/>
      <c r="S392" s="4"/>
      <c r="T392" s="4"/>
      <c r="U392" s="4"/>
      <c r="V392" s="4"/>
      <c r="W392" s="4"/>
      <c r="X392" s="4"/>
      <c r="Y392" s="4"/>
      <c r="Z392" s="4"/>
      <c r="AA392" s="21"/>
    </row>
    <row r="393">
      <c r="A393" s="4"/>
      <c r="B393" s="4"/>
      <c r="C393" s="4"/>
      <c r="D393" s="26"/>
      <c r="E393" s="4"/>
      <c r="F393" s="4"/>
      <c r="G393" s="4"/>
      <c r="H393" s="4"/>
      <c r="I393" s="4"/>
      <c r="J393" s="4"/>
      <c r="K393" s="4"/>
      <c r="L393" s="4"/>
      <c r="M393" s="4"/>
      <c r="N393" s="4"/>
      <c r="O393" s="4"/>
      <c r="P393" s="4"/>
      <c r="Q393" s="4"/>
      <c r="R393" s="4"/>
      <c r="S393" s="4"/>
      <c r="T393" s="4"/>
      <c r="U393" s="4"/>
      <c r="V393" s="4"/>
      <c r="W393" s="4"/>
      <c r="X393" s="4"/>
      <c r="Y393" s="4"/>
      <c r="Z393" s="4"/>
      <c r="AA393" s="21"/>
    </row>
    <row r="394">
      <c r="A394" s="4"/>
      <c r="B394" s="4"/>
      <c r="C394" s="4"/>
      <c r="D394" s="26"/>
      <c r="E394" s="4"/>
      <c r="F394" s="4"/>
      <c r="G394" s="4"/>
      <c r="H394" s="4"/>
      <c r="I394" s="4"/>
      <c r="J394" s="4"/>
      <c r="K394" s="4"/>
      <c r="L394" s="4"/>
      <c r="M394" s="4"/>
      <c r="N394" s="4"/>
      <c r="O394" s="4"/>
      <c r="P394" s="4"/>
      <c r="Q394" s="4"/>
      <c r="R394" s="4"/>
      <c r="S394" s="4"/>
      <c r="T394" s="4"/>
      <c r="U394" s="4"/>
      <c r="V394" s="4"/>
      <c r="W394" s="4"/>
      <c r="X394" s="4"/>
      <c r="Y394" s="4"/>
      <c r="Z394" s="4"/>
      <c r="AA394" s="21"/>
    </row>
    <row r="395">
      <c r="A395" s="4"/>
      <c r="B395" s="4"/>
      <c r="C395" s="4"/>
      <c r="D395" s="26"/>
      <c r="E395" s="4"/>
      <c r="F395" s="4"/>
      <c r="G395" s="4"/>
      <c r="H395" s="4"/>
      <c r="I395" s="4"/>
      <c r="J395" s="4"/>
      <c r="K395" s="4"/>
      <c r="L395" s="4"/>
      <c r="M395" s="4"/>
      <c r="N395" s="4"/>
      <c r="O395" s="4"/>
      <c r="P395" s="4"/>
      <c r="Q395" s="4"/>
      <c r="R395" s="4"/>
      <c r="S395" s="4"/>
      <c r="T395" s="4"/>
      <c r="U395" s="4"/>
      <c r="V395" s="4"/>
      <c r="W395" s="4"/>
      <c r="X395" s="4"/>
      <c r="Y395" s="4"/>
      <c r="Z395" s="4"/>
      <c r="AA395" s="21"/>
    </row>
    <row r="396">
      <c r="A396" s="4"/>
      <c r="B396" s="4"/>
      <c r="C396" s="4"/>
      <c r="D396" s="26"/>
      <c r="E396" s="4"/>
      <c r="F396" s="4"/>
      <c r="G396" s="4"/>
      <c r="H396" s="4"/>
      <c r="I396" s="4"/>
      <c r="J396" s="4"/>
      <c r="K396" s="4"/>
      <c r="L396" s="4"/>
      <c r="M396" s="4"/>
      <c r="N396" s="4"/>
      <c r="O396" s="4"/>
      <c r="P396" s="4"/>
      <c r="Q396" s="4"/>
      <c r="R396" s="4"/>
      <c r="S396" s="4"/>
      <c r="T396" s="4"/>
      <c r="U396" s="4"/>
      <c r="V396" s="4"/>
      <c r="W396" s="4"/>
      <c r="X396" s="4"/>
      <c r="Y396" s="4"/>
      <c r="Z396" s="4"/>
      <c r="AA396" s="21"/>
    </row>
    <row r="397">
      <c r="A397" s="4"/>
      <c r="B397" s="4"/>
      <c r="C397" s="4"/>
      <c r="D397" s="26"/>
      <c r="E397" s="4"/>
      <c r="F397" s="4"/>
      <c r="G397" s="4"/>
      <c r="H397" s="4"/>
      <c r="I397" s="4"/>
      <c r="J397" s="4"/>
      <c r="K397" s="4"/>
      <c r="L397" s="4"/>
      <c r="M397" s="4"/>
      <c r="N397" s="4"/>
      <c r="O397" s="4"/>
      <c r="P397" s="4"/>
      <c r="Q397" s="4"/>
      <c r="R397" s="4"/>
      <c r="S397" s="4"/>
      <c r="T397" s="4"/>
      <c r="U397" s="4"/>
      <c r="V397" s="4"/>
      <c r="W397" s="4"/>
      <c r="X397" s="4"/>
      <c r="Y397" s="4"/>
      <c r="Z397" s="4"/>
      <c r="AA397" s="21"/>
    </row>
    <row r="398">
      <c r="A398" s="4"/>
      <c r="B398" s="4"/>
      <c r="C398" s="4"/>
      <c r="D398" s="26"/>
      <c r="E398" s="4"/>
      <c r="F398" s="4"/>
      <c r="G398" s="4"/>
      <c r="H398" s="4"/>
      <c r="I398" s="4"/>
      <c r="J398" s="4"/>
      <c r="K398" s="4"/>
      <c r="L398" s="4"/>
      <c r="M398" s="4"/>
      <c r="N398" s="4"/>
      <c r="O398" s="4"/>
      <c r="P398" s="4"/>
      <c r="Q398" s="4"/>
      <c r="R398" s="4"/>
      <c r="S398" s="4"/>
      <c r="T398" s="4"/>
      <c r="U398" s="4"/>
      <c r="V398" s="4"/>
      <c r="W398" s="4"/>
      <c r="X398" s="4"/>
      <c r="Y398" s="4"/>
      <c r="Z398" s="4"/>
      <c r="AA398" s="21"/>
    </row>
    <row r="399">
      <c r="A399" s="4"/>
      <c r="B399" s="4"/>
      <c r="C399" s="4"/>
      <c r="D399" s="26"/>
      <c r="E399" s="4"/>
      <c r="F399" s="4"/>
      <c r="G399" s="4"/>
      <c r="H399" s="4"/>
      <c r="I399" s="4"/>
      <c r="J399" s="4"/>
      <c r="K399" s="4"/>
      <c r="L399" s="4"/>
      <c r="M399" s="4"/>
      <c r="N399" s="4"/>
      <c r="O399" s="4"/>
      <c r="P399" s="4"/>
      <c r="Q399" s="4"/>
      <c r="R399" s="4"/>
      <c r="S399" s="4"/>
      <c r="T399" s="4"/>
      <c r="U399" s="4"/>
      <c r="V399" s="4"/>
      <c r="W399" s="4"/>
      <c r="X399" s="4"/>
      <c r="Y399" s="4"/>
      <c r="Z399" s="4"/>
      <c r="AA399" s="21"/>
    </row>
    <row r="400">
      <c r="A400" s="4"/>
      <c r="B400" s="4"/>
      <c r="C400" s="4"/>
      <c r="D400" s="26"/>
      <c r="E400" s="4"/>
      <c r="F400" s="4"/>
      <c r="G400" s="4"/>
      <c r="H400" s="4"/>
      <c r="I400" s="4"/>
      <c r="J400" s="4"/>
      <c r="K400" s="4"/>
      <c r="L400" s="4"/>
      <c r="M400" s="4"/>
      <c r="N400" s="4"/>
      <c r="O400" s="4"/>
      <c r="P400" s="4"/>
      <c r="Q400" s="4"/>
      <c r="R400" s="4"/>
      <c r="S400" s="4"/>
      <c r="T400" s="4"/>
      <c r="U400" s="4"/>
      <c r="V400" s="4"/>
      <c r="W400" s="4"/>
      <c r="X400" s="4"/>
      <c r="Y400" s="4"/>
      <c r="Z400" s="4"/>
      <c r="AA400" s="21"/>
    </row>
    <row r="401">
      <c r="A401" s="4"/>
      <c r="B401" s="4"/>
      <c r="C401" s="4"/>
      <c r="D401" s="26"/>
      <c r="E401" s="4"/>
      <c r="F401" s="4"/>
      <c r="G401" s="4"/>
      <c r="H401" s="4"/>
      <c r="I401" s="4"/>
      <c r="J401" s="4"/>
      <c r="K401" s="4"/>
      <c r="L401" s="4"/>
      <c r="M401" s="4"/>
      <c r="N401" s="4"/>
      <c r="O401" s="4"/>
      <c r="P401" s="4"/>
      <c r="Q401" s="4"/>
      <c r="R401" s="4"/>
      <c r="S401" s="4"/>
      <c r="T401" s="4"/>
      <c r="U401" s="4"/>
      <c r="V401" s="4"/>
      <c r="W401" s="4"/>
      <c r="X401" s="4"/>
      <c r="Y401" s="4"/>
      <c r="Z401" s="4"/>
      <c r="AA401" s="21"/>
    </row>
    <row r="402">
      <c r="A402" s="4"/>
      <c r="B402" s="4"/>
      <c r="C402" s="4"/>
      <c r="D402" s="26"/>
      <c r="E402" s="4"/>
      <c r="F402" s="4"/>
      <c r="G402" s="4"/>
      <c r="H402" s="4"/>
      <c r="I402" s="4"/>
      <c r="J402" s="4"/>
      <c r="K402" s="4"/>
      <c r="L402" s="4"/>
      <c r="M402" s="4"/>
      <c r="N402" s="4"/>
      <c r="O402" s="4"/>
      <c r="P402" s="4"/>
      <c r="Q402" s="4"/>
      <c r="R402" s="4"/>
      <c r="S402" s="4"/>
      <c r="T402" s="4"/>
      <c r="U402" s="4"/>
      <c r="V402" s="4"/>
      <c r="W402" s="4"/>
      <c r="X402" s="4"/>
      <c r="Y402" s="4"/>
      <c r="Z402" s="4"/>
      <c r="AA402" s="21"/>
    </row>
    <row r="403">
      <c r="A403" s="4"/>
      <c r="B403" s="4"/>
      <c r="C403" s="4"/>
      <c r="D403" s="26"/>
      <c r="E403" s="4"/>
      <c r="F403" s="4"/>
      <c r="G403" s="4"/>
      <c r="H403" s="4"/>
      <c r="I403" s="4"/>
      <c r="J403" s="4"/>
      <c r="K403" s="4"/>
      <c r="L403" s="4"/>
      <c r="M403" s="4"/>
      <c r="N403" s="4"/>
      <c r="O403" s="4"/>
      <c r="P403" s="4"/>
      <c r="Q403" s="4"/>
      <c r="R403" s="4"/>
      <c r="S403" s="4"/>
      <c r="T403" s="4"/>
      <c r="U403" s="4"/>
      <c r="V403" s="4"/>
      <c r="W403" s="4"/>
      <c r="X403" s="4"/>
      <c r="Y403" s="4"/>
      <c r="Z403" s="4"/>
      <c r="AA403" s="21"/>
    </row>
    <row r="404">
      <c r="A404" s="4"/>
      <c r="B404" s="4"/>
      <c r="C404" s="4"/>
      <c r="D404" s="26"/>
      <c r="E404" s="4"/>
      <c r="F404" s="4"/>
      <c r="G404" s="4"/>
      <c r="H404" s="4"/>
      <c r="I404" s="4"/>
      <c r="J404" s="4"/>
      <c r="K404" s="4"/>
      <c r="L404" s="4"/>
      <c r="M404" s="4"/>
      <c r="N404" s="4"/>
      <c r="O404" s="4"/>
      <c r="P404" s="4"/>
      <c r="Q404" s="4"/>
      <c r="R404" s="4"/>
      <c r="S404" s="4"/>
      <c r="T404" s="4"/>
      <c r="U404" s="4"/>
      <c r="V404" s="4"/>
      <c r="W404" s="4"/>
      <c r="X404" s="4"/>
      <c r="Y404" s="4"/>
      <c r="Z404" s="4"/>
      <c r="AA404" s="21"/>
    </row>
    <row r="405">
      <c r="A405" s="4"/>
      <c r="B405" s="4"/>
      <c r="C405" s="4"/>
      <c r="D405" s="26"/>
      <c r="E405" s="4"/>
      <c r="F405" s="4"/>
      <c r="G405" s="4"/>
      <c r="H405" s="4"/>
      <c r="I405" s="4"/>
      <c r="J405" s="4"/>
      <c r="K405" s="4"/>
      <c r="L405" s="4"/>
      <c r="M405" s="4"/>
      <c r="N405" s="4"/>
      <c r="O405" s="4"/>
      <c r="P405" s="4"/>
      <c r="Q405" s="4"/>
      <c r="R405" s="4"/>
      <c r="S405" s="4"/>
      <c r="T405" s="4"/>
      <c r="U405" s="4"/>
      <c r="V405" s="4"/>
      <c r="W405" s="4"/>
      <c r="X405" s="4"/>
      <c r="Y405" s="4"/>
      <c r="Z405" s="4"/>
      <c r="AA405" s="21"/>
    </row>
    <row r="406">
      <c r="A406" s="4"/>
      <c r="B406" s="4"/>
      <c r="C406" s="4"/>
      <c r="D406" s="26"/>
      <c r="E406" s="4"/>
      <c r="F406" s="4"/>
      <c r="G406" s="4"/>
      <c r="H406" s="4"/>
      <c r="I406" s="4"/>
      <c r="J406" s="4"/>
      <c r="K406" s="4"/>
      <c r="L406" s="4"/>
      <c r="M406" s="4"/>
      <c r="N406" s="4"/>
      <c r="O406" s="4"/>
      <c r="P406" s="4"/>
      <c r="Q406" s="4"/>
      <c r="R406" s="4"/>
      <c r="S406" s="4"/>
      <c r="T406" s="4"/>
      <c r="U406" s="4"/>
      <c r="V406" s="4"/>
      <c r="W406" s="4"/>
      <c r="X406" s="4"/>
      <c r="Y406" s="4"/>
      <c r="Z406" s="4"/>
      <c r="AA406" s="21"/>
    </row>
    <row r="407">
      <c r="A407" s="4"/>
      <c r="B407" s="4"/>
      <c r="C407" s="4"/>
      <c r="D407" s="26"/>
      <c r="E407" s="4"/>
      <c r="F407" s="4"/>
      <c r="G407" s="4"/>
      <c r="H407" s="4"/>
      <c r="I407" s="4"/>
      <c r="J407" s="4"/>
      <c r="K407" s="4"/>
      <c r="L407" s="4"/>
      <c r="M407" s="4"/>
      <c r="N407" s="4"/>
      <c r="O407" s="4"/>
      <c r="P407" s="4"/>
      <c r="Q407" s="4"/>
      <c r="R407" s="4"/>
      <c r="S407" s="4"/>
      <c r="T407" s="4"/>
      <c r="U407" s="4"/>
      <c r="V407" s="4"/>
      <c r="W407" s="4"/>
      <c r="X407" s="4"/>
      <c r="Y407" s="4"/>
      <c r="Z407" s="4"/>
      <c r="AA407" s="21"/>
    </row>
    <row r="408">
      <c r="A408" s="4"/>
      <c r="B408" s="4"/>
      <c r="C408" s="4"/>
      <c r="D408" s="26"/>
      <c r="E408" s="4"/>
      <c r="F408" s="4"/>
      <c r="G408" s="4"/>
      <c r="H408" s="4"/>
      <c r="I408" s="4"/>
      <c r="J408" s="4"/>
      <c r="K408" s="4"/>
      <c r="L408" s="4"/>
      <c r="M408" s="4"/>
      <c r="N408" s="4"/>
      <c r="O408" s="4"/>
      <c r="P408" s="4"/>
      <c r="Q408" s="4"/>
      <c r="R408" s="4"/>
      <c r="S408" s="4"/>
      <c r="T408" s="4"/>
      <c r="U408" s="4"/>
      <c r="V408" s="4"/>
      <c r="W408" s="4"/>
      <c r="X408" s="4"/>
      <c r="Y408" s="4"/>
      <c r="Z408" s="4"/>
      <c r="AA408" s="21"/>
    </row>
    <row r="409">
      <c r="A409" s="4"/>
      <c r="B409" s="4"/>
      <c r="C409" s="4"/>
      <c r="D409" s="26"/>
      <c r="E409" s="4"/>
      <c r="F409" s="4"/>
      <c r="G409" s="4"/>
      <c r="H409" s="4"/>
      <c r="I409" s="4"/>
      <c r="J409" s="4"/>
      <c r="K409" s="4"/>
      <c r="L409" s="4"/>
      <c r="M409" s="4"/>
      <c r="N409" s="4"/>
      <c r="O409" s="4"/>
      <c r="P409" s="4"/>
      <c r="Q409" s="4"/>
      <c r="R409" s="4"/>
      <c r="S409" s="4"/>
      <c r="T409" s="4"/>
      <c r="U409" s="4"/>
      <c r="V409" s="4"/>
      <c r="W409" s="4"/>
      <c r="X409" s="4"/>
      <c r="Y409" s="4"/>
      <c r="Z409" s="4"/>
      <c r="AA409" s="21"/>
    </row>
    <row r="410">
      <c r="A410" s="4"/>
      <c r="B410" s="4"/>
      <c r="C410" s="4"/>
      <c r="D410" s="26"/>
      <c r="E410" s="4"/>
      <c r="F410" s="4"/>
      <c r="G410" s="4"/>
      <c r="H410" s="4"/>
      <c r="I410" s="4"/>
      <c r="J410" s="4"/>
      <c r="K410" s="4"/>
      <c r="L410" s="4"/>
      <c r="M410" s="4"/>
      <c r="N410" s="4"/>
      <c r="O410" s="4"/>
      <c r="P410" s="4"/>
      <c r="Q410" s="4"/>
      <c r="R410" s="4"/>
      <c r="S410" s="4"/>
      <c r="T410" s="4"/>
      <c r="U410" s="4"/>
      <c r="V410" s="4"/>
      <c r="W410" s="4"/>
      <c r="X410" s="4"/>
      <c r="Y410" s="4"/>
      <c r="Z410" s="4"/>
      <c r="AA410" s="21"/>
    </row>
    <row r="411">
      <c r="A411" s="4"/>
      <c r="B411" s="4"/>
      <c r="C411" s="4"/>
      <c r="D411" s="26"/>
      <c r="E411" s="4"/>
      <c r="F411" s="4"/>
      <c r="G411" s="4"/>
      <c r="H411" s="4"/>
      <c r="I411" s="4"/>
      <c r="J411" s="4"/>
      <c r="K411" s="4"/>
      <c r="L411" s="4"/>
      <c r="M411" s="4"/>
      <c r="N411" s="4"/>
      <c r="O411" s="4"/>
      <c r="P411" s="4"/>
      <c r="Q411" s="4"/>
      <c r="R411" s="4"/>
      <c r="S411" s="4"/>
      <c r="T411" s="4"/>
      <c r="U411" s="4"/>
      <c r="V411" s="4"/>
      <c r="W411" s="4"/>
      <c r="X411" s="4"/>
      <c r="Y411" s="4"/>
      <c r="Z411" s="4"/>
      <c r="AA411" s="21"/>
    </row>
    <row r="412">
      <c r="A412" s="4"/>
      <c r="B412" s="4"/>
      <c r="C412" s="4"/>
      <c r="D412" s="26"/>
      <c r="E412" s="4"/>
      <c r="F412" s="4"/>
      <c r="G412" s="4"/>
      <c r="H412" s="4"/>
      <c r="I412" s="4"/>
      <c r="J412" s="4"/>
      <c r="K412" s="4"/>
      <c r="L412" s="4"/>
      <c r="M412" s="4"/>
      <c r="N412" s="4"/>
      <c r="O412" s="4"/>
      <c r="P412" s="4"/>
      <c r="Q412" s="4"/>
      <c r="R412" s="4"/>
      <c r="S412" s="4"/>
      <c r="T412" s="4"/>
      <c r="U412" s="4"/>
      <c r="V412" s="4"/>
      <c r="W412" s="4"/>
      <c r="X412" s="4"/>
      <c r="Y412" s="4"/>
      <c r="Z412" s="4"/>
      <c r="AA412" s="21"/>
    </row>
    <row r="413">
      <c r="A413" s="4"/>
      <c r="B413" s="4"/>
      <c r="C413" s="4"/>
      <c r="D413" s="26"/>
      <c r="E413" s="4"/>
      <c r="F413" s="4"/>
      <c r="G413" s="4"/>
      <c r="H413" s="4"/>
      <c r="I413" s="4"/>
      <c r="J413" s="4"/>
      <c r="K413" s="4"/>
      <c r="L413" s="4"/>
      <c r="M413" s="4"/>
      <c r="N413" s="4"/>
      <c r="O413" s="4"/>
      <c r="P413" s="4"/>
      <c r="Q413" s="4"/>
      <c r="R413" s="4"/>
      <c r="S413" s="4"/>
      <c r="T413" s="4"/>
      <c r="U413" s="4"/>
      <c r="V413" s="4"/>
      <c r="W413" s="4"/>
      <c r="X413" s="4"/>
      <c r="Y413" s="4"/>
      <c r="Z413" s="4"/>
      <c r="AA413" s="21"/>
    </row>
    <row r="414">
      <c r="A414" s="4"/>
      <c r="B414" s="4"/>
      <c r="C414" s="4"/>
      <c r="D414" s="26"/>
      <c r="E414" s="4"/>
      <c r="F414" s="4"/>
      <c r="G414" s="4"/>
      <c r="H414" s="4"/>
      <c r="I414" s="4"/>
      <c r="J414" s="4"/>
      <c r="K414" s="4"/>
      <c r="L414" s="4"/>
      <c r="M414" s="4"/>
      <c r="N414" s="4"/>
      <c r="O414" s="4"/>
      <c r="P414" s="4"/>
      <c r="Q414" s="4"/>
      <c r="R414" s="4"/>
      <c r="S414" s="4"/>
      <c r="T414" s="4"/>
      <c r="U414" s="4"/>
      <c r="V414" s="4"/>
      <c r="W414" s="4"/>
      <c r="X414" s="4"/>
      <c r="Y414" s="4"/>
      <c r="Z414" s="4"/>
      <c r="AA414" s="21"/>
    </row>
    <row r="415">
      <c r="A415" s="4"/>
      <c r="B415" s="4"/>
      <c r="C415" s="4"/>
      <c r="D415" s="26"/>
      <c r="E415" s="4"/>
      <c r="F415" s="4"/>
      <c r="G415" s="4"/>
      <c r="H415" s="4"/>
      <c r="I415" s="4"/>
      <c r="J415" s="4"/>
      <c r="K415" s="4"/>
      <c r="L415" s="4"/>
      <c r="M415" s="4"/>
      <c r="N415" s="4"/>
      <c r="O415" s="4"/>
      <c r="P415" s="4"/>
      <c r="Q415" s="4"/>
      <c r="R415" s="4"/>
      <c r="S415" s="4"/>
      <c r="T415" s="4"/>
      <c r="U415" s="4"/>
      <c r="V415" s="4"/>
      <c r="W415" s="4"/>
      <c r="X415" s="4"/>
      <c r="Y415" s="4"/>
      <c r="Z415" s="4"/>
      <c r="AA415" s="21"/>
    </row>
    <row r="416">
      <c r="A416" s="4"/>
      <c r="B416" s="4"/>
      <c r="C416" s="4"/>
      <c r="D416" s="26"/>
      <c r="E416" s="4"/>
      <c r="F416" s="4"/>
      <c r="G416" s="4"/>
      <c r="H416" s="4"/>
      <c r="I416" s="4"/>
      <c r="J416" s="4"/>
      <c r="K416" s="4"/>
      <c r="L416" s="4"/>
      <c r="M416" s="4"/>
      <c r="N416" s="4"/>
      <c r="O416" s="4"/>
      <c r="P416" s="4"/>
      <c r="Q416" s="4"/>
      <c r="R416" s="4"/>
      <c r="S416" s="4"/>
      <c r="T416" s="4"/>
      <c r="U416" s="4"/>
      <c r="V416" s="4"/>
      <c r="W416" s="4"/>
      <c r="X416" s="4"/>
      <c r="Y416" s="4"/>
      <c r="Z416" s="4"/>
      <c r="AA416" s="21"/>
    </row>
    <row r="417">
      <c r="A417" s="4"/>
      <c r="B417" s="4"/>
      <c r="C417" s="4"/>
      <c r="D417" s="26"/>
      <c r="E417" s="4"/>
      <c r="F417" s="4"/>
      <c r="G417" s="4"/>
      <c r="H417" s="4"/>
      <c r="I417" s="4"/>
      <c r="J417" s="4"/>
      <c r="K417" s="4"/>
      <c r="L417" s="4"/>
      <c r="M417" s="4"/>
      <c r="N417" s="4"/>
      <c r="O417" s="4"/>
      <c r="P417" s="4"/>
      <c r="Q417" s="4"/>
      <c r="R417" s="4"/>
      <c r="S417" s="4"/>
      <c r="T417" s="4"/>
      <c r="U417" s="4"/>
      <c r="V417" s="4"/>
      <c r="W417" s="4"/>
      <c r="X417" s="4"/>
      <c r="Y417" s="4"/>
      <c r="Z417" s="4"/>
      <c r="AA417" s="21"/>
    </row>
    <row r="418">
      <c r="A418" s="4"/>
      <c r="B418" s="4"/>
      <c r="C418" s="4"/>
      <c r="D418" s="26"/>
      <c r="E418" s="4"/>
      <c r="F418" s="4"/>
      <c r="G418" s="4"/>
      <c r="H418" s="4"/>
      <c r="I418" s="4"/>
      <c r="J418" s="4"/>
      <c r="K418" s="4"/>
      <c r="L418" s="4"/>
      <c r="M418" s="4"/>
      <c r="N418" s="4"/>
      <c r="O418" s="4"/>
      <c r="P418" s="4"/>
      <c r="Q418" s="4"/>
      <c r="R418" s="4"/>
      <c r="S418" s="4"/>
      <c r="T418" s="4"/>
      <c r="U418" s="4"/>
      <c r="V418" s="4"/>
      <c r="W418" s="4"/>
      <c r="X418" s="4"/>
      <c r="Y418" s="4"/>
      <c r="Z418" s="4"/>
      <c r="AA418" s="21"/>
    </row>
    <row r="419">
      <c r="A419" s="4"/>
      <c r="B419" s="4"/>
      <c r="C419" s="4"/>
      <c r="D419" s="26"/>
      <c r="E419" s="4"/>
      <c r="F419" s="4"/>
      <c r="G419" s="4"/>
      <c r="H419" s="4"/>
      <c r="I419" s="4"/>
      <c r="J419" s="4"/>
      <c r="K419" s="4"/>
      <c r="L419" s="4"/>
      <c r="M419" s="4"/>
      <c r="N419" s="4"/>
      <c r="O419" s="4"/>
      <c r="P419" s="4"/>
      <c r="Q419" s="4"/>
      <c r="R419" s="4"/>
      <c r="S419" s="4"/>
      <c r="T419" s="4"/>
      <c r="U419" s="4"/>
      <c r="V419" s="4"/>
      <c r="W419" s="4"/>
      <c r="X419" s="4"/>
      <c r="Y419" s="4"/>
      <c r="Z419" s="4"/>
      <c r="AA419" s="21"/>
    </row>
    <row r="420">
      <c r="A420" s="4"/>
      <c r="B420" s="4"/>
      <c r="C420" s="4"/>
      <c r="D420" s="26"/>
      <c r="E420" s="4"/>
      <c r="F420" s="4"/>
      <c r="G420" s="4"/>
      <c r="H420" s="4"/>
      <c r="I420" s="4"/>
      <c r="J420" s="4"/>
      <c r="K420" s="4"/>
      <c r="L420" s="4"/>
      <c r="M420" s="4"/>
      <c r="N420" s="4"/>
      <c r="O420" s="4"/>
      <c r="P420" s="4"/>
      <c r="Q420" s="4"/>
      <c r="R420" s="4"/>
      <c r="S420" s="4"/>
      <c r="T420" s="4"/>
      <c r="U420" s="4"/>
      <c r="V420" s="4"/>
      <c r="W420" s="4"/>
      <c r="X420" s="4"/>
      <c r="Y420" s="4"/>
      <c r="Z420" s="4"/>
      <c r="AA420" s="21"/>
    </row>
    <row r="421">
      <c r="A421" s="4"/>
      <c r="B421" s="4"/>
      <c r="C421" s="4"/>
      <c r="D421" s="26"/>
      <c r="E421" s="4"/>
      <c r="F421" s="4"/>
      <c r="G421" s="4"/>
      <c r="H421" s="4"/>
      <c r="I421" s="4"/>
      <c r="J421" s="4"/>
      <c r="K421" s="4"/>
      <c r="L421" s="4"/>
      <c r="M421" s="4"/>
      <c r="N421" s="4"/>
      <c r="O421" s="4"/>
      <c r="P421" s="4"/>
      <c r="Q421" s="4"/>
      <c r="R421" s="4"/>
      <c r="S421" s="4"/>
      <c r="T421" s="4"/>
      <c r="U421" s="4"/>
      <c r="V421" s="4"/>
      <c r="W421" s="4"/>
      <c r="X421" s="4"/>
      <c r="Y421" s="4"/>
      <c r="Z421" s="4"/>
      <c r="AA421" s="21"/>
    </row>
    <row r="422">
      <c r="A422" s="4"/>
      <c r="B422" s="4"/>
      <c r="C422" s="4"/>
      <c r="D422" s="26"/>
      <c r="E422" s="4"/>
      <c r="F422" s="4"/>
      <c r="G422" s="4"/>
      <c r="H422" s="4"/>
      <c r="I422" s="4"/>
      <c r="J422" s="4"/>
      <c r="K422" s="4"/>
      <c r="L422" s="4"/>
      <c r="M422" s="4"/>
      <c r="N422" s="4"/>
      <c r="O422" s="4"/>
      <c r="P422" s="4"/>
      <c r="Q422" s="4"/>
      <c r="R422" s="4"/>
      <c r="S422" s="4"/>
      <c r="T422" s="4"/>
      <c r="U422" s="4"/>
      <c r="V422" s="4"/>
      <c r="W422" s="4"/>
      <c r="X422" s="4"/>
      <c r="Y422" s="4"/>
      <c r="Z422" s="4"/>
      <c r="AA422" s="21"/>
    </row>
    <row r="423">
      <c r="A423" s="4"/>
      <c r="B423" s="4"/>
      <c r="C423" s="4"/>
      <c r="D423" s="26"/>
      <c r="E423" s="4"/>
      <c r="F423" s="4"/>
      <c r="G423" s="4"/>
      <c r="H423" s="4"/>
      <c r="I423" s="4"/>
      <c r="J423" s="4"/>
      <c r="K423" s="4"/>
      <c r="L423" s="4"/>
      <c r="M423" s="4"/>
      <c r="N423" s="4"/>
      <c r="O423" s="4"/>
      <c r="P423" s="4"/>
      <c r="Q423" s="4"/>
      <c r="R423" s="4"/>
      <c r="S423" s="4"/>
      <c r="T423" s="4"/>
      <c r="U423" s="4"/>
      <c r="V423" s="4"/>
      <c r="W423" s="4"/>
      <c r="X423" s="4"/>
      <c r="Y423" s="4"/>
      <c r="Z423" s="4"/>
      <c r="AA423" s="21"/>
    </row>
    <row r="424">
      <c r="A424" s="4"/>
      <c r="B424" s="4"/>
      <c r="C424" s="4"/>
      <c r="D424" s="26"/>
      <c r="E424" s="4"/>
      <c r="F424" s="4"/>
      <c r="G424" s="4"/>
      <c r="H424" s="4"/>
      <c r="I424" s="4"/>
      <c r="J424" s="4"/>
      <c r="K424" s="4"/>
      <c r="L424" s="4"/>
      <c r="M424" s="4"/>
      <c r="N424" s="4"/>
      <c r="O424" s="4"/>
      <c r="P424" s="4"/>
      <c r="Q424" s="4"/>
      <c r="R424" s="4"/>
      <c r="S424" s="4"/>
      <c r="T424" s="4"/>
      <c r="U424" s="4"/>
      <c r="V424" s="4"/>
      <c r="W424" s="4"/>
      <c r="X424" s="4"/>
      <c r="Y424" s="4"/>
      <c r="Z424" s="4"/>
      <c r="AA424" s="21"/>
    </row>
    <row r="425">
      <c r="A425" s="4"/>
      <c r="B425" s="4"/>
      <c r="C425" s="4"/>
      <c r="D425" s="26"/>
      <c r="E425" s="4"/>
      <c r="F425" s="4"/>
      <c r="G425" s="4"/>
      <c r="H425" s="4"/>
      <c r="I425" s="4"/>
      <c r="J425" s="4"/>
      <c r="K425" s="4"/>
      <c r="L425" s="4"/>
      <c r="M425" s="4"/>
      <c r="N425" s="4"/>
      <c r="O425" s="4"/>
      <c r="P425" s="4"/>
      <c r="Q425" s="4"/>
      <c r="R425" s="4"/>
      <c r="S425" s="4"/>
      <c r="T425" s="4"/>
      <c r="U425" s="4"/>
      <c r="V425" s="4"/>
      <c r="W425" s="4"/>
      <c r="X425" s="4"/>
      <c r="Y425" s="4"/>
      <c r="Z425" s="4"/>
      <c r="AA425" s="21"/>
    </row>
    <row r="426">
      <c r="A426" s="4"/>
      <c r="B426" s="4"/>
      <c r="C426" s="4"/>
      <c r="D426" s="26"/>
      <c r="E426" s="4"/>
      <c r="F426" s="4"/>
      <c r="G426" s="4"/>
      <c r="H426" s="4"/>
      <c r="I426" s="4"/>
      <c r="J426" s="4"/>
      <c r="K426" s="4"/>
      <c r="L426" s="4"/>
      <c r="M426" s="4"/>
      <c r="N426" s="4"/>
      <c r="O426" s="4"/>
      <c r="P426" s="4"/>
      <c r="Q426" s="4"/>
      <c r="R426" s="4"/>
      <c r="S426" s="4"/>
      <c r="T426" s="4"/>
      <c r="U426" s="4"/>
      <c r="V426" s="4"/>
      <c r="W426" s="4"/>
      <c r="X426" s="4"/>
      <c r="Y426" s="4"/>
      <c r="Z426" s="4"/>
      <c r="AA426" s="21"/>
    </row>
    <row r="427">
      <c r="A427" s="4"/>
      <c r="B427" s="4"/>
      <c r="C427" s="4"/>
      <c r="D427" s="26"/>
      <c r="E427" s="4"/>
      <c r="F427" s="4"/>
      <c r="G427" s="4"/>
      <c r="H427" s="4"/>
      <c r="I427" s="4"/>
      <c r="J427" s="4"/>
      <c r="K427" s="4"/>
      <c r="L427" s="4"/>
      <c r="M427" s="4"/>
      <c r="N427" s="4"/>
      <c r="O427" s="4"/>
      <c r="P427" s="4"/>
      <c r="Q427" s="4"/>
      <c r="R427" s="4"/>
      <c r="S427" s="4"/>
      <c r="T427" s="4"/>
      <c r="U427" s="4"/>
      <c r="V427" s="4"/>
      <c r="W427" s="4"/>
      <c r="X427" s="4"/>
      <c r="Y427" s="4"/>
      <c r="Z427" s="4"/>
      <c r="AA427" s="21"/>
    </row>
    <row r="428">
      <c r="A428" s="4"/>
      <c r="B428" s="4"/>
      <c r="C428" s="4"/>
      <c r="D428" s="26"/>
      <c r="E428" s="4"/>
      <c r="F428" s="4"/>
      <c r="G428" s="4"/>
      <c r="H428" s="4"/>
      <c r="I428" s="4"/>
      <c r="J428" s="4"/>
      <c r="K428" s="4"/>
      <c r="L428" s="4"/>
      <c r="M428" s="4"/>
      <c r="N428" s="4"/>
      <c r="O428" s="4"/>
      <c r="P428" s="4"/>
      <c r="Q428" s="4"/>
      <c r="R428" s="4"/>
      <c r="S428" s="4"/>
      <c r="T428" s="4"/>
      <c r="U428" s="4"/>
      <c r="V428" s="4"/>
      <c r="W428" s="4"/>
      <c r="X428" s="4"/>
      <c r="Y428" s="4"/>
      <c r="Z428" s="4"/>
      <c r="AA428" s="21"/>
    </row>
    <row r="429">
      <c r="A429" s="4"/>
      <c r="B429" s="4"/>
      <c r="C429" s="4"/>
      <c r="D429" s="26"/>
      <c r="E429" s="4"/>
      <c r="F429" s="4"/>
      <c r="G429" s="4"/>
      <c r="H429" s="4"/>
      <c r="I429" s="4"/>
      <c r="J429" s="4"/>
      <c r="K429" s="4"/>
      <c r="L429" s="4"/>
      <c r="M429" s="4"/>
      <c r="N429" s="4"/>
      <c r="O429" s="4"/>
      <c r="P429" s="4"/>
      <c r="Q429" s="4"/>
      <c r="R429" s="4"/>
      <c r="S429" s="4"/>
      <c r="T429" s="4"/>
      <c r="U429" s="4"/>
      <c r="V429" s="4"/>
      <c r="W429" s="4"/>
      <c r="X429" s="4"/>
      <c r="Y429" s="4"/>
      <c r="Z429" s="4"/>
      <c r="AA429" s="21"/>
    </row>
    <row r="430">
      <c r="A430" s="4"/>
      <c r="B430" s="4"/>
      <c r="C430" s="4"/>
      <c r="D430" s="26"/>
      <c r="E430" s="4"/>
      <c r="F430" s="4"/>
      <c r="G430" s="4"/>
      <c r="H430" s="4"/>
      <c r="I430" s="4"/>
      <c r="J430" s="4"/>
      <c r="K430" s="4"/>
      <c r="L430" s="4"/>
      <c r="M430" s="4"/>
      <c r="N430" s="4"/>
      <c r="O430" s="4"/>
      <c r="P430" s="4"/>
      <c r="Q430" s="4"/>
      <c r="R430" s="4"/>
      <c r="S430" s="4"/>
      <c r="T430" s="4"/>
      <c r="U430" s="4"/>
      <c r="V430" s="4"/>
      <c r="W430" s="4"/>
      <c r="X430" s="4"/>
      <c r="Y430" s="4"/>
      <c r="Z430" s="4"/>
      <c r="AA430" s="21"/>
    </row>
    <row r="431">
      <c r="A431" s="4"/>
      <c r="B431" s="4"/>
      <c r="C431" s="4"/>
      <c r="D431" s="26"/>
      <c r="E431" s="4"/>
      <c r="F431" s="4"/>
      <c r="G431" s="4"/>
      <c r="H431" s="4"/>
      <c r="I431" s="4"/>
      <c r="J431" s="4"/>
      <c r="K431" s="4"/>
      <c r="L431" s="4"/>
      <c r="M431" s="4"/>
      <c r="N431" s="4"/>
      <c r="O431" s="4"/>
      <c r="P431" s="4"/>
      <c r="Q431" s="4"/>
      <c r="R431" s="4"/>
      <c r="S431" s="4"/>
      <c r="T431" s="4"/>
      <c r="U431" s="4"/>
      <c r="V431" s="4"/>
      <c r="W431" s="4"/>
      <c r="X431" s="4"/>
      <c r="Y431" s="4"/>
      <c r="Z431" s="4"/>
      <c r="AA431" s="21"/>
    </row>
    <row r="432">
      <c r="A432" s="4"/>
      <c r="B432" s="4"/>
      <c r="C432" s="4"/>
      <c r="D432" s="26"/>
      <c r="E432" s="4"/>
      <c r="F432" s="4"/>
      <c r="G432" s="4"/>
      <c r="H432" s="4"/>
      <c r="I432" s="4"/>
      <c r="J432" s="4"/>
      <c r="K432" s="4"/>
      <c r="L432" s="4"/>
      <c r="M432" s="4"/>
      <c r="N432" s="4"/>
      <c r="O432" s="4"/>
      <c r="P432" s="4"/>
      <c r="Q432" s="4"/>
      <c r="R432" s="4"/>
      <c r="S432" s="4"/>
      <c r="T432" s="4"/>
      <c r="U432" s="4"/>
      <c r="V432" s="4"/>
      <c r="W432" s="4"/>
      <c r="X432" s="4"/>
      <c r="Y432" s="4"/>
      <c r="Z432" s="4"/>
      <c r="AA432" s="21"/>
    </row>
    <row r="433">
      <c r="A433" s="4"/>
      <c r="B433" s="4"/>
      <c r="C433" s="4"/>
      <c r="D433" s="26"/>
      <c r="E433" s="4"/>
      <c r="F433" s="4"/>
      <c r="G433" s="4"/>
      <c r="H433" s="4"/>
      <c r="I433" s="4"/>
      <c r="J433" s="4"/>
      <c r="K433" s="4"/>
      <c r="L433" s="4"/>
      <c r="M433" s="4"/>
      <c r="N433" s="4"/>
      <c r="O433" s="4"/>
      <c r="P433" s="4"/>
      <c r="Q433" s="4"/>
      <c r="R433" s="4"/>
      <c r="S433" s="4"/>
      <c r="T433" s="4"/>
      <c r="U433" s="4"/>
      <c r="V433" s="4"/>
      <c r="W433" s="4"/>
      <c r="X433" s="4"/>
      <c r="Y433" s="4"/>
      <c r="Z433" s="4"/>
      <c r="AA433" s="21"/>
    </row>
    <row r="434">
      <c r="A434" s="4"/>
      <c r="B434" s="4"/>
      <c r="C434" s="4"/>
      <c r="D434" s="26"/>
      <c r="E434" s="4"/>
      <c r="F434" s="4"/>
      <c r="G434" s="4"/>
      <c r="H434" s="4"/>
      <c r="I434" s="4"/>
      <c r="J434" s="4"/>
      <c r="K434" s="4"/>
      <c r="L434" s="4"/>
      <c r="M434" s="4"/>
      <c r="N434" s="4"/>
      <c r="O434" s="4"/>
      <c r="P434" s="4"/>
      <c r="Q434" s="4"/>
      <c r="R434" s="4"/>
      <c r="S434" s="4"/>
      <c r="T434" s="4"/>
      <c r="U434" s="4"/>
      <c r="V434" s="4"/>
      <c r="W434" s="4"/>
      <c r="X434" s="4"/>
      <c r="Y434" s="4"/>
      <c r="Z434" s="4"/>
      <c r="AA434" s="21"/>
    </row>
    <row r="435">
      <c r="A435" s="4"/>
      <c r="B435" s="4"/>
      <c r="C435" s="4"/>
      <c r="D435" s="26"/>
      <c r="E435" s="4"/>
      <c r="F435" s="4"/>
      <c r="G435" s="4"/>
      <c r="H435" s="4"/>
      <c r="I435" s="4"/>
      <c r="J435" s="4"/>
      <c r="K435" s="4"/>
      <c r="L435" s="4"/>
      <c r="M435" s="4"/>
      <c r="N435" s="4"/>
      <c r="O435" s="4"/>
      <c r="P435" s="4"/>
      <c r="Q435" s="4"/>
      <c r="R435" s="4"/>
      <c r="S435" s="4"/>
      <c r="T435" s="4"/>
      <c r="U435" s="4"/>
      <c r="V435" s="4"/>
      <c r="W435" s="4"/>
      <c r="X435" s="4"/>
      <c r="Y435" s="4"/>
      <c r="Z435" s="4"/>
      <c r="AA435" s="21"/>
    </row>
    <row r="436">
      <c r="A436" s="4"/>
      <c r="B436" s="4"/>
      <c r="C436" s="4"/>
      <c r="D436" s="26"/>
      <c r="E436" s="4"/>
      <c r="F436" s="4"/>
      <c r="G436" s="4"/>
      <c r="H436" s="4"/>
      <c r="I436" s="4"/>
      <c r="J436" s="4"/>
      <c r="K436" s="4"/>
      <c r="L436" s="4"/>
      <c r="M436" s="4"/>
      <c r="N436" s="4"/>
      <c r="O436" s="4"/>
      <c r="P436" s="4"/>
      <c r="Q436" s="4"/>
      <c r="R436" s="4"/>
      <c r="S436" s="4"/>
      <c r="T436" s="4"/>
      <c r="U436" s="4"/>
      <c r="V436" s="4"/>
      <c r="W436" s="4"/>
      <c r="X436" s="4"/>
      <c r="Y436" s="4"/>
      <c r="Z436" s="4"/>
      <c r="AA436" s="21"/>
    </row>
    <row r="437">
      <c r="A437" s="4"/>
      <c r="B437" s="4"/>
      <c r="C437" s="4"/>
      <c r="D437" s="26"/>
      <c r="E437" s="4"/>
      <c r="F437" s="4"/>
      <c r="G437" s="4"/>
      <c r="H437" s="4"/>
      <c r="I437" s="4"/>
      <c r="J437" s="4"/>
      <c r="K437" s="4"/>
      <c r="L437" s="4"/>
      <c r="M437" s="4"/>
      <c r="N437" s="4"/>
      <c r="O437" s="4"/>
      <c r="P437" s="4"/>
      <c r="Q437" s="4"/>
      <c r="R437" s="4"/>
      <c r="S437" s="4"/>
      <c r="T437" s="4"/>
      <c r="U437" s="4"/>
      <c r="V437" s="4"/>
      <c r="W437" s="4"/>
      <c r="X437" s="4"/>
      <c r="Y437" s="4"/>
      <c r="Z437" s="4"/>
      <c r="AA437" s="21"/>
    </row>
    <row r="438">
      <c r="A438" s="4"/>
      <c r="B438" s="4"/>
      <c r="C438" s="4"/>
      <c r="D438" s="26"/>
      <c r="E438" s="4"/>
      <c r="F438" s="4"/>
      <c r="G438" s="4"/>
      <c r="H438" s="4"/>
      <c r="I438" s="4"/>
      <c r="J438" s="4"/>
      <c r="K438" s="4"/>
      <c r="L438" s="4"/>
      <c r="M438" s="4"/>
      <c r="N438" s="4"/>
      <c r="O438" s="4"/>
      <c r="P438" s="4"/>
      <c r="Q438" s="4"/>
      <c r="R438" s="4"/>
      <c r="S438" s="4"/>
      <c r="T438" s="4"/>
      <c r="U438" s="4"/>
      <c r="V438" s="4"/>
      <c r="W438" s="4"/>
      <c r="X438" s="4"/>
      <c r="Y438" s="4"/>
      <c r="Z438" s="4"/>
      <c r="AA438" s="21"/>
    </row>
    <row r="439">
      <c r="A439" s="4"/>
      <c r="B439" s="4"/>
      <c r="C439" s="4"/>
      <c r="D439" s="26"/>
      <c r="E439" s="4"/>
      <c r="F439" s="4"/>
      <c r="G439" s="4"/>
      <c r="H439" s="4"/>
      <c r="I439" s="4"/>
      <c r="J439" s="4"/>
      <c r="K439" s="4"/>
      <c r="L439" s="4"/>
      <c r="M439" s="4"/>
      <c r="N439" s="4"/>
      <c r="O439" s="4"/>
      <c r="P439" s="4"/>
      <c r="Q439" s="4"/>
      <c r="R439" s="4"/>
      <c r="S439" s="4"/>
      <c r="T439" s="4"/>
      <c r="U439" s="4"/>
      <c r="V439" s="4"/>
      <c r="W439" s="4"/>
      <c r="X439" s="4"/>
      <c r="Y439" s="4"/>
      <c r="Z439" s="4"/>
      <c r="AA439" s="21"/>
    </row>
    <row r="440">
      <c r="A440" s="4"/>
      <c r="B440" s="4"/>
      <c r="C440" s="4"/>
      <c r="D440" s="26"/>
      <c r="E440" s="4"/>
      <c r="F440" s="4"/>
      <c r="G440" s="4"/>
      <c r="H440" s="4"/>
      <c r="I440" s="4"/>
      <c r="J440" s="4"/>
      <c r="K440" s="4"/>
      <c r="L440" s="4"/>
      <c r="M440" s="4"/>
      <c r="N440" s="4"/>
      <c r="O440" s="4"/>
      <c r="P440" s="4"/>
      <c r="Q440" s="4"/>
      <c r="R440" s="4"/>
      <c r="S440" s="4"/>
      <c r="T440" s="4"/>
      <c r="U440" s="4"/>
      <c r="V440" s="4"/>
      <c r="W440" s="4"/>
      <c r="X440" s="4"/>
      <c r="Y440" s="4"/>
      <c r="Z440" s="4"/>
      <c r="AA440" s="21"/>
    </row>
    <row r="441">
      <c r="A441" s="4"/>
      <c r="B441" s="4"/>
      <c r="C441" s="4"/>
      <c r="D441" s="26"/>
      <c r="E441" s="4"/>
      <c r="F441" s="4"/>
      <c r="G441" s="4"/>
      <c r="H441" s="4"/>
      <c r="I441" s="4"/>
      <c r="J441" s="4"/>
      <c r="K441" s="4"/>
      <c r="L441" s="4"/>
      <c r="M441" s="4"/>
      <c r="N441" s="4"/>
      <c r="O441" s="4"/>
      <c r="P441" s="4"/>
      <c r="Q441" s="4"/>
      <c r="R441" s="4"/>
      <c r="S441" s="4"/>
      <c r="T441" s="4"/>
      <c r="U441" s="4"/>
      <c r="V441" s="4"/>
      <c r="W441" s="4"/>
      <c r="X441" s="4"/>
      <c r="Y441" s="4"/>
      <c r="Z441" s="4"/>
      <c r="AA441" s="21"/>
    </row>
    <row r="442">
      <c r="A442" s="4"/>
      <c r="B442" s="4"/>
      <c r="C442" s="4"/>
      <c r="D442" s="26"/>
      <c r="E442" s="4"/>
      <c r="F442" s="4"/>
      <c r="G442" s="4"/>
      <c r="H442" s="4"/>
      <c r="I442" s="4"/>
      <c r="J442" s="4"/>
      <c r="K442" s="4"/>
      <c r="L442" s="4"/>
      <c r="M442" s="4"/>
      <c r="N442" s="4"/>
      <c r="O442" s="4"/>
      <c r="P442" s="4"/>
      <c r="Q442" s="4"/>
      <c r="R442" s="4"/>
      <c r="S442" s="4"/>
      <c r="T442" s="4"/>
      <c r="U442" s="4"/>
      <c r="V442" s="4"/>
      <c r="W442" s="4"/>
      <c r="X442" s="4"/>
      <c r="Y442" s="4"/>
      <c r="Z442" s="4"/>
      <c r="AA442" s="21"/>
    </row>
    <row r="443">
      <c r="A443" s="4"/>
      <c r="B443" s="4"/>
      <c r="C443" s="4"/>
      <c r="D443" s="26"/>
      <c r="E443" s="4"/>
      <c r="F443" s="4"/>
      <c r="G443" s="4"/>
      <c r="H443" s="4"/>
      <c r="I443" s="4"/>
      <c r="J443" s="4"/>
      <c r="K443" s="4"/>
      <c r="L443" s="4"/>
      <c r="M443" s="4"/>
      <c r="N443" s="4"/>
      <c r="O443" s="4"/>
      <c r="P443" s="4"/>
      <c r="Q443" s="4"/>
      <c r="R443" s="4"/>
      <c r="S443" s="4"/>
      <c r="T443" s="4"/>
      <c r="U443" s="4"/>
      <c r="V443" s="4"/>
      <c r="W443" s="4"/>
      <c r="X443" s="4"/>
      <c r="Y443" s="4"/>
      <c r="Z443" s="4"/>
      <c r="AA443" s="21"/>
    </row>
    <row r="444">
      <c r="A444" s="4"/>
      <c r="B444" s="4"/>
      <c r="C444" s="4"/>
      <c r="D444" s="26"/>
      <c r="E444" s="4"/>
      <c r="F444" s="4"/>
      <c r="G444" s="4"/>
      <c r="H444" s="4"/>
      <c r="I444" s="4"/>
      <c r="J444" s="4"/>
      <c r="K444" s="4"/>
      <c r="L444" s="4"/>
      <c r="M444" s="4"/>
      <c r="N444" s="4"/>
      <c r="O444" s="4"/>
      <c r="P444" s="4"/>
      <c r="Q444" s="4"/>
      <c r="R444" s="4"/>
      <c r="S444" s="4"/>
      <c r="T444" s="4"/>
      <c r="U444" s="4"/>
      <c r="V444" s="4"/>
      <c r="W444" s="4"/>
      <c r="X444" s="4"/>
      <c r="Y444" s="4"/>
      <c r="Z444" s="4"/>
      <c r="AA444" s="21"/>
    </row>
    <row r="445">
      <c r="A445" s="4"/>
      <c r="B445" s="4"/>
      <c r="C445" s="4"/>
      <c r="D445" s="26"/>
      <c r="E445" s="4"/>
      <c r="F445" s="4"/>
      <c r="G445" s="4"/>
      <c r="H445" s="4"/>
      <c r="I445" s="4"/>
      <c r="J445" s="4"/>
      <c r="K445" s="4"/>
      <c r="L445" s="4"/>
      <c r="M445" s="4"/>
      <c r="N445" s="4"/>
      <c r="O445" s="4"/>
      <c r="P445" s="4"/>
      <c r="Q445" s="4"/>
      <c r="R445" s="4"/>
      <c r="S445" s="4"/>
      <c r="T445" s="4"/>
      <c r="U445" s="4"/>
      <c r="V445" s="4"/>
      <c r="W445" s="4"/>
      <c r="X445" s="4"/>
      <c r="Y445" s="4"/>
      <c r="Z445" s="4"/>
      <c r="AA445" s="21"/>
    </row>
    <row r="446">
      <c r="A446" s="4"/>
      <c r="B446" s="4"/>
      <c r="C446" s="4"/>
      <c r="D446" s="26"/>
      <c r="E446" s="4"/>
      <c r="F446" s="4"/>
      <c r="G446" s="4"/>
      <c r="H446" s="4"/>
      <c r="I446" s="4"/>
      <c r="J446" s="4"/>
      <c r="K446" s="4"/>
      <c r="L446" s="4"/>
      <c r="M446" s="4"/>
      <c r="N446" s="4"/>
      <c r="O446" s="4"/>
      <c r="P446" s="4"/>
      <c r="Q446" s="4"/>
      <c r="R446" s="4"/>
      <c r="S446" s="4"/>
      <c r="T446" s="4"/>
      <c r="U446" s="4"/>
      <c r="V446" s="4"/>
      <c r="W446" s="4"/>
      <c r="X446" s="4"/>
      <c r="Y446" s="4"/>
      <c r="Z446" s="4"/>
      <c r="AA446" s="21"/>
    </row>
    <row r="447">
      <c r="A447" s="4"/>
      <c r="B447" s="4"/>
      <c r="C447" s="4"/>
      <c r="D447" s="26"/>
      <c r="E447" s="4"/>
      <c r="F447" s="4"/>
      <c r="G447" s="4"/>
      <c r="H447" s="4"/>
      <c r="I447" s="4"/>
      <c r="J447" s="4"/>
      <c r="K447" s="4"/>
      <c r="L447" s="4"/>
      <c r="M447" s="4"/>
      <c r="N447" s="4"/>
      <c r="O447" s="4"/>
      <c r="P447" s="4"/>
      <c r="Q447" s="4"/>
      <c r="R447" s="4"/>
      <c r="S447" s="4"/>
      <c r="T447" s="4"/>
      <c r="U447" s="4"/>
      <c r="V447" s="4"/>
      <c r="W447" s="4"/>
      <c r="X447" s="4"/>
      <c r="Y447" s="4"/>
      <c r="Z447" s="4"/>
      <c r="AA447" s="21"/>
    </row>
    <row r="448">
      <c r="A448" s="4"/>
      <c r="B448" s="4"/>
      <c r="C448" s="4"/>
      <c r="D448" s="26"/>
      <c r="E448" s="4"/>
      <c r="F448" s="4"/>
      <c r="G448" s="4"/>
      <c r="H448" s="4"/>
      <c r="I448" s="4"/>
      <c r="J448" s="4"/>
      <c r="K448" s="4"/>
      <c r="L448" s="4"/>
      <c r="M448" s="4"/>
      <c r="N448" s="4"/>
      <c r="O448" s="4"/>
      <c r="P448" s="4"/>
      <c r="Q448" s="4"/>
      <c r="R448" s="4"/>
      <c r="S448" s="4"/>
      <c r="T448" s="4"/>
      <c r="U448" s="4"/>
      <c r="V448" s="4"/>
      <c r="W448" s="4"/>
      <c r="X448" s="4"/>
      <c r="Y448" s="4"/>
      <c r="Z448" s="4"/>
      <c r="AA448" s="21"/>
    </row>
    <row r="449">
      <c r="A449" s="4"/>
      <c r="B449" s="4"/>
      <c r="C449" s="4"/>
      <c r="D449" s="26"/>
      <c r="E449" s="4"/>
      <c r="F449" s="4"/>
      <c r="G449" s="4"/>
      <c r="H449" s="4"/>
      <c r="I449" s="4"/>
      <c r="J449" s="4"/>
      <c r="K449" s="4"/>
      <c r="L449" s="4"/>
      <c r="M449" s="4"/>
      <c r="N449" s="4"/>
      <c r="O449" s="4"/>
      <c r="P449" s="4"/>
      <c r="Q449" s="4"/>
      <c r="R449" s="4"/>
      <c r="S449" s="4"/>
      <c r="T449" s="4"/>
      <c r="U449" s="4"/>
      <c r="V449" s="4"/>
      <c r="W449" s="4"/>
      <c r="X449" s="4"/>
      <c r="Y449" s="4"/>
      <c r="Z449" s="4"/>
      <c r="AA449" s="21"/>
    </row>
    <row r="450">
      <c r="A450" s="4"/>
      <c r="B450" s="4"/>
      <c r="C450" s="4"/>
      <c r="D450" s="26"/>
      <c r="E450" s="4"/>
      <c r="F450" s="4"/>
      <c r="G450" s="4"/>
      <c r="H450" s="4"/>
      <c r="I450" s="4"/>
      <c r="J450" s="4"/>
      <c r="K450" s="4"/>
      <c r="L450" s="4"/>
      <c r="M450" s="4"/>
      <c r="N450" s="4"/>
      <c r="O450" s="4"/>
      <c r="P450" s="4"/>
      <c r="Q450" s="4"/>
      <c r="R450" s="4"/>
      <c r="S450" s="4"/>
      <c r="T450" s="4"/>
      <c r="U450" s="4"/>
      <c r="V450" s="4"/>
      <c r="W450" s="4"/>
      <c r="X450" s="4"/>
      <c r="Y450" s="4"/>
      <c r="Z450" s="4"/>
      <c r="AA450" s="21"/>
    </row>
    <row r="451">
      <c r="A451" s="4"/>
      <c r="B451" s="4"/>
      <c r="C451" s="4"/>
      <c r="D451" s="26"/>
      <c r="E451" s="4"/>
      <c r="F451" s="4"/>
      <c r="G451" s="4"/>
      <c r="H451" s="4"/>
      <c r="I451" s="4"/>
      <c r="J451" s="4"/>
      <c r="K451" s="4"/>
      <c r="L451" s="4"/>
      <c r="M451" s="4"/>
      <c r="N451" s="4"/>
      <c r="O451" s="4"/>
      <c r="P451" s="4"/>
      <c r="Q451" s="4"/>
      <c r="R451" s="4"/>
      <c r="S451" s="4"/>
      <c r="T451" s="4"/>
      <c r="U451" s="4"/>
      <c r="V451" s="4"/>
      <c r="W451" s="4"/>
      <c r="X451" s="4"/>
      <c r="Y451" s="4"/>
      <c r="Z451" s="4"/>
      <c r="AA451" s="21"/>
    </row>
    <row r="452">
      <c r="A452" s="4"/>
      <c r="B452" s="4"/>
      <c r="C452" s="4"/>
      <c r="D452" s="26"/>
      <c r="E452" s="4"/>
      <c r="F452" s="4"/>
      <c r="G452" s="4"/>
      <c r="H452" s="4"/>
      <c r="I452" s="4"/>
      <c r="J452" s="4"/>
      <c r="K452" s="4"/>
      <c r="L452" s="4"/>
      <c r="M452" s="4"/>
      <c r="N452" s="4"/>
      <c r="O452" s="4"/>
      <c r="P452" s="4"/>
      <c r="Q452" s="4"/>
      <c r="R452" s="4"/>
      <c r="S452" s="4"/>
      <c r="T452" s="4"/>
      <c r="U452" s="4"/>
      <c r="V452" s="4"/>
      <c r="W452" s="4"/>
      <c r="X452" s="4"/>
      <c r="Y452" s="4"/>
      <c r="Z452" s="4"/>
      <c r="AA452" s="21"/>
    </row>
    <row r="453">
      <c r="A453" s="4"/>
      <c r="B453" s="4"/>
      <c r="C453" s="4"/>
      <c r="D453" s="26"/>
      <c r="E453" s="4"/>
      <c r="F453" s="4"/>
      <c r="G453" s="4"/>
      <c r="H453" s="4"/>
      <c r="I453" s="4"/>
      <c r="J453" s="4"/>
      <c r="K453" s="4"/>
      <c r="L453" s="4"/>
      <c r="M453" s="4"/>
      <c r="N453" s="4"/>
      <c r="O453" s="4"/>
      <c r="P453" s="4"/>
      <c r="Q453" s="4"/>
      <c r="R453" s="4"/>
      <c r="S453" s="4"/>
      <c r="T453" s="4"/>
      <c r="U453" s="4"/>
      <c r="V453" s="4"/>
      <c r="W453" s="4"/>
      <c r="X453" s="4"/>
      <c r="Y453" s="4"/>
      <c r="Z453" s="4"/>
      <c r="AA453" s="21"/>
    </row>
    <row r="454">
      <c r="A454" s="4"/>
      <c r="B454" s="4"/>
      <c r="C454" s="4"/>
      <c r="D454" s="26"/>
      <c r="E454" s="4"/>
      <c r="F454" s="4"/>
      <c r="G454" s="4"/>
      <c r="H454" s="4"/>
      <c r="I454" s="4"/>
      <c r="J454" s="4"/>
      <c r="K454" s="4"/>
      <c r="L454" s="4"/>
      <c r="M454" s="4"/>
      <c r="N454" s="4"/>
      <c r="O454" s="4"/>
      <c r="P454" s="4"/>
      <c r="Q454" s="4"/>
      <c r="R454" s="4"/>
      <c r="S454" s="4"/>
      <c r="T454" s="4"/>
      <c r="U454" s="4"/>
      <c r="V454" s="4"/>
      <c r="W454" s="4"/>
      <c r="X454" s="4"/>
      <c r="Y454" s="4"/>
      <c r="Z454" s="4"/>
      <c r="AA454" s="21"/>
    </row>
    <row r="455">
      <c r="A455" s="4"/>
      <c r="B455" s="4"/>
      <c r="C455" s="4"/>
      <c r="D455" s="26"/>
      <c r="E455" s="4"/>
      <c r="F455" s="4"/>
      <c r="G455" s="4"/>
      <c r="H455" s="4"/>
      <c r="I455" s="4"/>
      <c r="J455" s="4"/>
      <c r="K455" s="4"/>
      <c r="L455" s="4"/>
      <c r="M455" s="4"/>
      <c r="N455" s="4"/>
      <c r="O455" s="4"/>
      <c r="P455" s="4"/>
      <c r="Q455" s="4"/>
      <c r="R455" s="4"/>
      <c r="S455" s="4"/>
      <c r="T455" s="4"/>
      <c r="U455" s="4"/>
      <c r="V455" s="4"/>
      <c r="W455" s="4"/>
      <c r="X455" s="4"/>
      <c r="Y455" s="4"/>
      <c r="Z455" s="4"/>
      <c r="AA455" s="21"/>
    </row>
    <row r="456">
      <c r="A456" s="4"/>
      <c r="B456" s="4"/>
      <c r="C456" s="4"/>
      <c r="D456" s="26"/>
      <c r="E456" s="4"/>
      <c r="F456" s="4"/>
      <c r="G456" s="4"/>
      <c r="H456" s="4"/>
      <c r="I456" s="4"/>
      <c r="J456" s="4"/>
      <c r="K456" s="4"/>
      <c r="L456" s="4"/>
      <c r="M456" s="4"/>
      <c r="N456" s="4"/>
      <c r="O456" s="4"/>
      <c r="P456" s="4"/>
      <c r="Q456" s="4"/>
      <c r="R456" s="4"/>
      <c r="S456" s="4"/>
      <c r="T456" s="4"/>
      <c r="U456" s="4"/>
      <c r="V456" s="4"/>
      <c r="W456" s="4"/>
      <c r="X456" s="4"/>
      <c r="Y456" s="4"/>
      <c r="Z456" s="4"/>
      <c r="AA456" s="21"/>
    </row>
    <row r="457">
      <c r="A457" s="4"/>
      <c r="B457" s="4"/>
      <c r="C457" s="4"/>
      <c r="D457" s="26"/>
      <c r="E457" s="4"/>
      <c r="F457" s="4"/>
      <c r="G457" s="4"/>
      <c r="H457" s="4"/>
      <c r="I457" s="4"/>
      <c r="J457" s="4"/>
      <c r="K457" s="4"/>
      <c r="L457" s="4"/>
      <c r="M457" s="4"/>
      <c r="N457" s="4"/>
      <c r="O457" s="4"/>
      <c r="P457" s="4"/>
      <c r="Q457" s="4"/>
      <c r="R457" s="4"/>
      <c r="S457" s="4"/>
      <c r="T457" s="4"/>
      <c r="U457" s="4"/>
      <c r="V457" s="4"/>
      <c r="W457" s="4"/>
      <c r="X457" s="4"/>
      <c r="Y457" s="4"/>
      <c r="Z457" s="4"/>
      <c r="AA457" s="21"/>
    </row>
    <row r="458">
      <c r="A458" s="4"/>
      <c r="B458" s="4"/>
      <c r="C458" s="4"/>
      <c r="D458" s="26"/>
      <c r="E458" s="4"/>
      <c r="F458" s="4"/>
      <c r="G458" s="4"/>
      <c r="H458" s="4"/>
      <c r="I458" s="4"/>
      <c r="J458" s="4"/>
      <c r="K458" s="4"/>
      <c r="L458" s="4"/>
      <c r="M458" s="4"/>
      <c r="N458" s="4"/>
      <c r="O458" s="4"/>
      <c r="P458" s="4"/>
      <c r="Q458" s="4"/>
      <c r="R458" s="4"/>
      <c r="S458" s="4"/>
      <c r="T458" s="4"/>
      <c r="U458" s="4"/>
      <c r="V458" s="4"/>
      <c r="W458" s="4"/>
      <c r="X458" s="4"/>
      <c r="Y458" s="4"/>
      <c r="Z458" s="4"/>
      <c r="AA458" s="21"/>
    </row>
    <row r="459">
      <c r="A459" s="4"/>
      <c r="B459" s="4"/>
      <c r="C459" s="4"/>
      <c r="D459" s="26"/>
      <c r="E459" s="4"/>
      <c r="F459" s="4"/>
      <c r="G459" s="4"/>
      <c r="H459" s="4"/>
      <c r="I459" s="4"/>
      <c r="J459" s="4"/>
      <c r="K459" s="4"/>
      <c r="L459" s="4"/>
      <c r="M459" s="4"/>
      <c r="N459" s="4"/>
      <c r="O459" s="4"/>
      <c r="P459" s="4"/>
      <c r="Q459" s="4"/>
      <c r="R459" s="4"/>
      <c r="S459" s="4"/>
      <c r="T459" s="4"/>
      <c r="U459" s="4"/>
      <c r="V459" s="4"/>
      <c r="W459" s="4"/>
      <c r="X459" s="4"/>
      <c r="Y459" s="4"/>
      <c r="Z459" s="4"/>
      <c r="AA459" s="21"/>
    </row>
    <row r="460">
      <c r="A460" s="4"/>
      <c r="B460" s="4"/>
      <c r="C460" s="4"/>
      <c r="D460" s="26"/>
      <c r="E460" s="4"/>
      <c r="F460" s="4"/>
      <c r="G460" s="4"/>
      <c r="H460" s="4"/>
      <c r="I460" s="4"/>
      <c r="J460" s="4"/>
      <c r="K460" s="4"/>
      <c r="L460" s="4"/>
      <c r="M460" s="4"/>
      <c r="N460" s="4"/>
      <c r="O460" s="4"/>
      <c r="P460" s="4"/>
      <c r="Q460" s="4"/>
      <c r="R460" s="4"/>
      <c r="S460" s="4"/>
      <c r="T460" s="4"/>
      <c r="U460" s="4"/>
      <c r="V460" s="4"/>
      <c r="W460" s="4"/>
      <c r="X460" s="4"/>
      <c r="Y460" s="4"/>
      <c r="Z460" s="4"/>
      <c r="AA460" s="21"/>
    </row>
    <row r="461">
      <c r="A461" s="4"/>
      <c r="B461" s="4"/>
      <c r="C461" s="4"/>
      <c r="D461" s="26"/>
      <c r="E461" s="4"/>
      <c r="F461" s="4"/>
      <c r="G461" s="4"/>
      <c r="H461" s="4"/>
      <c r="I461" s="4"/>
      <c r="J461" s="4"/>
      <c r="K461" s="4"/>
      <c r="L461" s="4"/>
      <c r="M461" s="4"/>
      <c r="N461" s="4"/>
      <c r="O461" s="4"/>
      <c r="P461" s="4"/>
      <c r="Q461" s="4"/>
      <c r="R461" s="4"/>
      <c r="S461" s="4"/>
      <c r="T461" s="4"/>
      <c r="U461" s="4"/>
      <c r="V461" s="4"/>
      <c r="W461" s="4"/>
      <c r="X461" s="4"/>
      <c r="Y461" s="4"/>
      <c r="Z461" s="4"/>
      <c r="AA461" s="21"/>
    </row>
    <row r="462">
      <c r="A462" s="4"/>
      <c r="B462" s="4"/>
      <c r="C462" s="4"/>
      <c r="D462" s="26"/>
      <c r="E462" s="4"/>
      <c r="F462" s="4"/>
      <c r="G462" s="4"/>
      <c r="H462" s="4"/>
      <c r="I462" s="4"/>
      <c r="J462" s="4"/>
      <c r="K462" s="4"/>
      <c r="L462" s="4"/>
      <c r="M462" s="4"/>
      <c r="N462" s="4"/>
      <c r="O462" s="4"/>
      <c r="P462" s="4"/>
      <c r="Q462" s="4"/>
      <c r="R462" s="4"/>
      <c r="S462" s="4"/>
      <c r="T462" s="4"/>
      <c r="U462" s="4"/>
      <c r="V462" s="4"/>
      <c r="W462" s="4"/>
      <c r="X462" s="4"/>
      <c r="Y462" s="4"/>
      <c r="Z462" s="4"/>
      <c r="AA462" s="21"/>
    </row>
    <row r="463">
      <c r="A463" s="4"/>
      <c r="B463" s="4"/>
      <c r="C463" s="4"/>
      <c r="D463" s="26"/>
      <c r="E463" s="4"/>
      <c r="F463" s="4"/>
      <c r="G463" s="4"/>
      <c r="H463" s="4"/>
      <c r="I463" s="4"/>
      <c r="J463" s="4"/>
      <c r="K463" s="4"/>
      <c r="L463" s="4"/>
      <c r="M463" s="4"/>
      <c r="N463" s="4"/>
      <c r="O463" s="4"/>
      <c r="P463" s="4"/>
      <c r="Q463" s="4"/>
      <c r="R463" s="4"/>
      <c r="S463" s="4"/>
      <c r="T463" s="4"/>
      <c r="U463" s="4"/>
      <c r="V463" s="4"/>
      <c r="W463" s="4"/>
      <c r="X463" s="4"/>
      <c r="Y463" s="4"/>
      <c r="Z463" s="4"/>
      <c r="AA463" s="21"/>
    </row>
    <row r="464">
      <c r="A464" s="4"/>
      <c r="B464" s="4"/>
      <c r="C464" s="4"/>
      <c r="D464" s="26"/>
      <c r="E464" s="4"/>
      <c r="F464" s="4"/>
      <c r="G464" s="4"/>
      <c r="H464" s="4"/>
      <c r="I464" s="4"/>
      <c r="J464" s="4"/>
      <c r="K464" s="4"/>
      <c r="L464" s="4"/>
      <c r="M464" s="4"/>
      <c r="N464" s="4"/>
      <c r="O464" s="4"/>
      <c r="P464" s="4"/>
      <c r="Q464" s="4"/>
      <c r="R464" s="4"/>
      <c r="S464" s="4"/>
      <c r="T464" s="4"/>
      <c r="U464" s="4"/>
      <c r="V464" s="4"/>
      <c r="W464" s="4"/>
      <c r="X464" s="4"/>
      <c r="Y464" s="4"/>
      <c r="Z464" s="4"/>
      <c r="AA464" s="21"/>
    </row>
    <row r="465">
      <c r="A465" s="4"/>
      <c r="B465" s="4"/>
      <c r="C465" s="4"/>
      <c r="D465" s="26"/>
      <c r="E465" s="4"/>
      <c r="F465" s="4"/>
      <c r="G465" s="4"/>
      <c r="H465" s="4"/>
      <c r="I465" s="4"/>
      <c r="J465" s="4"/>
      <c r="K465" s="4"/>
      <c r="L465" s="4"/>
      <c r="M465" s="4"/>
      <c r="N465" s="4"/>
      <c r="O465" s="4"/>
      <c r="P465" s="4"/>
      <c r="Q465" s="4"/>
      <c r="R465" s="4"/>
      <c r="S465" s="4"/>
      <c r="T465" s="4"/>
      <c r="U465" s="4"/>
      <c r="V465" s="4"/>
      <c r="W465" s="4"/>
      <c r="X465" s="4"/>
      <c r="Y465" s="4"/>
      <c r="Z465" s="4"/>
      <c r="AA465" s="21"/>
    </row>
    <row r="466">
      <c r="A466" s="4"/>
      <c r="B466" s="4"/>
      <c r="C466" s="4"/>
      <c r="D466" s="26"/>
      <c r="E466" s="4"/>
      <c r="F466" s="4"/>
      <c r="G466" s="4"/>
      <c r="H466" s="4"/>
      <c r="I466" s="4"/>
      <c r="J466" s="4"/>
      <c r="K466" s="4"/>
      <c r="L466" s="4"/>
      <c r="M466" s="4"/>
      <c r="N466" s="4"/>
      <c r="O466" s="4"/>
      <c r="P466" s="4"/>
      <c r="Q466" s="4"/>
      <c r="R466" s="4"/>
      <c r="S466" s="4"/>
      <c r="T466" s="4"/>
      <c r="U466" s="4"/>
      <c r="V466" s="4"/>
      <c r="W466" s="4"/>
      <c r="X466" s="4"/>
      <c r="Y466" s="4"/>
      <c r="Z466" s="4"/>
      <c r="AA466" s="21"/>
    </row>
    <row r="467">
      <c r="A467" s="4"/>
      <c r="B467" s="4"/>
      <c r="C467" s="4"/>
      <c r="D467" s="26"/>
      <c r="E467" s="4"/>
      <c r="F467" s="4"/>
      <c r="G467" s="4"/>
      <c r="H467" s="4"/>
      <c r="I467" s="4"/>
      <c r="J467" s="4"/>
      <c r="K467" s="4"/>
      <c r="L467" s="4"/>
      <c r="M467" s="4"/>
      <c r="N467" s="4"/>
      <c r="O467" s="4"/>
      <c r="P467" s="4"/>
      <c r="Q467" s="4"/>
      <c r="R467" s="4"/>
      <c r="S467" s="4"/>
      <c r="T467" s="4"/>
      <c r="U467" s="4"/>
      <c r="V467" s="4"/>
      <c r="W467" s="4"/>
      <c r="X467" s="4"/>
      <c r="Y467" s="4"/>
      <c r="Z467" s="4"/>
      <c r="AA467" s="21"/>
    </row>
    <row r="468">
      <c r="A468" s="4"/>
      <c r="B468" s="4"/>
      <c r="C468" s="4"/>
      <c r="D468" s="26"/>
      <c r="E468" s="4"/>
      <c r="F468" s="4"/>
      <c r="G468" s="4"/>
      <c r="H468" s="4"/>
      <c r="I468" s="4"/>
      <c r="J468" s="4"/>
      <c r="K468" s="4"/>
      <c r="L468" s="4"/>
      <c r="M468" s="4"/>
      <c r="N468" s="4"/>
      <c r="O468" s="4"/>
      <c r="P468" s="4"/>
      <c r="Q468" s="4"/>
      <c r="R468" s="4"/>
      <c r="S468" s="4"/>
      <c r="T468" s="4"/>
      <c r="U468" s="4"/>
      <c r="V468" s="4"/>
      <c r="W468" s="4"/>
      <c r="X468" s="4"/>
      <c r="Y468" s="4"/>
      <c r="Z468" s="4"/>
      <c r="AA468" s="21"/>
    </row>
    <row r="469">
      <c r="A469" s="4"/>
      <c r="B469" s="4"/>
      <c r="C469" s="4"/>
      <c r="D469" s="26"/>
      <c r="E469" s="4"/>
      <c r="F469" s="4"/>
      <c r="G469" s="4"/>
      <c r="H469" s="4"/>
      <c r="I469" s="4"/>
      <c r="J469" s="4"/>
      <c r="K469" s="4"/>
      <c r="L469" s="4"/>
      <c r="M469" s="4"/>
      <c r="N469" s="4"/>
      <c r="O469" s="4"/>
      <c r="P469" s="4"/>
      <c r="Q469" s="4"/>
      <c r="R469" s="4"/>
      <c r="S469" s="4"/>
      <c r="T469" s="4"/>
      <c r="U469" s="4"/>
      <c r="V469" s="4"/>
      <c r="W469" s="4"/>
      <c r="X469" s="4"/>
      <c r="Y469" s="4"/>
      <c r="Z469" s="4"/>
      <c r="AA469" s="21"/>
    </row>
    <row r="470">
      <c r="A470" s="4"/>
      <c r="B470" s="4"/>
      <c r="C470" s="4"/>
      <c r="D470" s="26"/>
      <c r="E470" s="4"/>
      <c r="F470" s="4"/>
      <c r="G470" s="4"/>
      <c r="H470" s="4"/>
      <c r="I470" s="4"/>
      <c r="J470" s="4"/>
      <c r="K470" s="4"/>
      <c r="L470" s="4"/>
      <c r="M470" s="4"/>
      <c r="N470" s="4"/>
      <c r="O470" s="4"/>
      <c r="P470" s="4"/>
      <c r="Q470" s="4"/>
      <c r="R470" s="4"/>
      <c r="S470" s="4"/>
      <c r="T470" s="4"/>
      <c r="U470" s="4"/>
      <c r="V470" s="4"/>
      <c r="W470" s="4"/>
      <c r="X470" s="4"/>
      <c r="Y470" s="4"/>
      <c r="Z470" s="4"/>
      <c r="AA470" s="21"/>
    </row>
    <row r="471">
      <c r="A471" s="4"/>
      <c r="B471" s="4"/>
      <c r="C471" s="4"/>
      <c r="D471" s="26"/>
      <c r="E471" s="4"/>
      <c r="F471" s="4"/>
      <c r="G471" s="4"/>
      <c r="H471" s="4"/>
      <c r="I471" s="4"/>
      <c r="J471" s="4"/>
      <c r="K471" s="4"/>
      <c r="L471" s="4"/>
      <c r="M471" s="4"/>
      <c r="N471" s="4"/>
      <c r="O471" s="4"/>
      <c r="P471" s="4"/>
      <c r="Q471" s="4"/>
      <c r="R471" s="4"/>
      <c r="S471" s="4"/>
      <c r="T471" s="4"/>
      <c r="U471" s="4"/>
      <c r="V471" s="4"/>
      <c r="W471" s="4"/>
      <c r="X471" s="4"/>
      <c r="Y471" s="4"/>
      <c r="Z471" s="4"/>
      <c r="AA471" s="21"/>
    </row>
    <row r="472">
      <c r="A472" s="4"/>
      <c r="B472" s="4"/>
      <c r="C472" s="4"/>
      <c r="D472" s="26"/>
      <c r="E472" s="4"/>
      <c r="F472" s="4"/>
      <c r="G472" s="4"/>
      <c r="H472" s="4"/>
      <c r="I472" s="4"/>
      <c r="J472" s="4"/>
      <c r="K472" s="4"/>
      <c r="L472" s="4"/>
      <c r="M472" s="4"/>
      <c r="N472" s="4"/>
      <c r="O472" s="4"/>
      <c r="P472" s="4"/>
      <c r="Q472" s="4"/>
      <c r="R472" s="4"/>
      <c r="S472" s="4"/>
      <c r="T472" s="4"/>
      <c r="U472" s="4"/>
      <c r="V472" s="4"/>
      <c r="W472" s="4"/>
      <c r="X472" s="4"/>
      <c r="Y472" s="4"/>
      <c r="Z472" s="4"/>
      <c r="AA472" s="21"/>
    </row>
    <row r="473">
      <c r="A473" s="4"/>
      <c r="B473" s="4"/>
      <c r="C473" s="4"/>
      <c r="D473" s="26"/>
      <c r="E473" s="4"/>
      <c r="F473" s="4"/>
      <c r="G473" s="4"/>
      <c r="H473" s="4"/>
      <c r="I473" s="4"/>
      <c r="J473" s="4"/>
      <c r="K473" s="4"/>
      <c r="L473" s="4"/>
      <c r="M473" s="4"/>
      <c r="N473" s="4"/>
      <c r="O473" s="4"/>
      <c r="P473" s="4"/>
      <c r="Q473" s="4"/>
      <c r="R473" s="4"/>
      <c r="S473" s="4"/>
      <c r="T473" s="4"/>
      <c r="U473" s="4"/>
      <c r="V473" s="4"/>
      <c r="W473" s="4"/>
      <c r="X473" s="4"/>
      <c r="Y473" s="4"/>
      <c r="Z473" s="4"/>
      <c r="AA473" s="21"/>
    </row>
    <row r="474">
      <c r="A474" s="4"/>
      <c r="B474" s="4"/>
      <c r="C474" s="4"/>
      <c r="D474" s="26"/>
      <c r="E474" s="4"/>
      <c r="F474" s="4"/>
      <c r="G474" s="4"/>
      <c r="H474" s="4"/>
      <c r="I474" s="4"/>
      <c r="J474" s="4"/>
      <c r="K474" s="4"/>
      <c r="L474" s="4"/>
      <c r="M474" s="4"/>
      <c r="N474" s="4"/>
      <c r="O474" s="4"/>
      <c r="P474" s="4"/>
      <c r="Q474" s="4"/>
      <c r="R474" s="4"/>
      <c r="S474" s="4"/>
      <c r="T474" s="4"/>
      <c r="U474" s="4"/>
      <c r="V474" s="4"/>
      <c r="W474" s="4"/>
      <c r="X474" s="4"/>
      <c r="Y474" s="4"/>
      <c r="Z474" s="4"/>
      <c r="AA474" s="21"/>
    </row>
    <row r="475">
      <c r="A475" s="4"/>
      <c r="B475" s="4"/>
      <c r="C475" s="4"/>
      <c r="D475" s="26"/>
      <c r="E475" s="4"/>
      <c r="F475" s="4"/>
      <c r="G475" s="4"/>
      <c r="H475" s="4"/>
      <c r="I475" s="4"/>
      <c r="J475" s="4"/>
      <c r="K475" s="4"/>
      <c r="L475" s="4"/>
      <c r="M475" s="4"/>
      <c r="N475" s="4"/>
      <c r="O475" s="4"/>
      <c r="P475" s="4"/>
      <c r="Q475" s="4"/>
      <c r="R475" s="4"/>
      <c r="S475" s="4"/>
      <c r="T475" s="4"/>
      <c r="U475" s="4"/>
      <c r="V475" s="4"/>
      <c r="W475" s="4"/>
      <c r="X475" s="4"/>
      <c r="Y475" s="4"/>
      <c r="Z475" s="4"/>
      <c r="AA475" s="21"/>
    </row>
    <row r="476">
      <c r="A476" s="4"/>
      <c r="B476" s="4"/>
      <c r="C476" s="4"/>
      <c r="D476" s="26"/>
      <c r="E476" s="4"/>
      <c r="F476" s="4"/>
      <c r="G476" s="4"/>
      <c r="H476" s="4"/>
      <c r="I476" s="4"/>
      <c r="J476" s="4"/>
      <c r="K476" s="4"/>
      <c r="L476" s="4"/>
      <c r="M476" s="4"/>
      <c r="N476" s="4"/>
      <c r="O476" s="4"/>
      <c r="P476" s="4"/>
      <c r="Q476" s="4"/>
      <c r="R476" s="4"/>
      <c r="S476" s="4"/>
      <c r="T476" s="4"/>
      <c r="U476" s="4"/>
      <c r="V476" s="4"/>
      <c r="W476" s="4"/>
      <c r="X476" s="4"/>
      <c r="Y476" s="4"/>
      <c r="Z476" s="4"/>
      <c r="AA476" s="21"/>
    </row>
    <row r="477">
      <c r="A477" s="4"/>
      <c r="B477" s="4"/>
      <c r="C477" s="4"/>
      <c r="D477" s="26"/>
      <c r="E477" s="4"/>
      <c r="F477" s="4"/>
      <c r="G477" s="4"/>
      <c r="H477" s="4"/>
      <c r="I477" s="4"/>
      <c r="J477" s="4"/>
      <c r="K477" s="4"/>
      <c r="L477" s="4"/>
      <c r="M477" s="4"/>
      <c r="N477" s="4"/>
      <c r="O477" s="4"/>
      <c r="P477" s="4"/>
      <c r="Q477" s="4"/>
      <c r="R477" s="4"/>
      <c r="S477" s="4"/>
      <c r="T477" s="4"/>
      <c r="U477" s="4"/>
      <c r="V477" s="4"/>
      <c r="W477" s="4"/>
      <c r="X477" s="4"/>
      <c r="Y477" s="4"/>
      <c r="Z477" s="4"/>
      <c r="AA477" s="21"/>
    </row>
    <row r="478">
      <c r="A478" s="4"/>
      <c r="B478" s="4"/>
      <c r="C478" s="4"/>
      <c r="D478" s="26"/>
      <c r="E478" s="4"/>
      <c r="F478" s="4"/>
      <c r="G478" s="4"/>
      <c r="H478" s="4"/>
      <c r="I478" s="4"/>
      <c r="J478" s="4"/>
      <c r="K478" s="4"/>
      <c r="L478" s="4"/>
      <c r="M478" s="4"/>
      <c r="N478" s="4"/>
      <c r="O478" s="4"/>
      <c r="P478" s="4"/>
      <c r="Q478" s="4"/>
      <c r="R478" s="4"/>
      <c r="S478" s="4"/>
      <c r="T478" s="4"/>
      <c r="U478" s="4"/>
      <c r="V478" s="4"/>
      <c r="W478" s="4"/>
      <c r="X478" s="4"/>
      <c r="Y478" s="4"/>
      <c r="Z478" s="4"/>
      <c r="AA478" s="21"/>
    </row>
    <row r="479">
      <c r="A479" s="4"/>
      <c r="B479" s="4"/>
      <c r="C479" s="4"/>
      <c r="D479" s="26"/>
      <c r="E479" s="4"/>
      <c r="F479" s="4"/>
      <c r="G479" s="4"/>
      <c r="H479" s="4"/>
      <c r="I479" s="4"/>
      <c r="J479" s="4"/>
      <c r="K479" s="4"/>
      <c r="L479" s="4"/>
      <c r="M479" s="4"/>
      <c r="N479" s="4"/>
      <c r="O479" s="4"/>
      <c r="P479" s="4"/>
      <c r="Q479" s="4"/>
      <c r="R479" s="4"/>
      <c r="S479" s="4"/>
      <c r="T479" s="4"/>
      <c r="U479" s="4"/>
      <c r="V479" s="4"/>
      <c r="W479" s="4"/>
      <c r="X479" s="4"/>
      <c r="Y479" s="4"/>
      <c r="Z479" s="4"/>
      <c r="AA479" s="21"/>
    </row>
    <row r="480">
      <c r="A480" s="4"/>
      <c r="B480" s="4"/>
      <c r="C480" s="4"/>
      <c r="D480" s="26"/>
      <c r="E480" s="4"/>
      <c r="F480" s="4"/>
      <c r="G480" s="4"/>
      <c r="H480" s="4"/>
      <c r="I480" s="4"/>
      <c r="J480" s="4"/>
      <c r="K480" s="4"/>
      <c r="L480" s="4"/>
      <c r="M480" s="4"/>
      <c r="N480" s="4"/>
      <c r="O480" s="4"/>
      <c r="P480" s="4"/>
      <c r="Q480" s="4"/>
      <c r="R480" s="4"/>
      <c r="S480" s="4"/>
      <c r="T480" s="4"/>
      <c r="U480" s="4"/>
      <c r="V480" s="4"/>
      <c r="W480" s="4"/>
      <c r="X480" s="4"/>
      <c r="Y480" s="4"/>
      <c r="Z480" s="4"/>
      <c r="AA480" s="21"/>
    </row>
    <row r="481">
      <c r="A481" s="4"/>
      <c r="B481" s="4"/>
      <c r="C481" s="4"/>
      <c r="D481" s="26"/>
      <c r="E481" s="4"/>
      <c r="F481" s="4"/>
      <c r="G481" s="4"/>
      <c r="H481" s="4"/>
      <c r="I481" s="4"/>
      <c r="J481" s="4"/>
      <c r="K481" s="4"/>
      <c r="L481" s="4"/>
      <c r="M481" s="4"/>
      <c r="N481" s="4"/>
      <c r="O481" s="4"/>
      <c r="P481" s="4"/>
      <c r="Q481" s="4"/>
      <c r="R481" s="4"/>
      <c r="S481" s="4"/>
      <c r="T481" s="4"/>
      <c r="U481" s="4"/>
      <c r="V481" s="4"/>
      <c r="W481" s="4"/>
      <c r="X481" s="4"/>
      <c r="Y481" s="4"/>
      <c r="Z481" s="4"/>
      <c r="AA481" s="21"/>
    </row>
    <row r="482">
      <c r="A482" s="4"/>
      <c r="B482" s="4"/>
      <c r="C482" s="4"/>
      <c r="D482" s="26"/>
      <c r="E482" s="4"/>
      <c r="F482" s="4"/>
      <c r="G482" s="4"/>
      <c r="H482" s="4"/>
      <c r="I482" s="4"/>
      <c r="J482" s="4"/>
      <c r="K482" s="4"/>
      <c r="L482" s="4"/>
      <c r="M482" s="4"/>
      <c r="N482" s="4"/>
      <c r="O482" s="4"/>
      <c r="P482" s="4"/>
      <c r="Q482" s="4"/>
      <c r="R482" s="4"/>
      <c r="S482" s="4"/>
      <c r="T482" s="4"/>
      <c r="U482" s="4"/>
      <c r="V482" s="4"/>
      <c r="W482" s="4"/>
      <c r="X482" s="4"/>
      <c r="Y482" s="4"/>
      <c r="Z482" s="4"/>
      <c r="AA482" s="21"/>
    </row>
    <row r="483">
      <c r="A483" s="4"/>
      <c r="B483" s="4"/>
      <c r="C483" s="4"/>
      <c r="D483" s="26"/>
      <c r="E483" s="4"/>
      <c r="F483" s="4"/>
      <c r="G483" s="4"/>
      <c r="H483" s="4"/>
      <c r="I483" s="4"/>
      <c r="J483" s="4"/>
      <c r="K483" s="4"/>
      <c r="L483" s="4"/>
      <c r="M483" s="4"/>
      <c r="N483" s="4"/>
      <c r="O483" s="4"/>
      <c r="P483" s="4"/>
      <c r="Q483" s="4"/>
      <c r="R483" s="4"/>
      <c r="S483" s="4"/>
      <c r="T483" s="4"/>
      <c r="U483" s="4"/>
      <c r="V483" s="4"/>
      <c r="W483" s="4"/>
      <c r="X483" s="4"/>
      <c r="Y483" s="4"/>
      <c r="Z483" s="4"/>
      <c r="AA483" s="21"/>
    </row>
    <row r="484">
      <c r="A484" s="4"/>
      <c r="B484" s="4"/>
      <c r="C484" s="4"/>
      <c r="D484" s="26"/>
      <c r="E484" s="4"/>
      <c r="F484" s="4"/>
      <c r="G484" s="4"/>
      <c r="H484" s="4"/>
      <c r="I484" s="4"/>
      <c r="J484" s="4"/>
      <c r="K484" s="4"/>
      <c r="L484" s="4"/>
      <c r="M484" s="4"/>
      <c r="N484" s="4"/>
      <c r="O484" s="4"/>
      <c r="P484" s="4"/>
      <c r="Q484" s="4"/>
      <c r="R484" s="4"/>
      <c r="S484" s="4"/>
      <c r="T484" s="4"/>
      <c r="U484" s="4"/>
      <c r="V484" s="4"/>
      <c r="W484" s="4"/>
      <c r="X484" s="4"/>
      <c r="Y484" s="4"/>
      <c r="Z484" s="4"/>
      <c r="AA484" s="21"/>
    </row>
    <row r="485">
      <c r="A485" s="4"/>
      <c r="B485" s="4"/>
      <c r="C485" s="4"/>
      <c r="D485" s="26"/>
      <c r="E485" s="4"/>
      <c r="F485" s="4"/>
      <c r="G485" s="4"/>
      <c r="H485" s="4"/>
      <c r="I485" s="4"/>
      <c r="J485" s="4"/>
      <c r="K485" s="4"/>
      <c r="L485" s="4"/>
      <c r="M485" s="4"/>
      <c r="N485" s="4"/>
      <c r="O485" s="4"/>
      <c r="P485" s="4"/>
      <c r="Q485" s="4"/>
      <c r="R485" s="4"/>
      <c r="S485" s="4"/>
      <c r="T485" s="4"/>
      <c r="U485" s="4"/>
      <c r="V485" s="4"/>
      <c r="W485" s="4"/>
      <c r="X485" s="4"/>
      <c r="Y485" s="4"/>
      <c r="Z485" s="4"/>
      <c r="AA485" s="21"/>
    </row>
    <row r="486">
      <c r="A486" s="4"/>
      <c r="B486" s="4"/>
      <c r="C486" s="4"/>
      <c r="D486" s="26"/>
      <c r="E486" s="4"/>
      <c r="F486" s="4"/>
      <c r="G486" s="4"/>
      <c r="H486" s="4"/>
      <c r="I486" s="4"/>
      <c r="J486" s="4"/>
      <c r="K486" s="4"/>
      <c r="L486" s="4"/>
      <c r="M486" s="4"/>
      <c r="N486" s="4"/>
      <c r="O486" s="4"/>
      <c r="P486" s="4"/>
      <c r="Q486" s="4"/>
      <c r="R486" s="4"/>
      <c r="S486" s="4"/>
      <c r="T486" s="4"/>
      <c r="U486" s="4"/>
      <c r="V486" s="4"/>
      <c r="W486" s="4"/>
      <c r="X486" s="4"/>
      <c r="Y486" s="4"/>
      <c r="Z486" s="4"/>
      <c r="AA486" s="21"/>
    </row>
    <row r="487">
      <c r="A487" s="4"/>
      <c r="B487" s="4"/>
      <c r="C487" s="4"/>
      <c r="D487" s="26"/>
      <c r="E487" s="4"/>
      <c r="F487" s="4"/>
      <c r="G487" s="4"/>
      <c r="H487" s="4"/>
      <c r="I487" s="4"/>
      <c r="J487" s="4"/>
      <c r="K487" s="4"/>
      <c r="L487" s="4"/>
      <c r="M487" s="4"/>
      <c r="N487" s="4"/>
      <c r="O487" s="4"/>
      <c r="P487" s="4"/>
      <c r="Q487" s="4"/>
      <c r="R487" s="4"/>
      <c r="S487" s="4"/>
      <c r="T487" s="4"/>
      <c r="U487" s="4"/>
      <c r="V487" s="4"/>
      <c r="W487" s="4"/>
      <c r="X487" s="4"/>
      <c r="Y487" s="4"/>
      <c r="Z487" s="4"/>
      <c r="AA487" s="21"/>
    </row>
    <row r="488">
      <c r="A488" s="4"/>
      <c r="B488" s="4"/>
      <c r="C488" s="4"/>
      <c r="D488" s="26"/>
      <c r="E488" s="4"/>
      <c r="F488" s="4"/>
      <c r="G488" s="4"/>
      <c r="H488" s="4"/>
      <c r="I488" s="4"/>
      <c r="J488" s="4"/>
      <c r="K488" s="4"/>
      <c r="L488" s="4"/>
      <c r="M488" s="4"/>
      <c r="N488" s="4"/>
      <c r="O488" s="4"/>
      <c r="P488" s="4"/>
      <c r="Q488" s="4"/>
      <c r="R488" s="4"/>
      <c r="S488" s="4"/>
      <c r="T488" s="4"/>
      <c r="U488" s="4"/>
      <c r="V488" s="4"/>
      <c r="W488" s="4"/>
      <c r="X488" s="4"/>
      <c r="Y488" s="4"/>
      <c r="Z488" s="4"/>
      <c r="AA488" s="21"/>
    </row>
    <row r="489">
      <c r="A489" s="4"/>
      <c r="B489" s="4"/>
      <c r="C489" s="4"/>
      <c r="D489" s="26"/>
      <c r="E489" s="4"/>
      <c r="F489" s="4"/>
      <c r="G489" s="4"/>
      <c r="H489" s="4"/>
      <c r="I489" s="4"/>
      <c r="J489" s="4"/>
      <c r="K489" s="4"/>
      <c r="L489" s="4"/>
      <c r="M489" s="4"/>
      <c r="N489" s="4"/>
      <c r="O489" s="4"/>
      <c r="P489" s="4"/>
      <c r="Q489" s="4"/>
      <c r="R489" s="4"/>
      <c r="S489" s="4"/>
      <c r="T489" s="4"/>
      <c r="U489" s="4"/>
      <c r="V489" s="4"/>
      <c r="W489" s="4"/>
      <c r="X489" s="4"/>
      <c r="Y489" s="4"/>
      <c r="Z489" s="4"/>
      <c r="AA489" s="21"/>
    </row>
    <row r="490">
      <c r="A490" s="4"/>
      <c r="B490" s="4"/>
      <c r="C490" s="4"/>
      <c r="D490" s="26"/>
      <c r="E490" s="4"/>
      <c r="F490" s="4"/>
      <c r="G490" s="4"/>
      <c r="H490" s="4"/>
      <c r="I490" s="4"/>
      <c r="J490" s="4"/>
      <c r="K490" s="4"/>
      <c r="L490" s="4"/>
      <c r="M490" s="4"/>
      <c r="N490" s="4"/>
      <c r="O490" s="4"/>
      <c r="P490" s="4"/>
      <c r="Q490" s="4"/>
      <c r="R490" s="4"/>
      <c r="S490" s="4"/>
      <c r="T490" s="4"/>
      <c r="U490" s="4"/>
      <c r="V490" s="4"/>
      <c r="W490" s="4"/>
      <c r="X490" s="4"/>
      <c r="Y490" s="4"/>
      <c r="Z490" s="4"/>
      <c r="AA490" s="21"/>
    </row>
    <row r="491">
      <c r="A491" s="4"/>
      <c r="B491" s="4"/>
      <c r="C491" s="4"/>
      <c r="D491" s="26"/>
      <c r="E491" s="4"/>
      <c r="F491" s="4"/>
      <c r="G491" s="4"/>
      <c r="H491" s="4"/>
      <c r="I491" s="4"/>
      <c r="J491" s="4"/>
      <c r="K491" s="4"/>
      <c r="L491" s="4"/>
      <c r="M491" s="4"/>
      <c r="N491" s="4"/>
      <c r="O491" s="4"/>
      <c r="P491" s="4"/>
      <c r="Q491" s="4"/>
      <c r="R491" s="4"/>
      <c r="S491" s="4"/>
      <c r="T491" s="4"/>
      <c r="U491" s="4"/>
      <c r="V491" s="4"/>
      <c r="W491" s="4"/>
      <c r="X491" s="4"/>
      <c r="Y491" s="4"/>
      <c r="Z491" s="4"/>
      <c r="AA491" s="21"/>
    </row>
    <row r="492">
      <c r="A492" s="4"/>
      <c r="B492" s="4"/>
      <c r="C492" s="4"/>
      <c r="D492" s="26"/>
      <c r="E492" s="4"/>
      <c r="F492" s="4"/>
      <c r="G492" s="4"/>
      <c r="H492" s="4"/>
      <c r="I492" s="4"/>
      <c r="J492" s="4"/>
      <c r="K492" s="4"/>
      <c r="L492" s="4"/>
      <c r="M492" s="4"/>
      <c r="N492" s="4"/>
      <c r="O492" s="4"/>
      <c r="P492" s="4"/>
      <c r="Q492" s="4"/>
      <c r="R492" s="4"/>
      <c r="S492" s="4"/>
      <c r="T492" s="4"/>
      <c r="U492" s="4"/>
      <c r="V492" s="4"/>
      <c r="W492" s="4"/>
      <c r="X492" s="4"/>
      <c r="Y492" s="4"/>
      <c r="Z492" s="4"/>
      <c r="AA492" s="21"/>
    </row>
    <row r="493">
      <c r="A493" s="4"/>
      <c r="B493" s="4"/>
      <c r="C493" s="4"/>
      <c r="D493" s="26"/>
      <c r="E493" s="4"/>
      <c r="F493" s="4"/>
      <c r="G493" s="4"/>
      <c r="H493" s="4"/>
      <c r="I493" s="4"/>
      <c r="J493" s="4"/>
      <c r="K493" s="4"/>
      <c r="L493" s="4"/>
      <c r="M493" s="4"/>
      <c r="N493" s="4"/>
      <c r="O493" s="4"/>
      <c r="P493" s="4"/>
      <c r="Q493" s="4"/>
      <c r="R493" s="4"/>
      <c r="S493" s="4"/>
      <c r="T493" s="4"/>
      <c r="U493" s="4"/>
      <c r="V493" s="4"/>
      <c r="W493" s="4"/>
      <c r="X493" s="4"/>
      <c r="Y493" s="4"/>
      <c r="Z493" s="4"/>
      <c r="AA493" s="21"/>
    </row>
    <row r="494">
      <c r="A494" s="4"/>
      <c r="B494" s="4"/>
      <c r="C494" s="4"/>
      <c r="D494" s="26"/>
      <c r="E494" s="4"/>
      <c r="F494" s="4"/>
      <c r="G494" s="4"/>
      <c r="H494" s="4"/>
      <c r="I494" s="4"/>
      <c r="J494" s="4"/>
      <c r="K494" s="4"/>
      <c r="L494" s="4"/>
      <c r="M494" s="4"/>
      <c r="N494" s="4"/>
      <c r="O494" s="4"/>
      <c r="P494" s="4"/>
      <c r="Q494" s="4"/>
      <c r="R494" s="4"/>
      <c r="S494" s="4"/>
      <c r="T494" s="4"/>
      <c r="U494" s="4"/>
      <c r="V494" s="4"/>
      <c r="W494" s="4"/>
      <c r="X494" s="4"/>
      <c r="Y494" s="4"/>
      <c r="Z494" s="4"/>
      <c r="AA494" s="21"/>
    </row>
    <row r="495">
      <c r="A495" s="4"/>
      <c r="B495" s="4"/>
      <c r="C495" s="4"/>
      <c r="D495" s="26"/>
      <c r="E495" s="4"/>
      <c r="F495" s="4"/>
      <c r="G495" s="4"/>
      <c r="H495" s="4"/>
      <c r="I495" s="4"/>
      <c r="J495" s="4"/>
      <c r="K495" s="4"/>
      <c r="L495" s="4"/>
      <c r="M495" s="4"/>
      <c r="N495" s="4"/>
      <c r="O495" s="4"/>
      <c r="P495" s="4"/>
      <c r="Q495" s="4"/>
      <c r="R495" s="4"/>
      <c r="S495" s="4"/>
      <c r="T495" s="4"/>
      <c r="U495" s="4"/>
      <c r="V495" s="4"/>
      <c r="W495" s="4"/>
      <c r="X495" s="4"/>
      <c r="Y495" s="4"/>
      <c r="Z495" s="4"/>
      <c r="AA495" s="21"/>
    </row>
    <row r="496">
      <c r="A496" s="4"/>
      <c r="B496" s="4"/>
      <c r="C496" s="4"/>
      <c r="D496" s="26"/>
      <c r="E496" s="4"/>
      <c r="F496" s="4"/>
      <c r="G496" s="4"/>
      <c r="H496" s="4"/>
      <c r="I496" s="4"/>
      <c r="J496" s="4"/>
      <c r="K496" s="4"/>
      <c r="L496" s="4"/>
      <c r="M496" s="4"/>
      <c r="N496" s="4"/>
      <c r="O496" s="4"/>
      <c r="P496" s="4"/>
      <c r="Q496" s="4"/>
      <c r="R496" s="4"/>
      <c r="S496" s="4"/>
      <c r="T496" s="4"/>
      <c r="U496" s="4"/>
      <c r="V496" s="4"/>
      <c r="W496" s="4"/>
      <c r="X496" s="4"/>
      <c r="Y496" s="4"/>
      <c r="Z496" s="4"/>
      <c r="AA496" s="21"/>
    </row>
    <row r="497">
      <c r="A497" s="4"/>
      <c r="B497" s="4"/>
      <c r="C497" s="4"/>
      <c r="D497" s="26"/>
      <c r="E497" s="4"/>
      <c r="F497" s="4"/>
      <c r="G497" s="4"/>
      <c r="H497" s="4"/>
      <c r="I497" s="4"/>
      <c r="J497" s="4"/>
      <c r="K497" s="4"/>
      <c r="L497" s="4"/>
      <c r="M497" s="4"/>
      <c r="N497" s="4"/>
      <c r="O497" s="4"/>
      <c r="P497" s="4"/>
      <c r="Q497" s="4"/>
      <c r="R497" s="4"/>
      <c r="S497" s="4"/>
      <c r="T497" s="4"/>
      <c r="U497" s="4"/>
      <c r="V497" s="4"/>
      <c r="W497" s="4"/>
      <c r="X497" s="4"/>
      <c r="Y497" s="4"/>
      <c r="Z497" s="4"/>
      <c r="AA497" s="21"/>
    </row>
    <row r="498">
      <c r="A498" s="4"/>
      <c r="B498" s="4"/>
      <c r="C498" s="4"/>
      <c r="D498" s="26"/>
      <c r="E498" s="4"/>
      <c r="F498" s="4"/>
      <c r="G498" s="4"/>
      <c r="H498" s="4"/>
      <c r="I498" s="4"/>
      <c r="J498" s="4"/>
      <c r="K498" s="4"/>
      <c r="L498" s="4"/>
      <c r="M498" s="4"/>
      <c r="N498" s="4"/>
      <c r="O498" s="4"/>
      <c r="P498" s="4"/>
      <c r="Q498" s="4"/>
      <c r="R498" s="4"/>
      <c r="S498" s="4"/>
      <c r="T498" s="4"/>
      <c r="U498" s="4"/>
      <c r="V498" s="4"/>
      <c r="W498" s="4"/>
      <c r="X498" s="4"/>
      <c r="Y498" s="4"/>
      <c r="Z498" s="4"/>
      <c r="AA498" s="21"/>
    </row>
    <row r="499">
      <c r="A499" s="4"/>
      <c r="B499" s="4"/>
      <c r="C499" s="4"/>
      <c r="D499" s="26"/>
      <c r="E499" s="4"/>
      <c r="F499" s="4"/>
      <c r="G499" s="4"/>
      <c r="H499" s="4"/>
      <c r="I499" s="4"/>
      <c r="J499" s="4"/>
      <c r="K499" s="4"/>
      <c r="L499" s="4"/>
      <c r="M499" s="4"/>
      <c r="N499" s="4"/>
      <c r="O499" s="4"/>
      <c r="P499" s="4"/>
      <c r="Q499" s="4"/>
      <c r="R499" s="4"/>
      <c r="S499" s="4"/>
      <c r="T499" s="4"/>
      <c r="U499" s="4"/>
      <c r="V499" s="4"/>
      <c r="W499" s="4"/>
      <c r="X499" s="4"/>
      <c r="Y499" s="4"/>
      <c r="Z499" s="4"/>
      <c r="AA499" s="21"/>
    </row>
    <row r="500">
      <c r="A500" s="4"/>
      <c r="B500" s="4"/>
      <c r="C500" s="4"/>
      <c r="D500" s="26"/>
      <c r="E500" s="4"/>
      <c r="F500" s="4"/>
      <c r="G500" s="4"/>
      <c r="H500" s="4"/>
      <c r="I500" s="4"/>
      <c r="J500" s="4"/>
      <c r="K500" s="4"/>
      <c r="L500" s="4"/>
      <c r="M500" s="4"/>
      <c r="N500" s="4"/>
      <c r="O500" s="4"/>
      <c r="P500" s="4"/>
      <c r="Q500" s="4"/>
      <c r="R500" s="4"/>
      <c r="S500" s="4"/>
      <c r="T500" s="4"/>
      <c r="U500" s="4"/>
      <c r="V500" s="4"/>
      <c r="W500" s="4"/>
      <c r="X500" s="4"/>
      <c r="Y500" s="4"/>
      <c r="Z500" s="4"/>
      <c r="AA500" s="21"/>
    </row>
    <row r="501">
      <c r="A501" s="4"/>
      <c r="B501" s="4"/>
      <c r="C501" s="4"/>
      <c r="D501" s="26"/>
      <c r="E501" s="4"/>
      <c r="F501" s="4"/>
      <c r="G501" s="4"/>
      <c r="H501" s="4"/>
      <c r="I501" s="4"/>
      <c r="J501" s="4"/>
      <c r="K501" s="4"/>
      <c r="L501" s="4"/>
      <c r="M501" s="4"/>
      <c r="N501" s="4"/>
      <c r="O501" s="4"/>
      <c r="P501" s="4"/>
      <c r="Q501" s="4"/>
      <c r="R501" s="4"/>
      <c r="S501" s="4"/>
      <c r="T501" s="4"/>
      <c r="U501" s="4"/>
      <c r="V501" s="4"/>
      <c r="W501" s="4"/>
      <c r="X501" s="4"/>
      <c r="Y501" s="4"/>
      <c r="Z501" s="4"/>
      <c r="AA501" s="21"/>
    </row>
    <row r="502">
      <c r="A502" s="4"/>
      <c r="B502" s="4"/>
      <c r="C502" s="4"/>
      <c r="D502" s="26"/>
      <c r="E502" s="4"/>
      <c r="F502" s="4"/>
      <c r="G502" s="4"/>
      <c r="H502" s="4"/>
      <c r="I502" s="4"/>
      <c r="J502" s="4"/>
      <c r="K502" s="4"/>
      <c r="L502" s="4"/>
      <c r="M502" s="4"/>
      <c r="N502" s="4"/>
      <c r="O502" s="4"/>
      <c r="P502" s="4"/>
      <c r="Q502" s="4"/>
      <c r="R502" s="4"/>
      <c r="S502" s="4"/>
      <c r="T502" s="4"/>
      <c r="U502" s="4"/>
      <c r="V502" s="4"/>
      <c r="W502" s="4"/>
      <c r="X502" s="4"/>
      <c r="Y502" s="4"/>
      <c r="Z502" s="4"/>
      <c r="AA502" s="21"/>
    </row>
    <row r="503">
      <c r="A503" s="4"/>
      <c r="B503" s="4"/>
      <c r="C503" s="4"/>
      <c r="D503" s="26"/>
      <c r="E503" s="4"/>
      <c r="F503" s="4"/>
      <c r="G503" s="4"/>
      <c r="H503" s="4"/>
      <c r="I503" s="4"/>
      <c r="J503" s="4"/>
      <c r="K503" s="4"/>
      <c r="L503" s="4"/>
      <c r="M503" s="4"/>
      <c r="N503" s="4"/>
      <c r="O503" s="4"/>
      <c r="P503" s="4"/>
      <c r="Q503" s="4"/>
      <c r="R503" s="4"/>
      <c r="S503" s="4"/>
      <c r="T503" s="4"/>
      <c r="U503" s="4"/>
      <c r="V503" s="4"/>
      <c r="W503" s="4"/>
      <c r="X503" s="4"/>
      <c r="Y503" s="4"/>
      <c r="Z503" s="4"/>
      <c r="AA503" s="21"/>
    </row>
    <row r="504">
      <c r="A504" s="4"/>
      <c r="B504" s="4"/>
      <c r="C504" s="4"/>
      <c r="D504" s="26"/>
      <c r="E504" s="4"/>
      <c r="F504" s="4"/>
      <c r="G504" s="4"/>
      <c r="H504" s="4"/>
      <c r="I504" s="4"/>
      <c r="J504" s="4"/>
      <c r="K504" s="4"/>
      <c r="L504" s="4"/>
      <c r="M504" s="4"/>
      <c r="N504" s="4"/>
      <c r="O504" s="4"/>
      <c r="P504" s="4"/>
      <c r="Q504" s="4"/>
      <c r="R504" s="4"/>
      <c r="S504" s="4"/>
      <c r="T504" s="4"/>
      <c r="U504" s="4"/>
      <c r="V504" s="4"/>
      <c r="W504" s="4"/>
      <c r="X504" s="4"/>
      <c r="Y504" s="4"/>
      <c r="Z504" s="4"/>
      <c r="AA504" s="21"/>
    </row>
    <row r="505">
      <c r="A505" s="4"/>
      <c r="B505" s="4"/>
      <c r="C505" s="4"/>
      <c r="D505" s="26"/>
      <c r="E505" s="4"/>
      <c r="F505" s="4"/>
      <c r="G505" s="4"/>
      <c r="H505" s="4"/>
      <c r="I505" s="4"/>
      <c r="J505" s="4"/>
      <c r="K505" s="4"/>
      <c r="L505" s="4"/>
      <c r="M505" s="4"/>
      <c r="N505" s="4"/>
      <c r="O505" s="4"/>
      <c r="P505" s="4"/>
      <c r="Q505" s="4"/>
      <c r="R505" s="4"/>
      <c r="S505" s="4"/>
      <c r="T505" s="4"/>
      <c r="U505" s="4"/>
      <c r="V505" s="4"/>
      <c r="W505" s="4"/>
      <c r="X505" s="4"/>
      <c r="Y505" s="4"/>
      <c r="Z505" s="4"/>
      <c r="AA505" s="21"/>
    </row>
    <row r="506">
      <c r="A506" s="4"/>
      <c r="B506" s="4"/>
      <c r="C506" s="4"/>
      <c r="D506" s="26"/>
      <c r="E506" s="4"/>
      <c r="F506" s="4"/>
      <c r="G506" s="4"/>
      <c r="H506" s="4"/>
      <c r="I506" s="4"/>
      <c r="J506" s="4"/>
      <c r="K506" s="4"/>
      <c r="L506" s="4"/>
      <c r="M506" s="4"/>
      <c r="N506" s="4"/>
      <c r="O506" s="4"/>
      <c r="P506" s="4"/>
      <c r="Q506" s="4"/>
      <c r="R506" s="4"/>
      <c r="S506" s="4"/>
      <c r="T506" s="4"/>
      <c r="U506" s="4"/>
      <c r="V506" s="4"/>
      <c r="W506" s="4"/>
      <c r="X506" s="4"/>
      <c r="Y506" s="4"/>
      <c r="Z506" s="4"/>
      <c r="AA506" s="21"/>
    </row>
    <row r="507">
      <c r="A507" s="4"/>
      <c r="B507" s="4"/>
      <c r="C507" s="4"/>
      <c r="D507" s="26"/>
      <c r="E507" s="4"/>
      <c r="F507" s="4"/>
      <c r="G507" s="4"/>
      <c r="H507" s="4"/>
      <c r="I507" s="4"/>
      <c r="J507" s="4"/>
      <c r="K507" s="4"/>
      <c r="L507" s="4"/>
      <c r="M507" s="4"/>
      <c r="N507" s="4"/>
      <c r="O507" s="4"/>
      <c r="P507" s="4"/>
      <c r="Q507" s="4"/>
      <c r="R507" s="4"/>
      <c r="S507" s="4"/>
      <c r="T507" s="4"/>
      <c r="U507" s="4"/>
      <c r="V507" s="4"/>
      <c r="W507" s="4"/>
      <c r="X507" s="4"/>
      <c r="Y507" s="4"/>
      <c r="Z507" s="4"/>
      <c r="AA507" s="21"/>
    </row>
    <row r="508">
      <c r="A508" s="4"/>
      <c r="B508" s="4"/>
      <c r="C508" s="4"/>
      <c r="D508" s="26"/>
      <c r="E508" s="4"/>
      <c r="F508" s="4"/>
      <c r="G508" s="4"/>
      <c r="H508" s="4"/>
      <c r="I508" s="4"/>
      <c r="J508" s="4"/>
      <c r="K508" s="4"/>
      <c r="L508" s="4"/>
      <c r="M508" s="4"/>
      <c r="N508" s="4"/>
      <c r="O508" s="4"/>
      <c r="P508" s="4"/>
      <c r="Q508" s="4"/>
      <c r="R508" s="4"/>
      <c r="S508" s="4"/>
      <c r="T508" s="4"/>
      <c r="U508" s="4"/>
      <c r="V508" s="4"/>
      <c r="W508" s="4"/>
      <c r="X508" s="4"/>
      <c r="Y508" s="4"/>
      <c r="Z508" s="4"/>
      <c r="AA508" s="21"/>
    </row>
    <row r="509">
      <c r="A509" s="4"/>
      <c r="B509" s="4"/>
      <c r="C509" s="4"/>
      <c r="D509" s="26"/>
      <c r="E509" s="4"/>
      <c r="F509" s="4"/>
      <c r="G509" s="4"/>
      <c r="H509" s="4"/>
      <c r="I509" s="4"/>
      <c r="J509" s="4"/>
      <c r="K509" s="4"/>
      <c r="L509" s="4"/>
      <c r="M509" s="4"/>
      <c r="N509" s="4"/>
      <c r="O509" s="4"/>
      <c r="P509" s="4"/>
      <c r="Q509" s="4"/>
      <c r="R509" s="4"/>
      <c r="S509" s="4"/>
      <c r="T509" s="4"/>
      <c r="U509" s="4"/>
      <c r="V509" s="4"/>
      <c r="W509" s="4"/>
      <c r="X509" s="4"/>
      <c r="Y509" s="4"/>
      <c r="Z509" s="4"/>
      <c r="AA509" s="21"/>
    </row>
    <row r="510">
      <c r="A510" s="4"/>
      <c r="B510" s="4"/>
      <c r="C510" s="4"/>
      <c r="D510" s="26"/>
      <c r="E510" s="4"/>
      <c r="F510" s="4"/>
      <c r="G510" s="4"/>
      <c r="H510" s="4"/>
      <c r="I510" s="4"/>
      <c r="J510" s="4"/>
      <c r="K510" s="4"/>
      <c r="L510" s="4"/>
      <c r="M510" s="4"/>
      <c r="N510" s="4"/>
      <c r="O510" s="4"/>
      <c r="P510" s="4"/>
      <c r="Q510" s="4"/>
      <c r="R510" s="4"/>
      <c r="S510" s="4"/>
      <c r="T510" s="4"/>
      <c r="U510" s="4"/>
      <c r="V510" s="4"/>
      <c r="W510" s="4"/>
      <c r="X510" s="4"/>
      <c r="Y510" s="4"/>
      <c r="Z510" s="4"/>
      <c r="AA510" s="21"/>
    </row>
    <row r="511">
      <c r="A511" s="4"/>
      <c r="B511" s="4"/>
      <c r="C511" s="4"/>
      <c r="D511" s="26"/>
      <c r="E511" s="4"/>
      <c r="F511" s="4"/>
      <c r="G511" s="4"/>
      <c r="H511" s="4"/>
      <c r="I511" s="4"/>
      <c r="J511" s="4"/>
      <c r="K511" s="4"/>
      <c r="L511" s="4"/>
      <c r="M511" s="4"/>
      <c r="N511" s="4"/>
      <c r="O511" s="4"/>
      <c r="P511" s="4"/>
      <c r="Q511" s="4"/>
      <c r="R511" s="4"/>
      <c r="S511" s="4"/>
      <c r="T511" s="4"/>
      <c r="U511" s="4"/>
      <c r="V511" s="4"/>
      <c r="W511" s="4"/>
      <c r="X511" s="4"/>
      <c r="Y511" s="4"/>
      <c r="Z511" s="4"/>
      <c r="AA511" s="21"/>
    </row>
    <row r="512">
      <c r="A512" s="4"/>
      <c r="B512" s="4"/>
      <c r="C512" s="4"/>
      <c r="D512" s="26"/>
      <c r="E512" s="4"/>
      <c r="F512" s="4"/>
      <c r="G512" s="4"/>
      <c r="H512" s="4"/>
      <c r="I512" s="4"/>
      <c r="J512" s="4"/>
      <c r="K512" s="4"/>
      <c r="L512" s="4"/>
      <c r="M512" s="4"/>
      <c r="N512" s="4"/>
      <c r="O512" s="4"/>
      <c r="P512" s="4"/>
      <c r="Q512" s="4"/>
      <c r="R512" s="4"/>
      <c r="S512" s="4"/>
      <c r="T512" s="4"/>
      <c r="U512" s="4"/>
      <c r="V512" s="4"/>
      <c r="W512" s="4"/>
      <c r="X512" s="4"/>
      <c r="Y512" s="4"/>
      <c r="Z512" s="4"/>
      <c r="AA512" s="21"/>
    </row>
    <row r="513">
      <c r="A513" s="4"/>
      <c r="B513" s="4"/>
      <c r="C513" s="4"/>
      <c r="D513" s="26"/>
      <c r="E513" s="4"/>
      <c r="F513" s="4"/>
      <c r="G513" s="4"/>
      <c r="H513" s="4"/>
      <c r="I513" s="4"/>
      <c r="J513" s="4"/>
      <c r="K513" s="4"/>
      <c r="L513" s="4"/>
      <c r="M513" s="4"/>
      <c r="N513" s="4"/>
      <c r="O513" s="4"/>
      <c r="P513" s="4"/>
      <c r="Q513" s="4"/>
      <c r="R513" s="4"/>
      <c r="S513" s="4"/>
      <c r="T513" s="4"/>
      <c r="U513" s="4"/>
      <c r="V513" s="4"/>
      <c r="W513" s="4"/>
      <c r="X513" s="4"/>
      <c r="Y513" s="4"/>
      <c r="Z513" s="4"/>
      <c r="AA513" s="21"/>
    </row>
    <row r="514">
      <c r="A514" s="4"/>
      <c r="B514" s="4"/>
      <c r="C514" s="4"/>
      <c r="D514" s="26"/>
      <c r="E514" s="4"/>
      <c r="F514" s="4"/>
      <c r="G514" s="4"/>
      <c r="H514" s="4"/>
      <c r="I514" s="4"/>
      <c r="J514" s="4"/>
      <c r="K514" s="4"/>
      <c r="L514" s="4"/>
      <c r="M514" s="4"/>
      <c r="N514" s="4"/>
      <c r="O514" s="4"/>
      <c r="P514" s="4"/>
      <c r="Q514" s="4"/>
      <c r="R514" s="4"/>
      <c r="S514" s="4"/>
      <c r="T514" s="4"/>
      <c r="U514" s="4"/>
      <c r="V514" s="4"/>
      <c r="W514" s="4"/>
      <c r="X514" s="4"/>
      <c r="Y514" s="4"/>
      <c r="Z514" s="4"/>
      <c r="AA514" s="21"/>
    </row>
    <row r="515">
      <c r="A515" s="4"/>
      <c r="B515" s="4"/>
      <c r="C515" s="4"/>
      <c r="D515" s="26"/>
      <c r="E515" s="4"/>
      <c r="F515" s="4"/>
      <c r="G515" s="4"/>
      <c r="H515" s="4"/>
      <c r="I515" s="4"/>
      <c r="J515" s="4"/>
      <c r="K515" s="4"/>
      <c r="L515" s="4"/>
      <c r="M515" s="4"/>
      <c r="N515" s="4"/>
      <c r="O515" s="4"/>
      <c r="P515" s="4"/>
      <c r="Q515" s="4"/>
      <c r="R515" s="4"/>
      <c r="S515" s="4"/>
      <c r="T515" s="4"/>
      <c r="U515" s="4"/>
      <c r="V515" s="4"/>
      <c r="W515" s="4"/>
      <c r="X515" s="4"/>
      <c r="Y515" s="4"/>
      <c r="Z515" s="4"/>
      <c r="AA515" s="21"/>
    </row>
    <row r="516">
      <c r="A516" s="4"/>
      <c r="B516" s="4"/>
      <c r="C516" s="4"/>
      <c r="D516" s="26"/>
      <c r="E516" s="4"/>
      <c r="F516" s="4"/>
      <c r="G516" s="4"/>
      <c r="H516" s="4"/>
      <c r="I516" s="4"/>
      <c r="J516" s="4"/>
      <c r="K516" s="4"/>
      <c r="L516" s="4"/>
      <c r="M516" s="4"/>
      <c r="N516" s="4"/>
      <c r="O516" s="4"/>
      <c r="P516" s="4"/>
      <c r="Q516" s="4"/>
      <c r="R516" s="4"/>
      <c r="S516" s="4"/>
      <c r="T516" s="4"/>
      <c r="U516" s="4"/>
      <c r="V516" s="4"/>
      <c r="W516" s="4"/>
      <c r="X516" s="4"/>
      <c r="Y516" s="4"/>
      <c r="Z516" s="4"/>
      <c r="AA516" s="21"/>
    </row>
    <row r="517">
      <c r="A517" s="4"/>
      <c r="B517" s="4"/>
      <c r="C517" s="4"/>
      <c r="D517" s="26"/>
      <c r="E517" s="4"/>
      <c r="F517" s="4"/>
      <c r="G517" s="4"/>
      <c r="H517" s="4"/>
      <c r="I517" s="4"/>
      <c r="J517" s="4"/>
      <c r="K517" s="4"/>
      <c r="L517" s="4"/>
      <c r="M517" s="4"/>
      <c r="N517" s="4"/>
      <c r="O517" s="4"/>
      <c r="P517" s="4"/>
      <c r="Q517" s="4"/>
      <c r="R517" s="4"/>
      <c r="S517" s="4"/>
      <c r="T517" s="4"/>
      <c r="U517" s="4"/>
      <c r="V517" s="4"/>
      <c r="W517" s="4"/>
      <c r="X517" s="4"/>
      <c r="Y517" s="4"/>
      <c r="Z517" s="4"/>
      <c r="AA517" s="21"/>
    </row>
    <row r="518">
      <c r="A518" s="4"/>
      <c r="B518" s="4"/>
      <c r="C518" s="4"/>
      <c r="D518" s="26"/>
      <c r="E518" s="4"/>
      <c r="F518" s="4"/>
      <c r="G518" s="4"/>
      <c r="H518" s="4"/>
      <c r="I518" s="4"/>
      <c r="J518" s="4"/>
      <c r="K518" s="4"/>
      <c r="L518" s="4"/>
      <c r="M518" s="4"/>
      <c r="N518" s="4"/>
      <c r="O518" s="4"/>
      <c r="P518" s="4"/>
      <c r="Q518" s="4"/>
      <c r="R518" s="4"/>
      <c r="S518" s="4"/>
      <c r="T518" s="4"/>
      <c r="U518" s="4"/>
      <c r="V518" s="4"/>
      <c r="W518" s="4"/>
      <c r="X518" s="4"/>
      <c r="Y518" s="4"/>
      <c r="Z518" s="4"/>
      <c r="AA518" s="21"/>
    </row>
    <row r="519">
      <c r="A519" s="4"/>
      <c r="B519" s="4"/>
      <c r="C519" s="4"/>
      <c r="D519" s="26"/>
      <c r="E519" s="4"/>
      <c r="F519" s="4"/>
      <c r="G519" s="4"/>
      <c r="H519" s="4"/>
      <c r="I519" s="4"/>
      <c r="J519" s="4"/>
      <c r="K519" s="4"/>
      <c r="L519" s="4"/>
      <c r="M519" s="4"/>
      <c r="N519" s="4"/>
      <c r="O519" s="4"/>
      <c r="P519" s="4"/>
      <c r="Q519" s="4"/>
      <c r="R519" s="4"/>
      <c r="S519" s="4"/>
      <c r="T519" s="4"/>
      <c r="U519" s="4"/>
      <c r="V519" s="4"/>
      <c r="W519" s="4"/>
      <c r="X519" s="4"/>
      <c r="Y519" s="4"/>
      <c r="Z519" s="4"/>
      <c r="AA519" s="21"/>
    </row>
    <row r="520">
      <c r="A520" s="4"/>
      <c r="B520" s="4"/>
      <c r="C520" s="4"/>
      <c r="D520" s="26"/>
      <c r="E520" s="4"/>
      <c r="F520" s="4"/>
      <c r="G520" s="4"/>
      <c r="H520" s="4"/>
      <c r="I520" s="4"/>
      <c r="J520" s="4"/>
      <c r="K520" s="4"/>
      <c r="L520" s="4"/>
      <c r="M520" s="4"/>
      <c r="N520" s="4"/>
      <c r="O520" s="4"/>
      <c r="P520" s="4"/>
      <c r="Q520" s="4"/>
      <c r="R520" s="4"/>
      <c r="S520" s="4"/>
      <c r="T520" s="4"/>
      <c r="U520" s="4"/>
      <c r="V520" s="4"/>
      <c r="W520" s="4"/>
      <c r="X520" s="4"/>
      <c r="Y520" s="4"/>
      <c r="Z520" s="4"/>
      <c r="AA520" s="21"/>
    </row>
    <row r="521">
      <c r="A521" s="4"/>
      <c r="B521" s="4"/>
      <c r="C521" s="4"/>
      <c r="D521" s="26"/>
      <c r="E521" s="4"/>
      <c r="F521" s="4"/>
      <c r="G521" s="4"/>
      <c r="H521" s="4"/>
      <c r="I521" s="4"/>
      <c r="J521" s="4"/>
      <c r="K521" s="4"/>
      <c r="L521" s="4"/>
      <c r="M521" s="4"/>
      <c r="N521" s="4"/>
      <c r="O521" s="4"/>
      <c r="P521" s="4"/>
      <c r="Q521" s="4"/>
      <c r="R521" s="4"/>
      <c r="S521" s="4"/>
      <c r="T521" s="4"/>
      <c r="U521" s="4"/>
      <c r="V521" s="4"/>
      <c r="W521" s="4"/>
      <c r="X521" s="4"/>
      <c r="Y521" s="4"/>
      <c r="Z521" s="4"/>
      <c r="AA521" s="21"/>
    </row>
    <row r="522">
      <c r="A522" s="4"/>
      <c r="B522" s="4"/>
      <c r="C522" s="4"/>
      <c r="D522" s="26"/>
      <c r="E522" s="4"/>
      <c r="F522" s="4"/>
      <c r="G522" s="4"/>
      <c r="H522" s="4"/>
      <c r="I522" s="4"/>
      <c r="J522" s="4"/>
      <c r="K522" s="4"/>
      <c r="L522" s="4"/>
      <c r="M522" s="4"/>
      <c r="N522" s="4"/>
      <c r="O522" s="4"/>
      <c r="P522" s="4"/>
      <c r="Q522" s="4"/>
      <c r="R522" s="4"/>
      <c r="S522" s="4"/>
      <c r="T522" s="4"/>
      <c r="U522" s="4"/>
      <c r="V522" s="4"/>
      <c r="W522" s="4"/>
      <c r="X522" s="4"/>
      <c r="Y522" s="4"/>
      <c r="Z522" s="4"/>
      <c r="AA522" s="21"/>
    </row>
    <row r="523">
      <c r="A523" s="4"/>
      <c r="B523" s="4"/>
      <c r="C523" s="4"/>
      <c r="D523" s="26"/>
      <c r="E523" s="4"/>
      <c r="F523" s="4"/>
      <c r="G523" s="4"/>
      <c r="H523" s="4"/>
      <c r="I523" s="4"/>
      <c r="J523" s="4"/>
      <c r="K523" s="4"/>
      <c r="L523" s="4"/>
      <c r="M523" s="4"/>
      <c r="N523" s="4"/>
      <c r="O523" s="4"/>
      <c r="P523" s="4"/>
      <c r="Q523" s="4"/>
      <c r="R523" s="4"/>
      <c r="S523" s="4"/>
      <c r="T523" s="4"/>
      <c r="U523" s="4"/>
      <c r="V523" s="4"/>
      <c r="W523" s="4"/>
      <c r="X523" s="4"/>
      <c r="Y523" s="4"/>
      <c r="Z523" s="4"/>
      <c r="AA523" s="21"/>
    </row>
    <row r="524">
      <c r="A524" s="4"/>
      <c r="B524" s="4"/>
      <c r="C524" s="4"/>
      <c r="D524" s="26"/>
      <c r="E524" s="4"/>
      <c r="F524" s="4"/>
      <c r="G524" s="4"/>
      <c r="H524" s="4"/>
      <c r="I524" s="4"/>
      <c r="J524" s="4"/>
      <c r="K524" s="4"/>
      <c r="L524" s="4"/>
      <c r="M524" s="4"/>
      <c r="N524" s="4"/>
      <c r="O524" s="4"/>
      <c r="P524" s="4"/>
      <c r="Q524" s="4"/>
      <c r="R524" s="4"/>
      <c r="S524" s="4"/>
      <c r="T524" s="4"/>
      <c r="U524" s="4"/>
      <c r="V524" s="4"/>
      <c r="W524" s="4"/>
      <c r="X524" s="4"/>
      <c r="Y524" s="4"/>
      <c r="Z524" s="4"/>
      <c r="AA524" s="21"/>
    </row>
    <row r="525">
      <c r="A525" s="4"/>
      <c r="B525" s="4"/>
      <c r="C525" s="4"/>
      <c r="D525" s="26"/>
      <c r="E525" s="4"/>
      <c r="F525" s="4"/>
      <c r="G525" s="4"/>
      <c r="H525" s="4"/>
      <c r="I525" s="4"/>
      <c r="J525" s="4"/>
      <c r="K525" s="4"/>
      <c r="L525" s="4"/>
      <c r="M525" s="4"/>
      <c r="N525" s="4"/>
      <c r="O525" s="4"/>
      <c r="P525" s="4"/>
      <c r="Q525" s="4"/>
      <c r="R525" s="4"/>
      <c r="S525" s="4"/>
      <c r="T525" s="4"/>
      <c r="U525" s="4"/>
      <c r="V525" s="4"/>
      <c r="W525" s="4"/>
      <c r="X525" s="4"/>
      <c r="Y525" s="4"/>
      <c r="Z525" s="4"/>
      <c r="AA525" s="21"/>
    </row>
    <row r="526">
      <c r="A526" s="4"/>
      <c r="B526" s="4"/>
      <c r="C526" s="4"/>
      <c r="D526" s="26"/>
      <c r="E526" s="4"/>
      <c r="F526" s="4"/>
      <c r="G526" s="4"/>
      <c r="H526" s="4"/>
      <c r="I526" s="4"/>
      <c r="J526" s="4"/>
      <c r="K526" s="4"/>
      <c r="L526" s="4"/>
      <c r="M526" s="4"/>
      <c r="N526" s="4"/>
      <c r="O526" s="4"/>
      <c r="P526" s="4"/>
      <c r="Q526" s="4"/>
      <c r="R526" s="4"/>
      <c r="S526" s="4"/>
      <c r="T526" s="4"/>
      <c r="U526" s="4"/>
      <c r="V526" s="4"/>
      <c r="W526" s="4"/>
      <c r="X526" s="4"/>
      <c r="Y526" s="4"/>
      <c r="Z526" s="4"/>
      <c r="AA526" s="21"/>
    </row>
    <row r="527">
      <c r="A527" s="4"/>
      <c r="B527" s="4"/>
      <c r="C527" s="4"/>
      <c r="D527" s="26"/>
      <c r="E527" s="4"/>
      <c r="F527" s="4"/>
      <c r="G527" s="4"/>
      <c r="H527" s="4"/>
      <c r="I527" s="4"/>
      <c r="J527" s="4"/>
      <c r="K527" s="4"/>
      <c r="L527" s="4"/>
      <c r="M527" s="4"/>
      <c r="N527" s="4"/>
      <c r="O527" s="4"/>
      <c r="P527" s="4"/>
      <c r="Q527" s="4"/>
      <c r="R527" s="4"/>
      <c r="S527" s="4"/>
      <c r="T527" s="4"/>
      <c r="U527" s="4"/>
      <c r="V527" s="4"/>
      <c r="W527" s="4"/>
      <c r="X527" s="4"/>
      <c r="Y527" s="4"/>
      <c r="Z527" s="4"/>
      <c r="AA527" s="21"/>
    </row>
    <row r="528">
      <c r="A528" s="4"/>
      <c r="B528" s="4"/>
      <c r="C528" s="4"/>
      <c r="D528" s="26"/>
      <c r="E528" s="4"/>
      <c r="F528" s="4"/>
      <c r="G528" s="4"/>
      <c r="H528" s="4"/>
      <c r="I528" s="4"/>
      <c r="J528" s="4"/>
      <c r="K528" s="4"/>
      <c r="L528" s="4"/>
      <c r="M528" s="4"/>
      <c r="N528" s="4"/>
      <c r="O528" s="4"/>
      <c r="P528" s="4"/>
      <c r="Q528" s="4"/>
      <c r="R528" s="4"/>
      <c r="S528" s="4"/>
      <c r="T528" s="4"/>
      <c r="U528" s="4"/>
      <c r="V528" s="4"/>
      <c r="W528" s="4"/>
      <c r="X528" s="4"/>
      <c r="Y528" s="4"/>
      <c r="Z528" s="4"/>
      <c r="AA528" s="21"/>
    </row>
    <row r="529">
      <c r="A529" s="4"/>
      <c r="B529" s="4"/>
      <c r="C529" s="4"/>
      <c r="D529" s="26"/>
      <c r="E529" s="4"/>
      <c r="F529" s="4"/>
      <c r="G529" s="4"/>
      <c r="H529" s="4"/>
      <c r="I529" s="4"/>
      <c r="J529" s="4"/>
      <c r="K529" s="4"/>
      <c r="L529" s="4"/>
      <c r="M529" s="4"/>
      <c r="N529" s="4"/>
      <c r="O529" s="4"/>
      <c r="P529" s="4"/>
      <c r="Q529" s="4"/>
      <c r="R529" s="4"/>
      <c r="S529" s="4"/>
      <c r="T529" s="4"/>
      <c r="U529" s="4"/>
      <c r="V529" s="4"/>
      <c r="W529" s="4"/>
      <c r="X529" s="4"/>
      <c r="Y529" s="4"/>
      <c r="Z529" s="4"/>
      <c r="AA529" s="21"/>
    </row>
    <row r="530">
      <c r="A530" s="4"/>
      <c r="B530" s="4"/>
      <c r="C530" s="4"/>
      <c r="D530" s="26"/>
      <c r="E530" s="4"/>
      <c r="F530" s="4"/>
      <c r="G530" s="4"/>
      <c r="H530" s="4"/>
      <c r="I530" s="4"/>
      <c r="J530" s="4"/>
      <c r="K530" s="4"/>
      <c r="L530" s="4"/>
      <c r="M530" s="4"/>
      <c r="N530" s="4"/>
      <c r="O530" s="4"/>
      <c r="P530" s="4"/>
      <c r="Q530" s="4"/>
      <c r="R530" s="4"/>
      <c r="S530" s="4"/>
      <c r="T530" s="4"/>
      <c r="U530" s="4"/>
      <c r="V530" s="4"/>
      <c r="W530" s="4"/>
      <c r="X530" s="4"/>
      <c r="Y530" s="4"/>
      <c r="Z530" s="4"/>
      <c r="AA530" s="21"/>
    </row>
    <row r="531">
      <c r="A531" s="4"/>
      <c r="B531" s="4"/>
      <c r="C531" s="4"/>
      <c r="D531" s="26"/>
      <c r="E531" s="4"/>
      <c r="F531" s="4"/>
      <c r="G531" s="4"/>
      <c r="H531" s="4"/>
      <c r="I531" s="4"/>
      <c r="J531" s="4"/>
      <c r="K531" s="4"/>
      <c r="L531" s="4"/>
      <c r="M531" s="4"/>
      <c r="N531" s="4"/>
      <c r="O531" s="4"/>
      <c r="P531" s="4"/>
      <c r="Q531" s="4"/>
      <c r="R531" s="4"/>
      <c r="S531" s="4"/>
      <c r="T531" s="4"/>
      <c r="U531" s="4"/>
      <c r="V531" s="4"/>
      <c r="W531" s="4"/>
      <c r="X531" s="4"/>
      <c r="Y531" s="4"/>
      <c r="Z531" s="4"/>
      <c r="AA531" s="21"/>
    </row>
    <row r="532">
      <c r="A532" s="4"/>
      <c r="B532" s="4"/>
      <c r="C532" s="4"/>
      <c r="D532" s="26"/>
      <c r="E532" s="4"/>
      <c r="F532" s="4"/>
      <c r="G532" s="4"/>
      <c r="H532" s="4"/>
      <c r="I532" s="4"/>
      <c r="J532" s="4"/>
      <c r="K532" s="4"/>
      <c r="L532" s="4"/>
      <c r="M532" s="4"/>
      <c r="N532" s="4"/>
      <c r="O532" s="4"/>
      <c r="P532" s="4"/>
      <c r="Q532" s="4"/>
      <c r="R532" s="4"/>
      <c r="S532" s="4"/>
      <c r="T532" s="4"/>
      <c r="U532" s="4"/>
      <c r="V532" s="4"/>
      <c r="W532" s="4"/>
      <c r="X532" s="4"/>
      <c r="Y532" s="4"/>
      <c r="Z532" s="4"/>
      <c r="AA532" s="21"/>
    </row>
    <row r="533">
      <c r="A533" s="4"/>
      <c r="B533" s="4"/>
      <c r="C533" s="4"/>
      <c r="D533" s="26"/>
      <c r="E533" s="4"/>
      <c r="F533" s="4"/>
      <c r="G533" s="4"/>
      <c r="H533" s="4"/>
      <c r="I533" s="4"/>
      <c r="J533" s="4"/>
      <c r="K533" s="4"/>
      <c r="L533" s="4"/>
      <c r="M533" s="4"/>
      <c r="N533" s="4"/>
      <c r="O533" s="4"/>
      <c r="P533" s="4"/>
      <c r="Q533" s="4"/>
      <c r="R533" s="4"/>
      <c r="S533" s="4"/>
      <c r="T533" s="4"/>
      <c r="U533" s="4"/>
      <c r="V533" s="4"/>
      <c r="W533" s="4"/>
      <c r="X533" s="4"/>
      <c r="Y533" s="4"/>
      <c r="Z533" s="4"/>
      <c r="AA533" s="21"/>
    </row>
    <row r="534">
      <c r="A534" s="4"/>
      <c r="B534" s="4"/>
      <c r="C534" s="4"/>
      <c r="D534" s="26"/>
      <c r="E534" s="4"/>
      <c r="F534" s="4"/>
      <c r="G534" s="4"/>
      <c r="H534" s="4"/>
      <c r="I534" s="4"/>
      <c r="J534" s="4"/>
      <c r="K534" s="4"/>
      <c r="L534" s="4"/>
      <c r="M534" s="4"/>
      <c r="N534" s="4"/>
      <c r="O534" s="4"/>
      <c r="P534" s="4"/>
      <c r="Q534" s="4"/>
      <c r="R534" s="4"/>
      <c r="S534" s="4"/>
      <c r="T534" s="4"/>
      <c r="U534" s="4"/>
      <c r="V534" s="4"/>
      <c r="W534" s="4"/>
      <c r="X534" s="4"/>
      <c r="Y534" s="4"/>
      <c r="Z534" s="4"/>
      <c r="AA534" s="21"/>
    </row>
    <row r="535">
      <c r="A535" s="4"/>
      <c r="B535" s="4"/>
      <c r="C535" s="4"/>
      <c r="D535" s="26"/>
      <c r="E535" s="4"/>
      <c r="F535" s="4"/>
      <c r="G535" s="4"/>
      <c r="H535" s="4"/>
      <c r="I535" s="4"/>
      <c r="J535" s="4"/>
      <c r="K535" s="4"/>
      <c r="L535" s="4"/>
      <c r="M535" s="4"/>
      <c r="N535" s="4"/>
      <c r="O535" s="4"/>
      <c r="P535" s="4"/>
      <c r="Q535" s="4"/>
      <c r="R535" s="4"/>
      <c r="S535" s="4"/>
      <c r="T535" s="4"/>
      <c r="U535" s="4"/>
      <c r="V535" s="4"/>
      <c r="W535" s="4"/>
      <c r="X535" s="4"/>
      <c r="Y535" s="4"/>
      <c r="Z535" s="4"/>
      <c r="AA535" s="21"/>
    </row>
    <row r="536">
      <c r="A536" s="4"/>
      <c r="B536" s="4"/>
      <c r="C536" s="4"/>
      <c r="D536" s="26"/>
      <c r="E536" s="4"/>
      <c r="F536" s="4"/>
      <c r="G536" s="4"/>
      <c r="H536" s="4"/>
      <c r="I536" s="4"/>
      <c r="J536" s="4"/>
      <c r="K536" s="4"/>
      <c r="L536" s="4"/>
      <c r="M536" s="4"/>
      <c r="N536" s="4"/>
      <c r="O536" s="4"/>
      <c r="P536" s="4"/>
      <c r="Q536" s="4"/>
      <c r="R536" s="4"/>
      <c r="S536" s="4"/>
      <c r="T536" s="4"/>
      <c r="U536" s="4"/>
      <c r="V536" s="4"/>
      <c r="W536" s="4"/>
      <c r="X536" s="4"/>
      <c r="Y536" s="4"/>
      <c r="Z536" s="4"/>
      <c r="AA536" s="21"/>
    </row>
    <row r="537">
      <c r="A537" s="4"/>
      <c r="B537" s="4"/>
      <c r="C537" s="4"/>
      <c r="D537" s="26"/>
      <c r="E537" s="4"/>
      <c r="F537" s="4"/>
      <c r="G537" s="4"/>
      <c r="H537" s="4"/>
      <c r="I537" s="4"/>
      <c r="J537" s="4"/>
      <c r="K537" s="4"/>
      <c r="L537" s="4"/>
      <c r="M537" s="4"/>
      <c r="N537" s="4"/>
      <c r="O537" s="4"/>
      <c r="P537" s="4"/>
      <c r="Q537" s="4"/>
      <c r="R537" s="4"/>
      <c r="S537" s="4"/>
      <c r="T537" s="4"/>
      <c r="U537" s="4"/>
      <c r="V537" s="4"/>
      <c r="W537" s="4"/>
      <c r="X537" s="4"/>
      <c r="Y537" s="4"/>
      <c r="Z537" s="4"/>
      <c r="AA537" s="21"/>
    </row>
    <row r="538">
      <c r="A538" s="4"/>
      <c r="B538" s="4"/>
      <c r="C538" s="4"/>
      <c r="D538" s="26"/>
      <c r="E538" s="4"/>
      <c r="F538" s="4"/>
      <c r="G538" s="4"/>
      <c r="H538" s="4"/>
      <c r="I538" s="4"/>
      <c r="J538" s="4"/>
      <c r="K538" s="4"/>
      <c r="L538" s="4"/>
      <c r="M538" s="4"/>
      <c r="N538" s="4"/>
      <c r="O538" s="4"/>
      <c r="P538" s="4"/>
      <c r="Q538" s="4"/>
      <c r="R538" s="4"/>
      <c r="S538" s="4"/>
      <c r="T538" s="4"/>
      <c r="U538" s="4"/>
      <c r="V538" s="4"/>
      <c r="W538" s="4"/>
      <c r="X538" s="4"/>
      <c r="Y538" s="4"/>
      <c r="Z538" s="4"/>
      <c r="AA538" s="21"/>
    </row>
    <row r="539">
      <c r="A539" s="4"/>
      <c r="B539" s="4"/>
      <c r="C539" s="4"/>
      <c r="D539" s="26"/>
      <c r="E539" s="4"/>
      <c r="F539" s="4"/>
      <c r="G539" s="4"/>
      <c r="H539" s="4"/>
      <c r="I539" s="4"/>
      <c r="J539" s="4"/>
      <c r="K539" s="4"/>
      <c r="L539" s="4"/>
      <c r="M539" s="4"/>
      <c r="N539" s="4"/>
      <c r="O539" s="4"/>
      <c r="P539" s="4"/>
      <c r="Q539" s="4"/>
      <c r="R539" s="4"/>
      <c r="S539" s="4"/>
      <c r="T539" s="4"/>
      <c r="U539" s="4"/>
      <c r="V539" s="4"/>
      <c r="W539" s="4"/>
      <c r="X539" s="4"/>
      <c r="Y539" s="4"/>
      <c r="Z539" s="4"/>
      <c r="AA539" s="21"/>
    </row>
    <row r="540">
      <c r="A540" s="4"/>
      <c r="B540" s="4"/>
      <c r="C540" s="4"/>
      <c r="D540" s="26"/>
      <c r="E540" s="4"/>
      <c r="F540" s="4"/>
      <c r="G540" s="4"/>
      <c r="H540" s="4"/>
      <c r="I540" s="4"/>
      <c r="J540" s="4"/>
      <c r="K540" s="4"/>
      <c r="L540" s="4"/>
      <c r="M540" s="4"/>
      <c r="N540" s="4"/>
      <c r="O540" s="4"/>
      <c r="P540" s="4"/>
      <c r="Q540" s="4"/>
      <c r="R540" s="4"/>
      <c r="S540" s="4"/>
      <c r="T540" s="4"/>
      <c r="U540" s="4"/>
      <c r="V540" s="4"/>
      <c r="W540" s="4"/>
      <c r="X540" s="4"/>
      <c r="Y540" s="4"/>
      <c r="Z540" s="4"/>
      <c r="AA540" s="21"/>
    </row>
    <row r="541">
      <c r="A541" s="4"/>
      <c r="B541" s="4"/>
      <c r="C541" s="4"/>
      <c r="D541" s="26"/>
      <c r="E541" s="4"/>
      <c r="F541" s="4"/>
      <c r="G541" s="4"/>
      <c r="H541" s="4"/>
      <c r="I541" s="4"/>
      <c r="J541" s="4"/>
      <c r="K541" s="4"/>
      <c r="L541" s="4"/>
      <c r="M541" s="4"/>
      <c r="N541" s="4"/>
      <c r="O541" s="4"/>
      <c r="P541" s="4"/>
      <c r="Q541" s="4"/>
      <c r="R541" s="4"/>
      <c r="S541" s="4"/>
      <c r="T541" s="4"/>
      <c r="U541" s="4"/>
      <c r="V541" s="4"/>
      <c r="W541" s="4"/>
      <c r="X541" s="4"/>
      <c r="Y541" s="4"/>
      <c r="Z541" s="4"/>
      <c r="AA541" s="21"/>
    </row>
    <row r="542">
      <c r="A542" s="4"/>
      <c r="B542" s="4"/>
      <c r="C542" s="4"/>
      <c r="D542" s="26"/>
      <c r="E542" s="4"/>
      <c r="F542" s="4"/>
      <c r="G542" s="4"/>
      <c r="H542" s="4"/>
      <c r="I542" s="4"/>
      <c r="J542" s="4"/>
      <c r="K542" s="4"/>
      <c r="L542" s="4"/>
      <c r="M542" s="4"/>
      <c r="N542" s="4"/>
      <c r="O542" s="4"/>
      <c r="P542" s="4"/>
      <c r="Q542" s="4"/>
      <c r="R542" s="4"/>
      <c r="S542" s="4"/>
      <c r="T542" s="4"/>
      <c r="U542" s="4"/>
      <c r="V542" s="4"/>
      <c r="W542" s="4"/>
      <c r="X542" s="4"/>
      <c r="Y542" s="4"/>
      <c r="Z542" s="4"/>
      <c r="AA542" s="21"/>
    </row>
    <row r="543">
      <c r="A543" s="4"/>
      <c r="B543" s="4"/>
      <c r="C543" s="4"/>
      <c r="D543" s="26"/>
      <c r="E543" s="4"/>
      <c r="F543" s="4"/>
      <c r="G543" s="4"/>
      <c r="H543" s="4"/>
      <c r="I543" s="4"/>
      <c r="J543" s="4"/>
      <c r="K543" s="4"/>
      <c r="L543" s="4"/>
      <c r="M543" s="4"/>
      <c r="N543" s="4"/>
      <c r="O543" s="4"/>
      <c r="P543" s="4"/>
      <c r="Q543" s="4"/>
      <c r="R543" s="4"/>
      <c r="S543" s="4"/>
      <c r="T543" s="4"/>
      <c r="U543" s="4"/>
      <c r="V543" s="4"/>
      <c r="W543" s="4"/>
      <c r="X543" s="4"/>
      <c r="Y543" s="4"/>
      <c r="Z543" s="4"/>
      <c r="AA543" s="21"/>
    </row>
    <row r="544">
      <c r="A544" s="4"/>
      <c r="B544" s="4"/>
      <c r="C544" s="4"/>
      <c r="D544" s="26"/>
      <c r="E544" s="4"/>
      <c r="F544" s="4"/>
      <c r="G544" s="4"/>
      <c r="H544" s="4"/>
      <c r="I544" s="4"/>
      <c r="J544" s="4"/>
      <c r="K544" s="4"/>
      <c r="L544" s="4"/>
      <c r="M544" s="4"/>
      <c r="N544" s="4"/>
      <c r="O544" s="4"/>
      <c r="P544" s="4"/>
      <c r="Q544" s="4"/>
      <c r="R544" s="4"/>
      <c r="S544" s="4"/>
      <c r="T544" s="4"/>
      <c r="U544" s="4"/>
      <c r="V544" s="4"/>
      <c r="W544" s="4"/>
      <c r="X544" s="4"/>
      <c r="Y544" s="4"/>
      <c r="Z544" s="4"/>
      <c r="AA544" s="21"/>
    </row>
    <row r="545">
      <c r="A545" s="4"/>
      <c r="B545" s="4"/>
      <c r="C545" s="4"/>
      <c r="D545" s="26"/>
      <c r="E545" s="4"/>
      <c r="F545" s="4"/>
      <c r="G545" s="4"/>
      <c r="H545" s="4"/>
      <c r="I545" s="4"/>
      <c r="J545" s="4"/>
      <c r="K545" s="4"/>
      <c r="L545" s="4"/>
      <c r="M545" s="4"/>
      <c r="N545" s="4"/>
      <c r="O545" s="4"/>
      <c r="P545" s="4"/>
      <c r="Q545" s="4"/>
      <c r="R545" s="4"/>
      <c r="S545" s="4"/>
      <c r="T545" s="4"/>
      <c r="U545" s="4"/>
      <c r="V545" s="4"/>
      <c r="W545" s="4"/>
      <c r="X545" s="4"/>
      <c r="Y545" s="4"/>
      <c r="Z545" s="4"/>
      <c r="AA545" s="21"/>
    </row>
    <row r="546">
      <c r="A546" s="4"/>
      <c r="B546" s="4"/>
      <c r="C546" s="4"/>
      <c r="D546" s="26"/>
      <c r="E546" s="4"/>
      <c r="F546" s="4"/>
      <c r="G546" s="4"/>
      <c r="H546" s="4"/>
      <c r="I546" s="4"/>
      <c r="J546" s="4"/>
      <c r="K546" s="4"/>
      <c r="L546" s="4"/>
      <c r="M546" s="4"/>
      <c r="N546" s="4"/>
      <c r="O546" s="4"/>
      <c r="P546" s="4"/>
      <c r="Q546" s="4"/>
      <c r="R546" s="4"/>
      <c r="S546" s="4"/>
      <c r="T546" s="4"/>
      <c r="U546" s="4"/>
      <c r="V546" s="4"/>
      <c r="W546" s="4"/>
      <c r="X546" s="4"/>
      <c r="Y546" s="4"/>
      <c r="Z546" s="4"/>
      <c r="AA546" s="21"/>
    </row>
    <row r="547">
      <c r="A547" s="4"/>
      <c r="B547" s="4"/>
      <c r="C547" s="4"/>
      <c r="D547" s="26"/>
      <c r="E547" s="4"/>
      <c r="F547" s="4"/>
      <c r="G547" s="4"/>
      <c r="H547" s="4"/>
      <c r="I547" s="4"/>
      <c r="J547" s="4"/>
      <c r="K547" s="4"/>
      <c r="L547" s="4"/>
      <c r="M547" s="4"/>
      <c r="N547" s="4"/>
      <c r="O547" s="4"/>
      <c r="P547" s="4"/>
      <c r="Q547" s="4"/>
      <c r="R547" s="4"/>
      <c r="S547" s="4"/>
      <c r="T547" s="4"/>
      <c r="U547" s="4"/>
      <c r="V547" s="4"/>
      <c r="W547" s="4"/>
      <c r="X547" s="4"/>
      <c r="Y547" s="4"/>
      <c r="Z547" s="4"/>
      <c r="AA547" s="21"/>
    </row>
    <row r="548">
      <c r="A548" s="4"/>
      <c r="B548" s="4"/>
      <c r="C548" s="4"/>
      <c r="D548" s="26"/>
      <c r="E548" s="4"/>
      <c r="F548" s="4"/>
      <c r="G548" s="4"/>
      <c r="H548" s="4"/>
      <c r="I548" s="4"/>
      <c r="J548" s="4"/>
      <c r="K548" s="4"/>
      <c r="L548" s="4"/>
      <c r="M548" s="4"/>
      <c r="N548" s="4"/>
      <c r="O548" s="4"/>
      <c r="P548" s="4"/>
      <c r="Q548" s="4"/>
      <c r="R548" s="4"/>
      <c r="S548" s="4"/>
      <c r="T548" s="4"/>
      <c r="U548" s="4"/>
      <c r="V548" s="4"/>
      <c r="W548" s="4"/>
      <c r="X548" s="4"/>
      <c r="Y548" s="4"/>
      <c r="Z548" s="4"/>
      <c r="AA548" s="21"/>
    </row>
    <row r="549">
      <c r="A549" s="4"/>
      <c r="B549" s="4"/>
      <c r="C549" s="4"/>
      <c r="D549" s="26"/>
      <c r="E549" s="4"/>
      <c r="F549" s="4"/>
      <c r="G549" s="4"/>
      <c r="H549" s="4"/>
      <c r="I549" s="4"/>
      <c r="J549" s="4"/>
      <c r="K549" s="4"/>
      <c r="L549" s="4"/>
      <c r="M549" s="4"/>
      <c r="N549" s="4"/>
      <c r="O549" s="4"/>
      <c r="P549" s="4"/>
      <c r="Q549" s="4"/>
      <c r="R549" s="4"/>
      <c r="S549" s="4"/>
      <c r="T549" s="4"/>
      <c r="U549" s="4"/>
      <c r="V549" s="4"/>
      <c r="W549" s="4"/>
      <c r="X549" s="4"/>
      <c r="Y549" s="4"/>
      <c r="Z549" s="4"/>
      <c r="AA549" s="21"/>
    </row>
    <row r="550">
      <c r="A550" s="4"/>
      <c r="B550" s="4"/>
      <c r="C550" s="4"/>
      <c r="D550" s="26"/>
      <c r="E550" s="4"/>
      <c r="F550" s="4"/>
      <c r="G550" s="4"/>
      <c r="H550" s="4"/>
      <c r="I550" s="4"/>
      <c r="J550" s="4"/>
      <c r="K550" s="4"/>
      <c r="L550" s="4"/>
      <c r="M550" s="4"/>
      <c r="N550" s="4"/>
      <c r="O550" s="4"/>
      <c r="P550" s="4"/>
      <c r="Q550" s="4"/>
      <c r="R550" s="4"/>
      <c r="S550" s="4"/>
      <c r="T550" s="4"/>
      <c r="U550" s="4"/>
      <c r="V550" s="4"/>
      <c r="W550" s="4"/>
      <c r="X550" s="4"/>
      <c r="Y550" s="4"/>
      <c r="Z550" s="4"/>
      <c r="AA550" s="21"/>
    </row>
    <row r="551">
      <c r="A551" s="4"/>
      <c r="B551" s="4"/>
      <c r="C551" s="4"/>
      <c r="D551" s="26"/>
      <c r="E551" s="4"/>
      <c r="F551" s="4"/>
      <c r="G551" s="4"/>
      <c r="H551" s="4"/>
      <c r="I551" s="4"/>
      <c r="J551" s="4"/>
      <c r="K551" s="4"/>
      <c r="L551" s="4"/>
      <c r="M551" s="4"/>
      <c r="N551" s="4"/>
      <c r="O551" s="4"/>
      <c r="P551" s="4"/>
      <c r="Q551" s="4"/>
      <c r="R551" s="4"/>
      <c r="S551" s="4"/>
      <c r="T551" s="4"/>
      <c r="U551" s="4"/>
      <c r="V551" s="4"/>
      <c r="W551" s="4"/>
      <c r="X551" s="4"/>
      <c r="Y551" s="4"/>
      <c r="Z551" s="4"/>
      <c r="AA551" s="21"/>
    </row>
    <row r="552">
      <c r="A552" s="4"/>
      <c r="B552" s="4"/>
      <c r="C552" s="4"/>
      <c r="D552" s="26"/>
      <c r="E552" s="4"/>
      <c r="F552" s="4"/>
      <c r="G552" s="4"/>
      <c r="H552" s="4"/>
      <c r="I552" s="4"/>
      <c r="J552" s="4"/>
      <c r="K552" s="4"/>
      <c r="L552" s="4"/>
      <c r="M552" s="4"/>
      <c r="N552" s="4"/>
      <c r="O552" s="4"/>
      <c r="P552" s="4"/>
      <c r="Q552" s="4"/>
      <c r="R552" s="4"/>
      <c r="S552" s="4"/>
      <c r="T552" s="4"/>
      <c r="U552" s="4"/>
      <c r="V552" s="4"/>
      <c r="W552" s="4"/>
      <c r="X552" s="4"/>
      <c r="Y552" s="4"/>
      <c r="Z552" s="4"/>
      <c r="AA552" s="21"/>
    </row>
    <row r="553">
      <c r="A553" s="4"/>
      <c r="B553" s="4"/>
      <c r="C553" s="4"/>
      <c r="D553" s="26"/>
      <c r="E553" s="4"/>
      <c r="F553" s="4"/>
      <c r="G553" s="4"/>
      <c r="H553" s="4"/>
      <c r="I553" s="4"/>
      <c r="J553" s="4"/>
      <c r="K553" s="4"/>
      <c r="L553" s="4"/>
      <c r="M553" s="4"/>
      <c r="N553" s="4"/>
      <c r="O553" s="4"/>
      <c r="P553" s="4"/>
      <c r="Q553" s="4"/>
      <c r="R553" s="4"/>
      <c r="S553" s="4"/>
      <c r="T553" s="4"/>
      <c r="U553" s="4"/>
      <c r="V553" s="4"/>
      <c r="W553" s="4"/>
      <c r="X553" s="4"/>
      <c r="Y553" s="4"/>
      <c r="Z553" s="4"/>
      <c r="AA553" s="21"/>
    </row>
    <row r="554">
      <c r="A554" s="4"/>
      <c r="B554" s="4"/>
      <c r="C554" s="4"/>
      <c r="D554" s="26"/>
      <c r="E554" s="4"/>
      <c r="F554" s="4"/>
      <c r="G554" s="4"/>
      <c r="H554" s="4"/>
      <c r="I554" s="4"/>
      <c r="J554" s="4"/>
      <c r="K554" s="4"/>
      <c r="L554" s="4"/>
      <c r="M554" s="4"/>
      <c r="N554" s="4"/>
      <c r="O554" s="4"/>
      <c r="P554" s="4"/>
      <c r="Q554" s="4"/>
      <c r="R554" s="4"/>
      <c r="S554" s="4"/>
      <c r="T554" s="4"/>
      <c r="U554" s="4"/>
      <c r="V554" s="4"/>
      <c r="W554" s="4"/>
      <c r="X554" s="4"/>
      <c r="Y554" s="4"/>
      <c r="Z554" s="4"/>
      <c r="AA554" s="21"/>
    </row>
    <row r="555">
      <c r="A555" s="4"/>
      <c r="B555" s="4"/>
      <c r="C555" s="4"/>
      <c r="D555" s="26"/>
      <c r="E555" s="4"/>
      <c r="F555" s="4"/>
      <c r="G555" s="4"/>
      <c r="H555" s="4"/>
      <c r="I555" s="4"/>
      <c r="J555" s="4"/>
      <c r="K555" s="4"/>
      <c r="L555" s="4"/>
      <c r="M555" s="4"/>
      <c r="N555" s="4"/>
      <c r="O555" s="4"/>
      <c r="P555" s="4"/>
      <c r="Q555" s="4"/>
      <c r="R555" s="4"/>
      <c r="S555" s="4"/>
      <c r="T555" s="4"/>
      <c r="U555" s="4"/>
      <c r="V555" s="4"/>
      <c r="W555" s="4"/>
      <c r="X555" s="4"/>
      <c r="Y555" s="4"/>
      <c r="Z555" s="4"/>
      <c r="AA555" s="21"/>
    </row>
    <row r="556">
      <c r="A556" s="4"/>
      <c r="B556" s="4"/>
      <c r="C556" s="4"/>
      <c r="D556" s="26"/>
      <c r="E556" s="4"/>
      <c r="F556" s="4"/>
      <c r="G556" s="4"/>
      <c r="H556" s="4"/>
      <c r="I556" s="4"/>
      <c r="J556" s="4"/>
      <c r="K556" s="4"/>
      <c r="L556" s="4"/>
      <c r="M556" s="4"/>
      <c r="N556" s="4"/>
      <c r="O556" s="4"/>
      <c r="P556" s="4"/>
      <c r="Q556" s="4"/>
      <c r="R556" s="4"/>
      <c r="S556" s="4"/>
      <c r="T556" s="4"/>
      <c r="U556" s="4"/>
      <c r="V556" s="4"/>
      <c r="W556" s="4"/>
      <c r="X556" s="4"/>
      <c r="Y556" s="4"/>
      <c r="Z556" s="4"/>
      <c r="AA556" s="21"/>
    </row>
    <row r="557">
      <c r="A557" s="4"/>
      <c r="B557" s="4"/>
      <c r="C557" s="4"/>
      <c r="D557" s="26"/>
      <c r="E557" s="4"/>
      <c r="F557" s="4"/>
      <c r="G557" s="4"/>
      <c r="H557" s="4"/>
      <c r="I557" s="4"/>
      <c r="J557" s="4"/>
      <c r="K557" s="4"/>
      <c r="L557" s="4"/>
      <c r="M557" s="4"/>
      <c r="N557" s="4"/>
      <c r="O557" s="4"/>
      <c r="P557" s="4"/>
      <c r="Q557" s="4"/>
      <c r="R557" s="4"/>
      <c r="S557" s="4"/>
      <c r="T557" s="4"/>
      <c r="U557" s="4"/>
      <c r="V557" s="4"/>
      <c r="W557" s="4"/>
      <c r="X557" s="4"/>
      <c r="Y557" s="4"/>
      <c r="Z557" s="4"/>
      <c r="AA557" s="21"/>
    </row>
    <row r="558">
      <c r="A558" s="4"/>
      <c r="B558" s="4"/>
      <c r="C558" s="4"/>
      <c r="D558" s="26"/>
      <c r="E558" s="4"/>
      <c r="F558" s="4"/>
      <c r="G558" s="4"/>
      <c r="H558" s="4"/>
      <c r="I558" s="4"/>
      <c r="J558" s="4"/>
      <c r="K558" s="4"/>
      <c r="L558" s="4"/>
      <c r="M558" s="4"/>
      <c r="N558" s="4"/>
      <c r="O558" s="4"/>
      <c r="P558" s="4"/>
      <c r="Q558" s="4"/>
      <c r="R558" s="4"/>
      <c r="S558" s="4"/>
      <c r="T558" s="4"/>
      <c r="U558" s="4"/>
      <c r="V558" s="4"/>
      <c r="W558" s="4"/>
      <c r="X558" s="4"/>
      <c r="Y558" s="4"/>
      <c r="Z558" s="4"/>
      <c r="AA558" s="21"/>
    </row>
    <row r="559">
      <c r="A559" s="4"/>
      <c r="B559" s="4"/>
      <c r="C559" s="4"/>
      <c r="D559" s="26"/>
      <c r="E559" s="4"/>
      <c r="F559" s="4"/>
      <c r="G559" s="4"/>
      <c r="H559" s="4"/>
      <c r="I559" s="4"/>
      <c r="J559" s="4"/>
      <c r="K559" s="4"/>
      <c r="L559" s="4"/>
      <c r="M559" s="4"/>
      <c r="N559" s="4"/>
      <c r="O559" s="4"/>
      <c r="P559" s="4"/>
      <c r="Q559" s="4"/>
      <c r="R559" s="4"/>
      <c r="S559" s="4"/>
      <c r="T559" s="4"/>
      <c r="U559" s="4"/>
      <c r="V559" s="4"/>
      <c r="W559" s="4"/>
      <c r="X559" s="4"/>
      <c r="Y559" s="4"/>
      <c r="Z559" s="4"/>
      <c r="AA559" s="21"/>
    </row>
    <row r="560">
      <c r="A560" s="4"/>
      <c r="B560" s="4"/>
      <c r="C560" s="4"/>
      <c r="D560" s="26"/>
      <c r="E560" s="4"/>
      <c r="F560" s="4"/>
      <c r="G560" s="4"/>
      <c r="H560" s="4"/>
      <c r="I560" s="4"/>
      <c r="J560" s="4"/>
      <c r="K560" s="4"/>
      <c r="L560" s="4"/>
      <c r="M560" s="4"/>
      <c r="N560" s="4"/>
      <c r="O560" s="4"/>
      <c r="P560" s="4"/>
      <c r="Q560" s="4"/>
      <c r="R560" s="4"/>
      <c r="S560" s="4"/>
      <c r="T560" s="4"/>
      <c r="U560" s="4"/>
      <c r="V560" s="4"/>
      <c r="W560" s="4"/>
      <c r="X560" s="4"/>
      <c r="Y560" s="4"/>
      <c r="Z560" s="4"/>
      <c r="AA560" s="21"/>
    </row>
    <row r="561">
      <c r="A561" s="4"/>
      <c r="B561" s="4"/>
      <c r="C561" s="4"/>
      <c r="D561" s="26"/>
      <c r="E561" s="4"/>
      <c r="F561" s="4"/>
      <c r="G561" s="4"/>
      <c r="H561" s="4"/>
      <c r="I561" s="4"/>
      <c r="J561" s="4"/>
      <c r="K561" s="4"/>
      <c r="L561" s="4"/>
      <c r="M561" s="4"/>
      <c r="N561" s="4"/>
      <c r="O561" s="4"/>
      <c r="P561" s="4"/>
      <c r="Q561" s="4"/>
      <c r="R561" s="4"/>
      <c r="S561" s="4"/>
      <c r="T561" s="4"/>
      <c r="U561" s="4"/>
      <c r="V561" s="4"/>
      <c r="W561" s="4"/>
      <c r="X561" s="4"/>
      <c r="Y561" s="4"/>
      <c r="Z561" s="4"/>
      <c r="AA561" s="21"/>
    </row>
    <row r="562">
      <c r="A562" s="4"/>
      <c r="B562" s="4"/>
      <c r="C562" s="4"/>
      <c r="D562" s="26"/>
      <c r="E562" s="4"/>
      <c r="F562" s="4"/>
      <c r="G562" s="4"/>
      <c r="H562" s="4"/>
      <c r="I562" s="4"/>
      <c r="J562" s="4"/>
      <c r="K562" s="4"/>
      <c r="L562" s="4"/>
      <c r="M562" s="4"/>
      <c r="N562" s="4"/>
      <c r="O562" s="4"/>
      <c r="P562" s="4"/>
      <c r="Q562" s="4"/>
      <c r="R562" s="4"/>
      <c r="S562" s="4"/>
      <c r="T562" s="4"/>
      <c r="U562" s="4"/>
      <c r="V562" s="4"/>
      <c r="W562" s="4"/>
      <c r="X562" s="4"/>
      <c r="Y562" s="4"/>
      <c r="Z562" s="4"/>
      <c r="AA562" s="21"/>
    </row>
    <row r="563">
      <c r="A563" s="4"/>
      <c r="B563" s="4"/>
      <c r="C563" s="4"/>
      <c r="D563" s="26"/>
      <c r="E563" s="4"/>
      <c r="F563" s="4"/>
      <c r="G563" s="4"/>
      <c r="H563" s="4"/>
      <c r="I563" s="4"/>
      <c r="J563" s="4"/>
      <c r="K563" s="4"/>
      <c r="L563" s="4"/>
      <c r="M563" s="4"/>
      <c r="N563" s="4"/>
      <c r="O563" s="4"/>
      <c r="P563" s="4"/>
      <c r="Q563" s="4"/>
      <c r="R563" s="4"/>
      <c r="S563" s="4"/>
      <c r="T563" s="4"/>
      <c r="U563" s="4"/>
      <c r="V563" s="4"/>
      <c r="W563" s="4"/>
      <c r="X563" s="4"/>
      <c r="Y563" s="4"/>
      <c r="Z563" s="4"/>
      <c r="AA563" s="21"/>
    </row>
    <row r="564">
      <c r="A564" s="4"/>
      <c r="B564" s="4"/>
      <c r="C564" s="4"/>
      <c r="D564" s="26"/>
      <c r="E564" s="4"/>
      <c r="F564" s="4"/>
      <c r="G564" s="4"/>
      <c r="H564" s="4"/>
      <c r="I564" s="4"/>
      <c r="J564" s="4"/>
      <c r="K564" s="4"/>
      <c r="L564" s="4"/>
      <c r="M564" s="4"/>
      <c r="N564" s="4"/>
      <c r="O564" s="4"/>
      <c r="P564" s="4"/>
      <c r="Q564" s="4"/>
      <c r="R564" s="4"/>
      <c r="S564" s="4"/>
      <c r="T564" s="4"/>
      <c r="U564" s="4"/>
      <c r="V564" s="4"/>
      <c r="W564" s="4"/>
      <c r="X564" s="4"/>
      <c r="Y564" s="4"/>
      <c r="Z564" s="4"/>
      <c r="AA564" s="21"/>
    </row>
    <row r="565">
      <c r="A565" s="4"/>
      <c r="B565" s="4"/>
      <c r="C565" s="4"/>
      <c r="D565" s="26"/>
      <c r="E565" s="4"/>
      <c r="F565" s="4"/>
      <c r="G565" s="4"/>
      <c r="H565" s="4"/>
      <c r="I565" s="4"/>
      <c r="J565" s="4"/>
      <c r="K565" s="4"/>
      <c r="L565" s="4"/>
      <c r="M565" s="4"/>
      <c r="N565" s="4"/>
      <c r="O565" s="4"/>
      <c r="P565" s="4"/>
      <c r="Q565" s="4"/>
      <c r="R565" s="4"/>
      <c r="S565" s="4"/>
      <c r="T565" s="4"/>
      <c r="U565" s="4"/>
      <c r="V565" s="4"/>
      <c r="W565" s="4"/>
      <c r="X565" s="4"/>
      <c r="Y565" s="4"/>
      <c r="Z565" s="4"/>
      <c r="AA565" s="21"/>
    </row>
    <row r="566">
      <c r="A566" s="4"/>
      <c r="B566" s="4"/>
      <c r="C566" s="4"/>
      <c r="D566" s="26"/>
      <c r="E566" s="4"/>
      <c r="F566" s="4"/>
      <c r="G566" s="4"/>
      <c r="H566" s="4"/>
      <c r="I566" s="4"/>
      <c r="J566" s="4"/>
      <c r="K566" s="4"/>
      <c r="L566" s="4"/>
      <c r="M566" s="4"/>
      <c r="N566" s="4"/>
      <c r="O566" s="4"/>
      <c r="P566" s="4"/>
      <c r="Q566" s="4"/>
      <c r="R566" s="4"/>
      <c r="S566" s="4"/>
      <c r="T566" s="4"/>
      <c r="U566" s="4"/>
      <c r="V566" s="4"/>
      <c r="W566" s="4"/>
      <c r="X566" s="4"/>
      <c r="Y566" s="4"/>
      <c r="Z566" s="4"/>
      <c r="AA566" s="21"/>
    </row>
    <row r="567">
      <c r="A567" s="4"/>
      <c r="B567" s="4"/>
      <c r="C567" s="4"/>
      <c r="D567" s="26"/>
      <c r="E567" s="4"/>
      <c r="F567" s="4"/>
      <c r="G567" s="4"/>
      <c r="H567" s="4"/>
      <c r="I567" s="4"/>
      <c r="J567" s="4"/>
      <c r="K567" s="4"/>
      <c r="L567" s="4"/>
      <c r="M567" s="4"/>
      <c r="N567" s="4"/>
      <c r="O567" s="4"/>
      <c r="P567" s="4"/>
      <c r="Q567" s="4"/>
      <c r="R567" s="4"/>
      <c r="S567" s="4"/>
      <c r="T567" s="4"/>
      <c r="U567" s="4"/>
      <c r="V567" s="4"/>
      <c r="W567" s="4"/>
      <c r="X567" s="4"/>
      <c r="Y567" s="4"/>
      <c r="Z567" s="4"/>
      <c r="AA567" s="21"/>
    </row>
    <row r="568">
      <c r="A568" s="4"/>
      <c r="B568" s="4"/>
      <c r="C568" s="4"/>
      <c r="D568" s="26"/>
      <c r="E568" s="4"/>
      <c r="F568" s="4"/>
      <c r="G568" s="4"/>
      <c r="H568" s="4"/>
      <c r="I568" s="4"/>
      <c r="J568" s="4"/>
      <c r="K568" s="4"/>
      <c r="L568" s="4"/>
      <c r="M568" s="4"/>
      <c r="N568" s="4"/>
      <c r="O568" s="4"/>
      <c r="P568" s="4"/>
      <c r="Q568" s="4"/>
      <c r="R568" s="4"/>
      <c r="S568" s="4"/>
      <c r="T568" s="4"/>
      <c r="U568" s="4"/>
      <c r="V568" s="4"/>
      <c r="W568" s="4"/>
      <c r="X568" s="4"/>
      <c r="Y568" s="4"/>
      <c r="Z568" s="4"/>
      <c r="AA568" s="21"/>
    </row>
    <row r="569">
      <c r="A569" s="4"/>
      <c r="B569" s="4"/>
      <c r="C569" s="4"/>
      <c r="D569" s="26"/>
      <c r="E569" s="4"/>
      <c r="F569" s="4"/>
      <c r="G569" s="4"/>
      <c r="H569" s="4"/>
      <c r="I569" s="4"/>
      <c r="J569" s="4"/>
      <c r="K569" s="4"/>
      <c r="L569" s="4"/>
      <c r="M569" s="4"/>
      <c r="N569" s="4"/>
      <c r="O569" s="4"/>
      <c r="P569" s="4"/>
      <c r="Q569" s="4"/>
      <c r="R569" s="4"/>
      <c r="S569" s="4"/>
      <c r="T569" s="4"/>
      <c r="U569" s="4"/>
      <c r="V569" s="4"/>
      <c r="W569" s="4"/>
      <c r="X569" s="4"/>
      <c r="Y569" s="4"/>
      <c r="Z569" s="4"/>
      <c r="AA569" s="21"/>
    </row>
    <row r="570">
      <c r="A570" s="4"/>
      <c r="B570" s="4"/>
      <c r="C570" s="4"/>
      <c r="D570" s="26"/>
      <c r="E570" s="4"/>
      <c r="F570" s="4"/>
      <c r="G570" s="4"/>
      <c r="H570" s="4"/>
      <c r="I570" s="4"/>
      <c r="J570" s="4"/>
      <c r="K570" s="4"/>
      <c r="L570" s="4"/>
      <c r="M570" s="4"/>
      <c r="N570" s="4"/>
      <c r="O570" s="4"/>
      <c r="P570" s="4"/>
      <c r="Q570" s="4"/>
      <c r="R570" s="4"/>
      <c r="S570" s="4"/>
      <c r="T570" s="4"/>
      <c r="U570" s="4"/>
      <c r="V570" s="4"/>
      <c r="W570" s="4"/>
      <c r="X570" s="4"/>
      <c r="Y570" s="4"/>
      <c r="Z570" s="4"/>
      <c r="AA570" s="21"/>
    </row>
    <row r="571">
      <c r="A571" s="4"/>
      <c r="B571" s="4"/>
      <c r="C571" s="4"/>
      <c r="D571" s="26"/>
      <c r="E571" s="4"/>
      <c r="F571" s="4"/>
      <c r="G571" s="4"/>
      <c r="H571" s="4"/>
      <c r="I571" s="4"/>
      <c r="J571" s="4"/>
      <c r="K571" s="4"/>
      <c r="L571" s="4"/>
      <c r="M571" s="4"/>
      <c r="N571" s="4"/>
      <c r="O571" s="4"/>
      <c r="P571" s="4"/>
      <c r="Q571" s="4"/>
      <c r="R571" s="4"/>
      <c r="S571" s="4"/>
      <c r="T571" s="4"/>
      <c r="U571" s="4"/>
      <c r="V571" s="4"/>
      <c r="W571" s="4"/>
      <c r="X571" s="4"/>
      <c r="Y571" s="4"/>
      <c r="Z571" s="4"/>
      <c r="AA571" s="21"/>
    </row>
    <row r="572">
      <c r="A572" s="4"/>
      <c r="B572" s="4"/>
      <c r="C572" s="4"/>
      <c r="D572" s="26"/>
      <c r="E572" s="4"/>
      <c r="F572" s="4"/>
      <c r="G572" s="4"/>
      <c r="H572" s="4"/>
      <c r="I572" s="4"/>
      <c r="J572" s="4"/>
      <c r="K572" s="4"/>
      <c r="L572" s="4"/>
      <c r="M572" s="4"/>
      <c r="N572" s="4"/>
      <c r="O572" s="4"/>
      <c r="P572" s="4"/>
      <c r="Q572" s="4"/>
      <c r="R572" s="4"/>
      <c r="S572" s="4"/>
      <c r="T572" s="4"/>
      <c r="U572" s="4"/>
      <c r="V572" s="4"/>
      <c r="W572" s="4"/>
      <c r="X572" s="4"/>
      <c r="Y572" s="4"/>
      <c r="Z572" s="4"/>
      <c r="AA572" s="21"/>
    </row>
    <row r="573">
      <c r="A573" s="4"/>
      <c r="B573" s="4"/>
      <c r="C573" s="4"/>
      <c r="D573" s="26"/>
      <c r="E573" s="4"/>
      <c r="F573" s="4"/>
      <c r="G573" s="4"/>
      <c r="H573" s="4"/>
      <c r="I573" s="4"/>
      <c r="J573" s="4"/>
      <c r="K573" s="4"/>
      <c r="L573" s="4"/>
      <c r="M573" s="4"/>
      <c r="N573" s="4"/>
      <c r="O573" s="4"/>
      <c r="P573" s="4"/>
      <c r="Q573" s="4"/>
      <c r="R573" s="4"/>
      <c r="S573" s="4"/>
      <c r="T573" s="4"/>
      <c r="U573" s="4"/>
      <c r="V573" s="4"/>
      <c r="W573" s="4"/>
      <c r="X573" s="4"/>
      <c r="Y573" s="4"/>
      <c r="Z573" s="4"/>
      <c r="AA573" s="21"/>
    </row>
    <row r="574">
      <c r="A574" s="4"/>
      <c r="B574" s="4"/>
      <c r="C574" s="4"/>
      <c r="D574" s="26"/>
      <c r="E574" s="4"/>
      <c r="F574" s="4"/>
      <c r="G574" s="4"/>
      <c r="H574" s="4"/>
      <c r="I574" s="4"/>
      <c r="J574" s="4"/>
      <c r="K574" s="4"/>
      <c r="L574" s="4"/>
      <c r="M574" s="4"/>
      <c r="N574" s="4"/>
      <c r="O574" s="4"/>
      <c r="P574" s="4"/>
      <c r="Q574" s="4"/>
      <c r="R574" s="4"/>
      <c r="S574" s="4"/>
      <c r="T574" s="4"/>
      <c r="U574" s="4"/>
      <c r="V574" s="4"/>
      <c r="W574" s="4"/>
      <c r="X574" s="4"/>
      <c r="Y574" s="4"/>
      <c r="Z574" s="4"/>
      <c r="AA574" s="21"/>
    </row>
    <row r="575">
      <c r="A575" s="4"/>
      <c r="B575" s="4"/>
      <c r="C575" s="4"/>
      <c r="D575" s="26"/>
      <c r="E575" s="4"/>
      <c r="F575" s="4"/>
      <c r="G575" s="4"/>
      <c r="H575" s="4"/>
      <c r="I575" s="4"/>
      <c r="J575" s="4"/>
      <c r="K575" s="4"/>
      <c r="L575" s="4"/>
      <c r="M575" s="4"/>
      <c r="N575" s="4"/>
      <c r="O575" s="4"/>
      <c r="P575" s="4"/>
      <c r="Q575" s="4"/>
      <c r="R575" s="4"/>
      <c r="S575" s="4"/>
      <c r="T575" s="4"/>
      <c r="U575" s="4"/>
      <c r="V575" s="4"/>
      <c r="W575" s="4"/>
      <c r="X575" s="4"/>
      <c r="Y575" s="4"/>
      <c r="Z575" s="4"/>
      <c r="AA575" s="21"/>
    </row>
    <row r="576">
      <c r="A576" s="4"/>
      <c r="B576" s="4"/>
      <c r="C576" s="4"/>
      <c r="D576" s="26"/>
      <c r="E576" s="4"/>
      <c r="F576" s="4"/>
      <c r="G576" s="4"/>
      <c r="H576" s="4"/>
      <c r="I576" s="4"/>
      <c r="J576" s="4"/>
      <c r="K576" s="4"/>
      <c r="L576" s="4"/>
      <c r="M576" s="4"/>
      <c r="N576" s="4"/>
      <c r="O576" s="4"/>
      <c r="P576" s="4"/>
      <c r="Q576" s="4"/>
      <c r="R576" s="4"/>
      <c r="S576" s="4"/>
      <c r="T576" s="4"/>
      <c r="U576" s="4"/>
      <c r="V576" s="4"/>
      <c r="W576" s="4"/>
      <c r="X576" s="4"/>
      <c r="Y576" s="4"/>
      <c r="Z576" s="4"/>
      <c r="AA576" s="21"/>
    </row>
    <row r="577">
      <c r="A577" s="4"/>
      <c r="B577" s="4"/>
      <c r="C577" s="4"/>
      <c r="D577" s="26"/>
      <c r="E577" s="4"/>
      <c r="F577" s="4"/>
      <c r="G577" s="4"/>
      <c r="H577" s="4"/>
      <c r="I577" s="4"/>
      <c r="J577" s="4"/>
      <c r="K577" s="4"/>
      <c r="L577" s="4"/>
      <c r="M577" s="4"/>
      <c r="N577" s="4"/>
      <c r="O577" s="4"/>
      <c r="P577" s="4"/>
      <c r="Q577" s="4"/>
      <c r="R577" s="4"/>
      <c r="S577" s="4"/>
      <c r="T577" s="4"/>
      <c r="U577" s="4"/>
      <c r="V577" s="4"/>
      <c r="W577" s="4"/>
      <c r="X577" s="4"/>
      <c r="Y577" s="4"/>
      <c r="Z577" s="4"/>
      <c r="AA577" s="21"/>
    </row>
    <row r="578">
      <c r="A578" s="4"/>
      <c r="B578" s="4"/>
      <c r="C578" s="4"/>
      <c r="D578" s="26"/>
      <c r="E578" s="4"/>
      <c r="F578" s="4"/>
      <c r="G578" s="4"/>
      <c r="H578" s="4"/>
      <c r="I578" s="4"/>
      <c r="J578" s="4"/>
      <c r="K578" s="4"/>
      <c r="L578" s="4"/>
      <c r="M578" s="4"/>
      <c r="N578" s="4"/>
      <c r="O578" s="4"/>
      <c r="P578" s="4"/>
      <c r="Q578" s="4"/>
      <c r="R578" s="4"/>
      <c r="S578" s="4"/>
      <c r="T578" s="4"/>
      <c r="U578" s="4"/>
      <c r="V578" s="4"/>
      <c r="W578" s="4"/>
      <c r="X578" s="4"/>
      <c r="Y578" s="4"/>
      <c r="Z578" s="4"/>
      <c r="AA578" s="21"/>
    </row>
    <row r="579">
      <c r="A579" s="4"/>
      <c r="B579" s="4"/>
      <c r="C579" s="4"/>
      <c r="D579" s="26"/>
      <c r="E579" s="4"/>
      <c r="F579" s="4"/>
      <c r="G579" s="4"/>
      <c r="H579" s="4"/>
      <c r="I579" s="4"/>
      <c r="J579" s="4"/>
      <c r="K579" s="4"/>
      <c r="L579" s="4"/>
      <c r="M579" s="4"/>
      <c r="N579" s="4"/>
      <c r="O579" s="4"/>
      <c r="P579" s="4"/>
      <c r="Q579" s="4"/>
      <c r="R579" s="4"/>
      <c r="S579" s="4"/>
      <c r="T579" s="4"/>
      <c r="U579" s="4"/>
      <c r="V579" s="4"/>
      <c r="W579" s="4"/>
      <c r="X579" s="4"/>
      <c r="Y579" s="4"/>
      <c r="Z579" s="4"/>
      <c r="AA579" s="21"/>
    </row>
    <row r="580">
      <c r="A580" s="4"/>
      <c r="B580" s="4"/>
      <c r="C580" s="4"/>
      <c r="D580" s="26"/>
      <c r="E580" s="4"/>
      <c r="F580" s="4"/>
      <c r="G580" s="4"/>
      <c r="H580" s="4"/>
      <c r="I580" s="4"/>
      <c r="J580" s="4"/>
      <c r="K580" s="4"/>
      <c r="L580" s="4"/>
      <c r="M580" s="4"/>
      <c r="N580" s="4"/>
      <c r="O580" s="4"/>
      <c r="P580" s="4"/>
      <c r="Q580" s="4"/>
      <c r="R580" s="4"/>
      <c r="S580" s="4"/>
      <c r="T580" s="4"/>
      <c r="U580" s="4"/>
      <c r="V580" s="4"/>
      <c r="W580" s="4"/>
      <c r="X580" s="4"/>
      <c r="Y580" s="4"/>
      <c r="Z580" s="4"/>
      <c r="AA580" s="21"/>
    </row>
    <row r="581">
      <c r="A581" s="4"/>
      <c r="B581" s="4"/>
      <c r="C581" s="4"/>
      <c r="D581" s="26"/>
      <c r="E581" s="4"/>
      <c r="F581" s="4"/>
      <c r="G581" s="4"/>
      <c r="H581" s="4"/>
      <c r="I581" s="4"/>
      <c r="J581" s="4"/>
      <c r="K581" s="4"/>
      <c r="L581" s="4"/>
      <c r="M581" s="4"/>
      <c r="N581" s="4"/>
      <c r="O581" s="4"/>
      <c r="P581" s="4"/>
      <c r="Q581" s="4"/>
      <c r="R581" s="4"/>
      <c r="S581" s="4"/>
      <c r="T581" s="4"/>
      <c r="U581" s="4"/>
      <c r="V581" s="4"/>
      <c r="W581" s="4"/>
      <c r="X581" s="4"/>
      <c r="Y581" s="4"/>
      <c r="Z581" s="4"/>
      <c r="AA581" s="21"/>
    </row>
    <row r="582">
      <c r="A582" s="4"/>
      <c r="B582" s="4"/>
      <c r="C582" s="4"/>
      <c r="D582" s="26"/>
      <c r="E582" s="4"/>
      <c r="F582" s="4"/>
      <c r="G582" s="4"/>
      <c r="H582" s="4"/>
      <c r="I582" s="4"/>
      <c r="J582" s="4"/>
      <c r="K582" s="4"/>
      <c r="L582" s="4"/>
      <c r="M582" s="4"/>
      <c r="N582" s="4"/>
      <c r="O582" s="4"/>
      <c r="P582" s="4"/>
      <c r="Q582" s="4"/>
      <c r="R582" s="4"/>
      <c r="S582" s="4"/>
      <c r="T582" s="4"/>
      <c r="U582" s="4"/>
      <c r="V582" s="4"/>
      <c r="W582" s="4"/>
      <c r="X582" s="4"/>
      <c r="Y582" s="4"/>
      <c r="Z582" s="4"/>
      <c r="AA582" s="21"/>
    </row>
    <row r="583">
      <c r="A583" s="4"/>
      <c r="B583" s="4"/>
      <c r="C583" s="4"/>
      <c r="D583" s="26"/>
      <c r="E583" s="4"/>
      <c r="F583" s="4"/>
      <c r="G583" s="4"/>
      <c r="H583" s="4"/>
      <c r="I583" s="4"/>
      <c r="J583" s="4"/>
      <c r="K583" s="4"/>
      <c r="L583" s="4"/>
      <c r="M583" s="4"/>
      <c r="N583" s="4"/>
      <c r="O583" s="4"/>
      <c r="P583" s="4"/>
      <c r="Q583" s="4"/>
      <c r="R583" s="4"/>
      <c r="S583" s="4"/>
      <c r="T583" s="4"/>
      <c r="U583" s="4"/>
      <c r="V583" s="4"/>
      <c r="W583" s="4"/>
      <c r="X583" s="4"/>
      <c r="Y583" s="4"/>
      <c r="Z583" s="4"/>
      <c r="AA583" s="21"/>
    </row>
    <row r="584">
      <c r="A584" s="4"/>
      <c r="B584" s="4"/>
      <c r="C584" s="4"/>
      <c r="D584" s="26"/>
      <c r="E584" s="4"/>
      <c r="F584" s="4"/>
      <c r="G584" s="4"/>
      <c r="H584" s="4"/>
      <c r="I584" s="4"/>
      <c r="J584" s="4"/>
      <c r="K584" s="4"/>
      <c r="L584" s="4"/>
      <c r="M584" s="4"/>
      <c r="N584" s="4"/>
      <c r="O584" s="4"/>
      <c r="P584" s="4"/>
      <c r="Q584" s="4"/>
      <c r="R584" s="4"/>
      <c r="S584" s="4"/>
      <c r="T584" s="4"/>
      <c r="U584" s="4"/>
      <c r="V584" s="4"/>
      <c r="W584" s="4"/>
      <c r="X584" s="4"/>
      <c r="Y584" s="4"/>
      <c r="Z584" s="4"/>
      <c r="AA584" s="21"/>
    </row>
    <row r="585">
      <c r="A585" s="4"/>
      <c r="B585" s="4"/>
      <c r="C585" s="4"/>
      <c r="D585" s="26"/>
      <c r="E585" s="4"/>
      <c r="F585" s="4"/>
      <c r="G585" s="4"/>
      <c r="H585" s="4"/>
      <c r="I585" s="4"/>
      <c r="J585" s="4"/>
      <c r="K585" s="4"/>
      <c r="L585" s="4"/>
      <c r="M585" s="4"/>
      <c r="N585" s="4"/>
      <c r="O585" s="4"/>
      <c r="P585" s="4"/>
      <c r="Q585" s="4"/>
      <c r="R585" s="4"/>
      <c r="S585" s="4"/>
      <c r="T585" s="4"/>
      <c r="U585" s="4"/>
      <c r="V585" s="4"/>
      <c r="W585" s="4"/>
      <c r="X585" s="4"/>
      <c r="Y585" s="4"/>
      <c r="Z585" s="4"/>
      <c r="AA585" s="21"/>
    </row>
    <row r="586">
      <c r="A586" s="4"/>
      <c r="B586" s="4"/>
      <c r="C586" s="4"/>
      <c r="D586" s="26"/>
      <c r="E586" s="4"/>
      <c r="F586" s="4"/>
      <c r="G586" s="4"/>
      <c r="H586" s="4"/>
      <c r="I586" s="4"/>
      <c r="J586" s="4"/>
      <c r="K586" s="4"/>
      <c r="L586" s="4"/>
      <c r="M586" s="4"/>
      <c r="N586" s="4"/>
      <c r="O586" s="4"/>
      <c r="P586" s="4"/>
      <c r="Q586" s="4"/>
      <c r="R586" s="4"/>
      <c r="S586" s="4"/>
      <c r="T586" s="4"/>
      <c r="U586" s="4"/>
      <c r="V586" s="4"/>
      <c r="W586" s="4"/>
      <c r="X586" s="4"/>
      <c r="Y586" s="4"/>
      <c r="Z586" s="4"/>
      <c r="AA586" s="21"/>
    </row>
    <row r="587">
      <c r="A587" s="4"/>
      <c r="B587" s="4"/>
      <c r="C587" s="4"/>
      <c r="D587" s="26"/>
      <c r="E587" s="4"/>
      <c r="F587" s="4"/>
      <c r="G587" s="4"/>
      <c r="H587" s="4"/>
      <c r="I587" s="4"/>
      <c r="J587" s="4"/>
      <c r="K587" s="4"/>
      <c r="L587" s="4"/>
      <c r="M587" s="4"/>
      <c r="N587" s="4"/>
      <c r="O587" s="4"/>
      <c r="P587" s="4"/>
      <c r="Q587" s="4"/>
      <c r="R587" s="4"/>
      <c r="S587" s="4"/>
      <c r="T587" s="4"/>
      <c r="U587" s="4"/>
      <c r="V587" s="4"/>
      <c r="W587" s="4"/>
      <c r="X587" s="4"/>
      <c r="Y587" s="4"/>
      <c r="Z587" s="4"/>
      <c r="AA587" s="21"/>
    </row>
    <row r="588">
      <c r="A588" s="4"/>
      <c r="B588" s="4"/>
      <c r="C588" s="4"/>
      <c r="D588" s="26"/>
      <c r="E588" s="4"/>
      <c r="F588" s="4"/>
      <c r="G588" s="4"/>
      <c r="H588" s="4"/>
      <c r="I588" s="4"/>
      <c r="J588" s="4"/>
      <c r="K588" s="4"/>
      <c r="L588" s="4"/>
      <c r="M588" s="4"/>
      <c r="N588" s="4"/>
      <c r="O588" s="4"/>
      <c r="P588" s="4"/>
      <c r="Q588" s="4"/>
      <c r="R588" s="4"/>
      <c r="S588" s="4"/>
      <c r="T588" s="4"/>
      <c r="U588" s="4"/>
      <c r="V588" s="4"/>
      <c r="W588" s="4"/>
      <c r="X588" s="4"/>
      <c r="Y588" s="4"/>
      <c r="Z588" s="4"/>
      <c r="AA588" s="21"/>
    </row>
    <row r="589">
      <c r="A589" s="4"/>
      <c r="B589" s="4"/>
      <c r="C589" s="4"/>
      <c r="D589" s="26"/>
      <c r="E589" s="4"/>
      <c r="F589" s="4"/>
      <c r="G589" s="4"/>
      <c r="H589" s="4"/>
      <c r="I589" s="4"/>
      <c r="J589" s="4"/>
      <c r="K589" s="4"/>
      <c r="L589" s="4"/>
      <c r="M589" s="4"/>
      <c r="N589" s="4"/>
      <c r="O589" s="4"/>
      <c r="P589" s="4"/>
      <c r="Q589" s="4"/>
      <c r="R589" s="4"/>
      <c r="S589" s="4"/>
      <c r="T589" s="4"/>
      <c r="U589" s="4"/>
      <c r="V589" s="4"/>
      <c r="W589" s="4"/>
      <c r="X589" s="4"/>
      <c r="Y589" s="4"/>
      <c r="Z589" s="4"/>
      <c r="AA589" s="21"/>
    </row>
    <row r="590">
      <c r="A590" s="4"/>
      <c r="B590" s="4"/>
      <c r="C590" s="4"/>
      <c r="D590" s="26"/>
      <c r="E590" s="4"/>
      <c r="F590" s="4"/>
      <c r="G590" s="4"/>
      <c r="H590" s="4"/>
      <c r="I590" s="4"/>
      <c r="J590" s="4"/>
      <c r="K590" s="4"/>
      <c r="L590" s="4"/>
      <c r="M590" s="4"/>
      <c r="N590" s="4"/>
      <c r="O590" s="4"/>
      <c r="P590" s="4"/>
      <c r="Q590" s="4"/>
      <c r="R590" s="4"/>
      <c r="S590" s="4"/>
      <c r="T590" s="4"/>
      <c r="U590" s="4"/>
      <c r="V590" s="4"/>
      <c r="W590" s="4"/>
      <c r="X590" s="4"/>
      <c r="Y590" s="4"/>
      <c r="Z590" s="4"/>
      <c r="AA590" s="21"/>
    </row>
    <row r="591">
      <c r="A591" s="4"/>
      <c r="B591" s="4"/>
      <c r="C591" s="4"/>
      <c r="D591" s="26"/>
      <c r="E591" s="4"/>
      <c r="F591" s="4"/>
      <c r="G591" s="4"/>
      <c r="H591" s="4"/>
      <c r="I591" s="4"/>
      <c r="J591" s="4"/>
      <c r="K591" s="4"/>
      <c r="L591" s="4"/>
      <c r="M591" s="4"/>
      <c r="N591" s="4"/>
      <c r="O591" s="4"/>
      <c r="P591" s="4"/>
      <c r="Q591" s="4"/>
      <c r="R591" s="4"/>
      <c r="S591" s="4"/>
      <c r="T591" s="4"/>
      <c r="U591" s="4"/>
      <c r="V591" s="4"/>
      <c r="W591" s="4"/>
      <c r="X591" s="4"/>
      <c r="Y591" s="4"/>
      <c r="Z591" s="4"/>
      <c r="AA591" s="21"/>
    </row>
    <row r="592">
      <c r="A592" s="4"/>
      <c r="B592" s="4"/>
      <c r="C592" s="4"/>
      <c r="D592" s="26"/>
      <c r="E592" s="4"/>
      <c r="F592" s="4"/>
      <c r="G592" s="4"/>
      <c r="H592" s="4"/>
      <c r="I592" s="4"/>
      <c r="J592" s="4"/>
      <c r="K592" s="4"/>
      <c r="L592" s="4"/>
      <c r="M592" s="4"/>
      <c r="N592" s="4"/>
      <c r="O592" s="4"/>
      <c r="P592" s="4"/>
      <c r="Q592" s="4"/>
      <c r="R592" s="4"/>
      <c r="S592" s="4"/>
      <c r="T592" s="4"/>
      <c r="U592" s="4"/>
      <c r="V592" s="4"/>
      <c r="W592" s="4"/>
      <c r="X592" s="4"/>
      <c r="Y592" s="4"/>
      <c r="Z592" s="4"/>
      <c r="AA592" s="21"/>
    </row>
    <row r="593">
      <c r="A593" s="4"/>
      <c r="B593" s="4"/>
      <c r="C593" s="4"/>
      <c r="D593" s="26"/>
      <c r="E593" s="4"/>
      <c r="F593" s="4"/>
      <c r="G593" s="4"/>
      <c r="H593" s="4"/>
      <c r="I593" s="4"/>
      <c r="J593" s="4"/>
      <c r="K593" s="4"/>
      <c r="L593" s="4"/>
      <c r="M593" s="4"/>
      <c r="N593" s="4"/>
      <c r="O593" s="4"/>
      <c r="P593" s="4"/>
      <c r="Q593" s="4"/>
      <c r="R593" s="4"/>
      <c r="S593" s="4"/>
      <c r="T593" s="4"/>
      <c r="U593" s="4"/>
      <c r="V593" s="4"/>
      <c r="W593" s="4"/>
      <c r="X593" s="4"/>
      <c r="Y593" s="4"/>
      <c r="Z593" s="4"/>
      <c r="AA593" s="21"/>
    </row>
    <row r="594">
      <c r="A594" s="4"/>
      <c r="B594" s="4"/>
      <c r="C594" s="4"/>
      <c r="D594" s="26"/>
      <c r="E594" s="4"/>
      <c r="F594" s="4"/>
      <c r="G594" s="4"/>
      <c r="H594" s="4"/>
      <c r="I594" s="4"/>
      <c r="J594" s="4"/>
      <c r="K594" s="4"/>
      <c r="L594" s="4"/>
      <c r="M594" s="4"/>
      <c r="N594" s="4"/>
      <c r="O594" s="4"/>
      <c r="P594" s="4"/>
      <c r="Q594" s="4"/>
      <c r="R594" s="4"/>
      <c r="S594" s="4"/>
      <c r="T594" s="4"/>
      <c r="U594" s="4"/>
      <c r="V594" s="4"/>
      <c r="W594" s="4"/>
      <c r="X594" s="4"/>
      <c r="Y594" s="4"/>
      <c r="Z594" s="4"/>
      <c r="AA594" s="21"/>
    </row>
    <row r="595">
      <c r="A595" s="4"/>
      <c r="B595" s="4"/>
      <c r="C595" s="4"/>
      <c r="D595" s="26"/>
      <c r="E595" s="4"/>
      <c r="F595" s="4"/>
      <c r="G595" s="4"/>
      <c r="H595" s="4"/>
      <c r="I595" s="4"/>
      <c r="J595" s="4"/>
      <c r="K595" s="4"/>
      <c r="L595" s="4"/>
      <c r="M595" s="4"/>
      <c r="N595" s="4"/>
      <c r="O595" s="4"/>
      <c r="P595" s="4"/>
      <c r="Q595" s="4"/>
      <c r="R595" s="4"/>
      <c r="S595" s="4"/>
      <c r="T595" s="4"/>
      <c r="U595" s="4"/>
      <c r="V595" s="4"/>
      <c r="W595" s="4"/>
      <c r="X595" s="4"/>
      <c r="Y595" s="4"/>
      <c r="Z595" s="4"/>
      <c r="AA595" s="21"/>
    </row>
    <row r="596">
      <c r="A596" s="4"/>
      <c r="B596" s="4"/>
      <c r="C596" s="4"/>
      <c r="D596" s="26"/>
      <c r="E596" s="4"/>
      <c r="F596" s="4"/>
      <c r="G596" s="4"/>
      <c r="H596" s="4"/>
      <c r="I596" s="4"/>
      <c r="J596" s="4"/>
      <c r="K596" s="4"/>
      <c r="L596" s="4"/>
      <c r="M596" s="4"/>
      <c r="N596" s="4"/>
      <c r="O596" s="4"/>
      <c r="P596" s="4"/>
      <c r="Q596" s="4"/>
      <c r="R596" s="4"/>
      <c r="S596" s="4"/>
      <c r="T596" s="4"/>
      <c r="U596" s="4"/>
      <c r="V596" s="4"/>
      <c r="W596" s="4"/>
      <c r="X596" s="4"/>
      <c r="Y596" s="4"/>
      <c r="Z596" s="4"/>
      <c r="AA596" s="21"/>
    </row>
    <row r="597">
      <c r="A597" s="4"/>
      <c r="B597" s="4"/>
      <c r="C597" s="4"/>
      <c r="D597" s="26"/>
      <c r="E597" s="4"/>
      <c r="F597" s="4"/>
      <c r="G597" s="4"/>
      <c r="H597" s="4"/>
      <c r="I597" s="4"/>
      <c r="J597" s="4"/>
      <c r="K597" s="4"/>
      <c r="L597" s="4"/>
      <c r="M597" s="4"/>
      <c r="N597" s="4"/>
      <c r="O597" s="4"/>
      <c r="P597" s="4"/>
      <c r="Q597" s="4"/>
      <c r="R597" s="4"/>
      <c r="S597" s="4"/>
      <c r="T597" s="4"/>
      <c r="U597" s="4"/>
      <c r="V597" s="4"/>
      <c r="W597" s="4"/>
      <c r="X597" s="4"/>
      <c r="Y597" s="4"/>
      <c r="Z597" s="4"/>
      <c r="AA597" s="21"/>
    </row>
    <row r="598">
      <c r="A598" s="4"/>
      <c r="B598" s="4"/>
      <c r="C598" s="4"/>
      <c r="D598" s="26"/>
      <c r="E598" s="4"/>
      <c r="F598" s="4"/>
      <c r="G598" s="4"/>
      <c r="H598" s="4"/>
      <c r="I598" s="4"/>
      <c r="J598" s="4"/>
      <c r="K598" s="4"/>
      <c r="L598" s="4"/>
      <c r="M598" s="4"/>
      <c r="N598" s="4"/>
      <c r="O598" s="4"/>
      <c r="P598" s="4"/>
      <c r="Q598" s="4"/>
      <c r="R598" s="4"/>
      <c r="S598" s="4"/>
      <c r="T598" s="4"/>
      <c r="U598" s="4"/>
      <c r="V598" s="4"/>
      <c r="W598" s="4"/>
      <c r="X598" s="4"/>
      <c r="Y598" s="4"/>
      <c r="Z598" s="4"/>
      <c r="AA598" s="21"/>
    </row>
    <row r="599">
      <c r="A599" s="4"/>
      <c r="B599" s="4"/>
      <c r="C599" s="4"/>
      <c r="D599" s="26"/>
      <c r="E599" s="4"/>
      <c r="F599" s="4"/>
      <c r="G599" s="4"/>
      <c r="H599" s="4"/>
      <c r="I599" s="4"/>
      <c r="J599" s="4"/>
      <c r="K599" s="4"/>
      <c r="L599" s="4"/>
      <c r="M599" s="4"/>
      <c r="N599" s="4"/>
      <c r="O599" s="4"/>
      <c r="P599" s="4"/>
      <c r="Q599" s="4"/>
      <c r="R599" s="4"/>
      <c r="S599" s="4"/>
      <c r="T599" s="4"/>
      <c r="U599" s="4"/>
      <c r="V599" s="4"/>
      <c r="W599" s="4"/>
      <c r="X599" s="4"/>
      <c r="Y599" s="4"/>
      <c r="Z599" s="4"/>
      <c r="AA599" s="21"/>
    </row>
    <row r="600">
      <c r="A600" s="4"/>
      <c r="B600" s="4"/>
      <c r="C600" s="4"/>
      <c r="D600" s="26"/>
      <c r="E600" s="4"/>
      <c r="F600" s="4"/>
      <c r="G600" s="4"/>
      <c r="H600" s="4"/>
      <c r="I600" s="4"/>
      <c r="J600" s="4"/>
      <c r="K600" s="4"/>
      <c r="L600" s="4"/>
      <c r="M600" s="4"/>
      <c r="N600" s="4"/>
      <c r="O600" s="4"/>
      <c r="P600" s="4"/>
      <c r="Q600" s="4"/>
      <c r="R600" s="4"/>
      <c r="S600" s="4"/>
      <c r="T600" s="4"/>
      <c r="U600" s="4"/>
      <c r="V600" s="4"/>
      <c r="W600" s="4"/>
      <c r="X600" s="4"/>
      <c r="Y600" s="4"/>
      <c r="Z600" s="4"/>
      <c r="AA600" s="21"/>
    </row>
    <row r="601">
      <c r="A601" s="4"/>
      <c r="B601" s="4"/>
      <c r="C601" s="4"/>
      <c r="D601" s="26"/>
      <c r="E601" s="4"/>
      <c r="F601" s="4"/>
      <c r="G601" s="4"/>
      <c r="H601" s="4"/>
      <c r="I601" s="4"/>
      <c r="J601" s="4"/>
      <c r="K601" s="4"/>
      <c r="L601" s="4"/>
      <c r="M601" s="4"/>
      <c r="N601" s="4"/>
      <c r="O601" s="4"/>
      <c r="P601" s="4"/>
      <c r="Q601" s="4"/>
      <c r="R601" s="4"/>
      <c r="S601" s="4"/>
      <c r="T601" s="4"/>
      <c r="U601" s="4"/>
      <c r="V601" s="4"/>
      <c r="W601" s="4"/>
      <c r="X601" s="4"/>
      <c r="Y601" s="4"/>
      <c r="Z601" s="4"/>
      <c r="AA601" s="21"/>
    </row>
    <row r="602">
      <c r="A602" s="4"/>
      <c r="B602" s="4"/>
      <c r="C602" s="4"/>
      <c r="D602" s="26"/>
      <c r="E602" s="4"/>
      <c r="F602" s="4"/>
      <c r="G602" s="4"/>
      <c r="H602" s="4"/>
      <c r="I602" s="4"/>
      <c r="J602" s="4"/>
      <c r="K602" s="4"/>
      <c r="L602" s="4"/>
      <c r="M602" s="4"/>
      <c r="N602" s="4"/>
      <c r="O602" s="4"/>
      <c r="P602" s="4"/>
      <c r="Q602" s="4"/>
      <c r="R602" s="4"/>
      <c r="S602" s="4"/>
      <c r="T602" s="4"/>
      <c r="U602" s="4"/>
      <c r="V602" s="4"/>
      <c r="W602" s="4"/>
      <c r="X602" s="4"/>
      <c r="Y602" s="4"/>
      <c r="Z602" s="4"/>
      <c r="AA602" s="21"/>
    </row>
    <row r="603">
      <c r="A603" s="4"/>
      <c r="B603" s="4"/>
      <c r="C603" s="4"/>
      <c r="D603" s="26"/>
      <c r="E603" s="4"/>
      <c r="F603" s="4"/>
      <c r="G603" s="4"/>
      <c r="H603" s="4"/>
      <c r="I603" s="4"/>
      <c r="J603" s="4"/>
      <c r="K603" s="4"/>
      <c r="L603" s="4"/>
      <c r="M603" s="4"/>
      <c r="N603" s="4"/>
      <c r="O603" s="4"/>
      <c r="P603" s="4"/>
      <c r="Q603" s="4"/>
      <c r="R603" s="4"/>
      <c r="S603" s="4"/>
      <c r="T603" s="4"/>
      <c r="U603" s="4"/>
      <c r="V603" s="4"/>
      <c r="W603" s="4"/>
      <c r="X603" s="4"/>
      <c r="Y603" s="4"/>
      <c r="Z603" s="4"/>
      <c r="AA603" s="21"/>
    </row>
    <row r="604">
      <c r="A604" s="4"/>
      <c r="B604" s="4"/>
      <c r="C604" s="4"/>
      <c r="D604" s="26"/>
      <c r="E604" s="4"/>
      <c r="F604" s="4"/>
      <c r="G604" s="4"/>
      <c r="H604" s="4"/>
      <c r="I604" s="4"/>
      <c r="J604" s="4"/>
      <c r="K604" s="4"/>
      <c r="L604" s="4"/>
      <c r="M604" s="4"/>
      <c r="N604" s="4"/>
      <c r="O604" s="4"/>
      <c r="P604" s="4"/>
      <c r="Q604" s="4"/>
      <c r="R604" s="4"/>
      <c r="S604" s="4"/>
      <c r="T604" s="4"/>
      <c r="U604" s="4"/>
      <c r="V604" s="4"/>
      <c r="W604" s="4"/>
      <c r="X604" s="4"/>
      <c r="Y604" s="4"/>
      <c r="Z604" s="4"/>
      <c r="AA604" s="21"/>
    </row>
    <row r="605">
      <c r="A605" s="4"/>
      <c r="B605" s="4"/>
      <c r="C605" s="4"/>
      <c r="D605" s="26"/>
      <c r="E605" s="4"/>
      <c r="F605" s="4"/>
      <c r="G605" s="4"/>
      <c r="H605" s="4"/>
      <c r="I605" s="4"/>
      <c r="J605" s="4"/>
      <c r="K605" s="4"/>
      <c r="L605" s="4"/>
      <c r="M605" s="4"/>
      <c r="N605" s="4"/>
      <c r="O605" s="4"/>
      <c r="P605" s="4"/>
      <c r="Q605" s="4"/>
      <c r="R605" s="4"/>
      <c r="S605" s="4"/>
      <c r="T605" s="4"/>
      <c r="U605" s="4"/>
      <c r="V605" s="4"/>
      <c r="W605" s="4"/>
      <c r="X605" s="4"/>
      <c r="Y605" s="4"/>
      <c r="Z605" s="4"/>
      <c r="AA605" s="21"/>
    </row>
    <row r="606">
      <c r="A606" s="4"/>
      <c r="B606" s="4"/>
      <c r="C606" s="4"/>
      <c r="D606" s="26"/>
      <c r="E606" s="4"/>
      <c r="F606" s="4"/>
      <c r="G606" s="4"/>
      <c r="H606" s="4"/>
      <c r="I606" s="4"/>
      <c r="J606" s="4"/>
      <c r="K606" s="4"/>
      <c r="L606" s="4"/>
      <c r="M606" s="4"/>
      <c r="N606" s="4"/>
      <c r="O606" s="4"/>
      <c r="P606" s="4"/>
      <c r="Q606" s="4"/>
      <c r="R606" s="4"/>
      <c r="S606" s="4"/>
      <c r="T606" s="4"/>
      <c r="U606" s="4"/>
      <c r="V606" s="4"/>
      <c r="W606" s="4"/>
      <c r="X606" s="4"/>
      <c r="Y606" s="4"/>
      <c r="Z606" s="4"/>
      <c r="AA606" s="21"/>
    </row>
    <row r="607">
      <c r="A607" s="4"/>
      <c r="B607" s="4"/>
      <c r="C607" s="4"/>
      <c r="D607" s="26"/>
      <c r="E607" s="4"/>
      <c r="F607" s="4"/>
      <c r="G607" s="4"/>
      <c r="H607" s="4"/>
      <c r="I607" s="4"/>
      <c r="J607" s="4"/>
      <c r="K607" s="4"/>
      <c r="L607" s="4"/>
      <c r="M607" s="4"/>
      <c r="N607" s="4"/>
      <c r="O607" s="4"/>
      <c r="P607" s="4"/>
      <c r="Q607" s="4"/>
      <c r="R607" s="4"/>
      <c r="S607" s="4"/>
      <c r="T607" s="4"/>
      <c r="U607" s="4"/>
      <c r="V607" s="4"/>
      <c r="W607" s="4"/>
      <c r="X607" s="4"/>
      <c r="Y607" s="4"/>
      <c r="Z607" s="4"/>
      <c r="AA607" s="21"/>
    </row>
    <row r="608">
      <c r="A608" s="4"/>
      <c r="B608" s="4"/>
      <c r="C608" s="4"/>
      <c r="D608" s="26"/>
      <c r="E608" s="4"/>
      <c r="F608" s="4"/>
      <c r="G608" s="4"/>
      <c r="H608" s="4"/>
      <c r="I608" s="4"/>
      <c r="J608" s="4"/>
      <c r="K608" s="4"/>
      <c r="L608" s="4"/>
      <c r="M608" s="4"/>
      <c r="N608" s="4"/>
      <c r="O608" s="4"/>
      <c r="P608" s="4"/>
      <c r="Q608" s="4"/>
      <c r="R608" s="4"/>
      <c r="S608" s="4"/>
      <c r="T608" s="4"/>
      <c r="U608" s="4"/>
      <c r="V608" s="4"/>
      <c r="W608" s="4"/>
      <c r="X608" s="4"/>
      <c r="Y608" s="4"/>
      <c r="Z608" s="4"/>
      <c r="AA608" s="21"/>
    </row>
    <row r="609">
      <c r="A609" s="4"/>
      <c r="B609" s="4"/>
      <c r="C609" s="4"/>
      <c r="D609" s="26"/>
      <c r="E609" s="4"/>
      <c r="F609" s="4"/>
      <c r="G609" s="4"/>
      <c r="H609" s="4"/>
      <c r="I609" s="4"/>
      <c r="J609" s="4"/>
      <c r="K609" s="4"/>
      <c r="L609" s="4"/>
      <c r="M609" s="4"/>
      <c r="N609" s="4"/>
      <c r="O609" s="4"/>
      <c r="P609" s="4"/>
      <c r="Q609" s="4"/>
      <c r="R609" s="4"/>
      <c r="S609" s="4"/>
      <c r="T609" s="4"/>
      <c r="U609" s="4"/>
      <c r="V609" s="4"/>
      <c r="W609" s="4"/>
      <c r="X609" s="4"/>
      <c r="Y609" s="4"/>
      <c r="Z609" s="4"/>
      <c r="AA609" s="21"/>
    </row>
    <row r="610">
      <c r="A610" s="4"/>
      <c r="B610" s="4"/>
      <c r="C610" s="4"/>
      <c r="D610" s="26"/>
      <c r="E610" s="4"/>
      <c r="F610" s="4"/>
      <c r="G610" s="4"/>
      <c r="H610" s="4"/>
      <c r="I610" s="4"/>
      <c r="J610" s="4"/>
      <c r="K610" s="4"/>
      <c r="L610" s="4"/>
      <c r="M610" s="4"/>
      <c r="N610" s="4"/>
      <c r="O610" s="4"/>
      <c r="P610" s="4"/>
      <c r="Q610" s="4"/>
      <c r="R610" s="4"/>
      <c r="S610" s="4"/>
      <c r="T610" s="4"/>
      <c r="U610" s="4"/>
      <c r="V610" s="4"/>
      <c r="W610" s="4"/>
      <c r="X610" s="4"/>
      <c r="Y610" s="4"/>
      <c r="Z610" s="4"/>
      <c r="AA610" s="21"/>
    </row>
    <row r="611">
      <c r="A611" s="4"/>
      <c r="B611" s="4"/>
      <c r="C611" s="4"/>
      <c r="D611" s="26"/>
      <c r="E611" s="4"/>
      <c r="F611" s="4"/>
      <c r="G611" s="4"/>
      <c r="H611" s="4"/>
      <c r="I611" s="4"/>
      <c r="J611" s="4"/>
      <c r="K611" s="4"/>
      <c r="L611" s="4"/>
      <c r="M611" s="4"/>
      <c r="N611" s="4"/>
      <c r="O611" s="4"/>
      <c r="P611" s="4"/>
      <c r="Q611" s="4"/>
      <c r="R611" s="4"/>
      <c r="S611" s="4"/>
      <c r="T611" s="4"/>
      <c r="U611" s="4"/>
      <c r="V611" s="4"/>
      <c r="W611" s="4"/>
      <c r="X611" s="4"/>
      <c r="Y611" s="4"/>
      <c r="Z611" s="4"/>
      <c r="AA611" s="21"/>
    </row>
    <row r="612">
      <c r="A612" s="4"/>
      <c r="B612" s="4"/>
      <c r="C612" s="4"/>
      <c r="D612" s="26"/>
      <c r="E612" s="4"/>
      <c r="F612" s="4"/>
      <c r="G612" s="4"/>
      <c r="H612" s="4"/>
      <c r="I612" s="4"/>
      <c r="J612" s="4"/>
      <c r="K612" s="4"/>
      <c r="L612" s="4"/>
      <c r="M612" s="4"/>
      <c r="N612" s="4"/>
      <c r="O612" s="4"/>
      <c r="P612" s="4"/>
      <c r="Q612" s="4"/>
      <c r="R612" s="4"/>
      <c r="S612" s="4"/>
      <c r="T612" s="4"/>
      <c r="U612" s="4"/>
      <c r="V612" s="4"/>
      <c r="W612" s="4"/>
      <c r="X612" s="4"/>
      <c r="Y612" s="4"/>
      <c r="Z612" s="4"/>
      <c r="AA612" s="21"/>
    </row>
    <row r="613">
      <c r="A613" s="4"/>
      <c r="B613" s="4"/>
      <c r="C613" s="4"/>
      <c r="D613" s="26"/>
      <c r="E613" s="4"/>
      <c r="F613" s="4"/>
      <c r="G613" s="4"/>
      <c r="H613" s="4"/>
      <c r="I613" s="4"/>
      <c r="J613" s="4"/>
      <c r="K613" s="4"/>
      <c r="L613" s="4"/>
      <c r="M613" s="4"/>
      <c r="N613" s="4"/>
      <c r="O613" s="4"/>
      <c r="P613" s="4"/>
      <c r="Q613" s="4"/>
      <c r="R613" s="4"/>
      <c r="S613" s="4"/>
      <c r="T613" s="4"/>
      <c r="U613" s="4"/>
      <c r="V613" s="4"/>
      <c r="W613" s="4"/>
      <c r="X613" s="4"/>
      <c r="Y613" s="4"/>
      <c r="Z613" s="4"/>
      <c r="AA613" s="21"/>
    </row>
    <row r="614">
      <c r="A614" s="4"/>
      <c r="B614" s="4"/>
      <c r="C614" s="4"/>
      <c r="D614" s="26"/>
      <c r="E614" s="4"/>
      <c r="F614" s="4"/>
      <c r="G614" s="4"/>
      <c r="H614" s="4"/>
      <c r="I614" s="4"/>
      <c r="J614" s="4"/>
      <c r="K614" s="4"/>
      <c r="L614" s="4"/>
      <c r="M614" s="4"/>
      <c r="N614" s="4"/>
      <c r="O614" s="4"/>
      <c r="P614" s="4"/>
      <c r="Q614" s="4"/>
      <c r="R614" s="4"/>
      <c r="S614" s="4"/>
      <c r="T614" s="4"/>
      <c r="U614" s="4"/>
      <c r="V614" s="4"/>
      <c r="W614" s="4"/>
      <c r="X614" s="4"/>
      <c r="Y614" s="4"/>
      <c r="Z614" s="4"/>
      <c r="AA614" s="21"/>
    </row>
    <row r="615">
      <c r="A615" s="4"/>
      <c r="B615" s="4"/>
      <c r="C615" s="4"/>
      <c r="D615" s="26"/>
      <c r="E615" s="4"/>
      <c r="F615" s="4"/>
      <c r="G615" s="4"/>
      <c r="H615" s="4"/>
      <c r="I615" s="4"/>
      <c r="J615" s="4"/>
      <c r="K615" s="4"/>
      <c r="L615" s="4"/>
      <c r="M615" s="4"/>
      <c r="N615" s="4"/>
      <c r="O615" s="4"/>
      <c r="P615" s="4"/>
      <c r="Q615" s="4"/>
      <c r="R615" s="4"/>
      <c r="S615" s="4"/>
      <c r="T615" s="4"/>
      <c r="U615" s="4"/>
      <c r="V615" s="4"/>
      <c r="W615" s="4"/>
      <c r="X615" s="4"/>
      <c r="Y615" s="4"/>
      <c r="Z615" s="4"/>
      <c r="AA615" s="21"/>
    </row>
    <row r="616">
      <c r="A616" s="4"/>
      <c r="B616" s="4"/>
      <c r="C616" s="4"/>
      <c r="D616" s="26"/>
      <c r="E616" s="4"/>
      <c r="F616" s="4"/>
      <c r="G616" s="4"/>
      <c r="H616" s="4"/>
      <c r="I616" s="4"/>
      <c r="J616" s="4"/>
      <c r="K616" s="4"/>
      <c r="L616" s="4"/>
      <c r="M616" s="4"/>
      <c r="N616" s="4"/>
      <c r="O616" s="4"/>
      <c r="P616" s="4"/>
      <c r="Q616" s="4"/>
      <c r="R616" s="4"/>
      <c r="S616" s="4"/>
      <c r="T616" s="4"/>
      <c r="U616" s="4"/>
      <c r="V616" s="4"/>
      <c r="W616" s="4"/>
      <c r="X616" s="4"/>
      <c r="Y616" s="4"/>
      <c r="Z616" s="4"/>
      <c r="AA616" s="21"/>
    </row>
    <row r="617">
      <c r="A617" s="4"/>
      <c r="B617" s="4"/>
      <c r="C617" s="4"/>
      <c r="D617" s="26"/>
      <c r="E617" s="4"/>
      <c r="F617" s="4"/>
      <c r="G617" s="4"/>
      <c r="H617" s="4"/>
      <c r="I617" s="4"/>
      <c r="J617" s="4"/>
      <c r="K617" s="4"/>
      <c r="L617" s="4"/>
      <c r="M617" s="4"/>
      <c r="N617" s="4"/>
      <c r="O617" s="4"/>
      <c r="P617" s="4"/>
      <c r="Q617" s="4"/>
      <c r="R617" s="4"/>
      <c r="S617" s="4"/>
      <c r="T617" s="4"/>
      <c r="U617" s="4"/>
      <c r="V617" s="4"/>
      <c r="W617" s="4"/>
      <c r="X617" s="4"/>
      <c r="Y617" s="4"/>
      <c r="Z617" s="4"/>
      <c r="AA617" s="21"/>
    </row>
    <row r="618">
      <c r="A618" s="4"/>
      <c r="B618" s="4"/>
      <c r="C618" s="4"/>
      <c r="D618" s="26"/>
      <c r="E618" s="4"/>
      <c r="F618" s="4"/>
      <c r="G618" s="4"/>
      <c r="H618" s="4"/>
      <c r="I618" s="4"/>
      <c r="J618" s="4"/>
      <c r="K618" s="4"/>
      <c r="L618" s="4"/>
      <c r="M618" s="4"/>
      <c r="N618" s="4"/>
      <c r="O618" s="4"/>
      <c r="P618" s="4"/>
      <c r="Q618" s="4"/>
      <c r="R618" s="4"/>
      <c r="S618" s="4"/>
      <c r="T618" s="4"/>
      <c r="U618" s="4"/>
      <c r="V618" s="4"/>
      <c r="W618" s="4"/>
      <c r="X618" s="4"/>
      <c r="Y618" s="4"/>
      <c r="Z618" s="4"/>
      <c r="AA618" s="21"/>
    </row>
    <row r="619">
      <c r="A619" s="4"/>
      <c r="B619" s="4"/>
      <c r="C619" s="4"/>
      <c r="D619" s="26"/>
      <c r="E619" s="4"/>
      <c r="F619" s="4"/>
      <c r="G619" s="4"/>
      <c r="H619" s="4"/>
      <c r="I619" s="4"/>
      <c r="J619" s="4"/>
      <c r="K619" s="4"/>
      <c r="L619" s="4"/>
      <c r="M619" s="4"/>
      <c r="N619" s="4"/>
      <c r="O619" s="4"/>
      <c r="P619" s="4"/>
      <c r="Q619" s="4"/>
      <c r="R619" s="4"/>
      <c r="S619" s="4"/>
      <c r="T619" s="4"/>
      <c r="U619" s="4"/>
      <c r="V619" s="4"/>
      <c r="W619" s="4"/>
      <c r="X619" s="4"/>
      <c r="Y619" s="4"/>
      <c r="Z619" s="4"/>
      <c r="AA619" s="21"/>
    </row>
    <row r="620">
      <c r="A620" s="4"/>
      <c r="B620" s="4"/>
      <c r="C620" s="4"/>
      <c r="D620" s="26"/>
      <c r="E620" s="4"/>
      <c r="F620" s="4"/>
      <c r="G620" s="4"/>
      <c r="H620" s="4"/>
      <c r="I620" s="4"/>
      <c r="J620" s="4"/>
      <c r="K620" s="4"/>
      <c r="L620" s="4"/>
      <c r="M620" s="4"/>
      <c r="N620" s="4"/>
      <c r="O620" s="4"/>
      <c r="P620" s="4"/>
      <c r="Q620" s="4"/>
      <c r="R620" s="4"/>
      <c r="S620" s="4"/>
      <c r="T620" s="4"/>
      <c r="U620" s="4"/>
      <c r="V620" s="4"/>
      <c r="W620" s="4"/>
      <c r="X620" s="4"/>
      <c r="Y620" s="4"/>
      <c r="Z620" s="4"/>
      <c r="AA620" s="21"/>
    </row>
    <row r="621">
      <c r="A621" s="4"/>
      <c r="B621" s="4"/>
      <c r="C621" s="4"/>
      <c r="D621" s="26"/>
      <c r="E621" s="4"/>
      <c r="F621" s="4"/>
      <c r="G621" s="4"/>
      <c r="H621" s="4"/>
      <c r="I621" s="4"/>
      <c r="J621" s="4"/>
      <c r="K621" s="4"/>
      <c r="L621" s="4"/>
      <c r="M621" s="4"/>
      <c r="N621" s="4"/>
      <c r="O621" s="4"/>
      <c r="P621" s="4"/>
      <c r="Q621" s="4"/>
      <c r="R621" s="4"/>
      <c r="S621" s="4"/>
      <c r="T621" s="4"/>
      <c r="U621" s="4"/>
      <c r="V621" s="4"/>
      <c r="W621" s="4"/>
      <c r="X621" s="4"/>
      <c r="Y621" s="4"/>
      <c r="Z621" s="4"/>
      <c r="AA621" s="21"/>
    </row>
    <row r="622">
      <c r="A622" s="4"/>
      <c r="B622" s="4"/>
      <c r="C622" s="4"/>
      <c r="D622" s="26"/>
      <c r="E622" s="4"/>
      <c r="F622" s="4"/>
      <c r="G622" s="4"/>
      <c r="H622" s="4"/>
      <c r="I622" s="4"/>
      <c r="J622" s="4"/>
      <c r="K622" s="4"/>
      <c r="L622" s="4"/>
      <c r="M622" s="4"/>
      <c r="N622" s="4"/>
      <c r="O622" s="4"/>
      <c r="P622" s="4"/>
      <c r="Q622" s="4"/>
      <c r="R622" s="4"/>
      <c r="S622" s="4"/>
      <c r="T622" s="4"/>
      <c r="U622" s="4"/>
      <c r="V622" s="4"/>
      <c r="W622" s="4"/>
      <c r="X622" s="4"/>
      <c r="Y622" s="4"/>
      <c r="Z622" s="4"/>
      <c r="AA622" s="21"/>
    </row>
    <row r="623">
      <c r="A623" s="4"/>
      <c r="B623" s="4"/>
      <c r="C623" s="4"/>
      <c r="D623" s="26"/>
      <c r="E623" s="4"/>
      <c r="F623" s="4"/>
      <c r="G623" s="4"/>
      <c r="H623" s="4"/>
      <c r="I623" s="4"/>
      <c r="J623" s="4"/>
      <c r="K623" s="4"/>
      <c r="L623" s="4"/>
      <c r="M623" s="4"/>
      <c r="N623" s="4"/>
      <c r="O623" s="4"/>
      <c r="P623" s="4"/>
      <c r="Q623" s="4"/>
      <c r="R623" s="4"/>
      <c r="S623" s="4"/>
      <c r="T623" s="4"/>
      <c r="U623" s="4"/>
      <c r="V623" s="4"/>
      <c r="W623" s="4"/>
      <c r="X623" s="4"/>
      <c r="Y623" s="4"/>
      <c r="Z623" s="4"/>
      <c r="AA623" s="21"/>
    </row>
    <row r="624">
      <c r="A624" s="4"/>
      <c r="B624" s="4"/>
      <c r="C624" s="4"/>
      <c r="D624" s="26"/>
      <c r="E624" s="4"/>
      <c r="F624" s="4"/>
      <c r="G624" s="4"/>
      <c r="H624" s="4"/>
      <c r="I624" s="4"/>
      <c r="J624" s="4"/>
      <c r="K624" s="4"/>
      <c r="L624" s="4"/>
      <c r="M624" s="4"/>
      <c r="N624" s="4"/>
      <c r="O624" s="4"/>
      <c r="P624" s="4"/>
      <c r="Q624" s="4"/>
      <c r="R624" s="4"/>
      <c r="S624" s="4"/>
      <c r="T624" s="4"/>
      <c r="U624" s="4"/>
      <c r="V624" s="4"/>
      <c r="W624" s="4"/>
      <c r="X624" s="4"/>
      <c r="Y624" s="4"/>
      <c r="Z624" s="4"/>
      <c r="AA624" s="21"/>
    </row>
    <row r="625">
      <c r="A625" s="4"/>
      <c r="B625" s="4"/>
      <c r="C625" s="4"/>
      <c r="D625" s="26"/>
      <c r="E625" s="4"/>
      <c r="F625" s="4"/>
      <c r="G625" s="4"/>
      <c r="H625" s="4"/>
      <c r="I625" s="4"/>
      <c r="J625" s="4"/>
      <c r="K625" s="4"/>
      <c r="L625" s="4"/>
      <c r="M625" s="4"/>
      <c r="N625" s="4"/>
      <c r="O625" s="4"/>
      <c r="P625" s="4"/>
      <c r="Q625" s="4"/>
      <c r="R625" s="4"/>
      <c r="S625" s="4"/>
      <c r="T625" s="4"/>
      <c r="U625" s="4"/>
      <c r="V625" s="4"/>
      <c r="W625" s="4"/>
      <c r="X625" s="4"/>
      <c r="Y625" s="4"/>
      <c r="Z625" s="4"/>
      <c r="AA625" s="21"/>
    </row>
    <row r="626">
      <c r="A626" s="4"/>
      <c r="B626" s="4"/>
      <c r="C626" s="4"/>
      <c r="D626" s="26"/>
      <c r="E626" s="4"/>
      <c r="F626" s="4"/>
      <c r="G626" s="4"/>
      <c r="H626" s="4"/>
      <c r="I626" s="4"/>
      <c r="J626" s="4"/>
      <c r="K626" s="4"/>
      <c r="L626" s="4"/>
      <c r="M626" s="4"/>
      <c r="N626" s="4"/>
      <c r="O626" s="4"/>
      <c r="P626" s="4"/>
      <c r="Q626" s="4"/>
      <c r="R626" s="4"/>
      <c r="S626" s="4"/>
      <c r="T626" s="4"/>
      <c r="U626" s="4"/>
      <c r="V626" s="4"/>
      <c r="W626" s="4"/>
      <c r="X626" s="4"/>
      <c r="Y626" s="4"/>
      <c r="Z626" s="4"/>
      <c r="AA626" s="21"/>
    </row>
    <row r="627">
      <c r="A627" s="4"/>
      <c r="B627" s="4"/>
      <c r="C627" s="4"/>
      <c r="D627" s="26"/>
      <c r="E627" s="4"/>
      <c r="F627" s="4"/>
      <c r="G627" s="4"/>
      <c r="H627" s="4"/>
      <c r="I627" s="4"/>
      <c r="J627" s="4"/>
      <c r="K627" s="4"/>
      <c r="L627" s="4"/>
      <c r="M627" s="4"/>
      <c r="N627" s="4"/>
      <c r="O627" s="4"/>
      <c r="P627" s="4"/>
      <c r="Q627" s="4"/>
      <c r="R627" s="4"/>
      <c r="S627" s="4"/>
      <c r="T627" s="4"/>
      <c r="U627" s="4"/>
      <c r="V627" s="4"/>
      <c r="W627" s="4"/>
      <c r="X627" s="4"/>
      <c r="Y627" s="4"/>
      <c r="Z627" s="4"/>
      <c r="AA627" s="21"/>
    </row>
    <row r="628">
      <c r="A628" s="4"/>
      <c r="B628" s="4"/>
      <c r="C628" s="4"/>
      <c r="D628" s="26"/>
      <c r="E628" s="4"/>
      <c r="F628" s="4"/>
      <c r="G628" s="4"/>
      <c r="H628" s="4"/>
      <c r="I628" s="4"/>
      <c r="J628" s="4"/>
      <c r="K628" s="4"/>
      <c r="L628" s="4"/>
      <c r="M628" s="4"/>
      <c r="N628" s="4"/>
      <c r="O628" s="4"/>
      <c r="P628" s="4"/>
      <c r="Q628" s="4"/>
      <c r="R628" s="4"/>
      <c r="S628" s="4"/>
      <c r="T628" s="4"/>
      <c r="U628" s="4"/>
      <c r="V628" s="4"/>
      <c r="W628" s="4"/>
      <c r="X628" s="4"/>
      <c r="Y628" s="4"/>
      <c r="Z628" s="4"/>
      <c r="AA628" s="21"/>
    </row>
    <row r="629">
      <c r="A629" s="4"/>
      <c r="B629" s="4"/>
      <c r="C629" s="4"/>
      <c r="D629" s="26"/>
      <c r="E629" s="4"/>
      <c r="F629" s="4"/>
      <c r="G629" s="4"/>
      <c r="H629" s="4"/>
      <c r="I629" s="4"/>
      <c r="J629" s="4"/>
      <c r="K629" s="4"/>
      <c r="L629" s="4"/>
      <c r="M629" s="4"/>
      <c r="N629" s="4"/>
      <c r="O629" s="4"/>
      <c r="P629" s="4"/>
      <c r="Q629" s="4"/>
      <c r="R629" s="4"/>
      <c r="S629" s="4"/>
      <c r="T629" s="4"/>
      <c r="U629" s="4"/>
      <c r="V629" s="4"/>
      <c r="W629" s="4"/>
      <c r="X629" s="4"/>
      <c r="Y629" s="4"/>
      <c r="Z629" s="4"/>
      <c r="AA629" s="21"/>
    </row>
    <row r="630">
      <c r="A630" s="4"/>
      <c r="B630" s="4"/>
      <c r="C630" s="4"/>
      <c r="D630" s="26"/>
      <c r="E630" s="4"/>
      <c r="F630" s="4"/>
      <c r="G630" s="4"/>
      <c r="H630" s="4"/>
      <c r="I630" s="4"/>
      <c r="J630" s="4"/>
      <c r="K630" s="4"/>
      <c r="L630" s="4"/>
      <c r="M630" s="4"/>
      <c r="N630" s="4"/>
      <c r="O630" s="4"/>
      <c r="P630" s="4"/>
      <c r="Q630" s="4"/>
      <c r="R630" s="4"/>
      <c r="S630" s="4"/>
      <c r="T630" s="4"/>
      <c r="U630" s="4"/>
      <c r="V630" s="4"/>
      <c r="W630" s="4"/>
      <c r="X630" s="4"/>
      <c r="Y630" s="4"/>
      <c r="Z630" s="4"/>
      <c r="AA630" s="21"/>
    </row>
    <row r="631">
      <c r="A631" s="4"/>
      <c r="B631" s="4"/>
      <c r="C631" s="4"/>
      <c r="D631" s="26"/>
      <c r="E631" s="4"/>
      <c r="F631" s="4"/>
      <c r="G631" s="4"/>
      <c r="H631" s="4"/>
      <c r="I631" s="4"/>
      <c r="J631" s="4"/>
      <c r="K631" s="4"/>
      <c r="L631" s="4"/>
      <c r="M631" s="4"/>
      <c r="N631" s="4"/>
      <c r="O631" s="4"/>
      <c r="P631" s="4"/>
      <c r="Q631" s="4"/>
      <c r="R631" s="4"/>
      <c r="S631" s="4"/>
      <c r="T631" s="4"/>
      <c r="U631" s="4"/>
      <c r="V631" s="4"/>
      <c r="W631" s="4"/>
      <c r="X631" s="4"/>
      <c r="Y631" s="4"/>
      <c r="Z631" s="4"/>
      <c r="AA631" s="21"/>
    </row>
    <row r="632">
      <c r="A632" s="4"/>
      <c r="B632" s="4"/>
      <c r="C632" s="4"/>
      <c r="D632" s="26"/>
      <c r="E632" s="4"/>
      <c r="F632" s="4"/>
      <c r="G632" s="4"/>
      <c r="H632" s="4"/>
      <c r="I632" s="4"/>
      <c r="J632" s="4"/>
      <c r="K632" s="4"/>
      <c r="L632" s="4"/>
      <c r="M632" s="4"/>
      <c r="N632" s="4"/>
      <c r="O632" s="4"/>
      <c r="P632" s="4"/>
      <c r="Q632" s="4"/>
      <c r="R632" s="4"/>
      <c r="S632" s="4"/>
      <c r="T632" s="4"/>
      <c r="U632" s="4"/>
      <c r="V632" s="4"/>
      <c r="W632" s="4"/>
      <c r="X632" s="4"/>
      <c r="Y632" s="4"/>
      <c r="Z632" s="4"/>
      <c r="AA632" s="21"/>
    </row>
    <row r="633">
      <c r="A633" s="4"/>
      <c r="B633" s="4"/>
      <c r="C633" s="4"/>
      <c r="D633" s="26"/>
      <c r="E633" s="4"/>
      <c r="F633" s="4"/>
      <c r="G633" s="4"/>
      <c r="H633" s="4"/>
      <c r="I633" s="4"/>
      <c r="J633" s="4"/>
      <c r="K633" s="4"/>
      <c r="L633" s="4"/>
      <c r="M633" s="4"/>
      <c r="N633" s="4"/>
      <c r="O633" s="4"/>
      <c r="P633" s="4"/>
      <c r="Q633" s="4"/>
      <c r="R633" s="4"/>
      <c r="S633" s="4"/>
      <c r="T633" s="4"/>
      <c r="U633" s="4"/>
      <c r="V633" s="4"/>
      <c r="W633" s="4"/>
      <c r="X633" s="4"/>
      <c r="Y633" s="4"/>
      <c r="Z633" s="4"/>
      <c r="AA633" s="21"/>
    </row>
    <row r="634">
      <c r="A634" s="4"/>
      <c r="B634" s="4"/>
      <c r="C634" s="4"/>
      <c r="D634" s="26"/>
      <c r="E634" s="4"/>
      <c r="F634" s="4"/>
      <c r="G634" s="4"/>
      <c r="H634" s="4"/>
      <c r="I634" s="4"/>
      <c r="J634" s="4"/>
      <c r="K634" s="4"/>
      <c r="L634" s="4"/>
      <c r="M634" s="4"/>
      <c r="N634" s="4"/>
      <c r="O634" s="4"/>
      <c r="P634" s="4"/>
      <c r="Q634" s="4"/>
      <c r="R634" s="4"/>
      <c r="S634" s="4"/>
      <c r="T634" s="4"/>
      <c r="U634" s="4"/>
      <c r="V634" s="4"/>
      <c r="W634" s="4"/>
      <c r="X634" s="4"/>
      <c r="Y634" s="4"/>
      <c r="Z634" s="4"/>
      <c r="AA634" s="21"/>
    </row>
    <row r="635">
      <c r="A635" s="4"/>
      <c r="B635" s="4"/>
      <c r="C635" s="4"/>
      <c r="D635" s="26"/>
      <c r="E635" s="4"/>
      <c r="F635" s="4"/>
      <c r="G635" s="4"/>
      <c r="H635" s="4"/>
      <c r="I635" s="4"/>
      <c r="J635" s="4"/>
      <c r="K635" s="4"/>
      <c r="L635" s="4"/>
      <c r="M635" s="4"/>
      <c r="N635" s="4"/>
      <c r="O635" s="4"/>
      <c r="P635" s="4"/>
      <c r="Q635" s="4"/>
      <c r="R635" s="4"/>
      <c r="S635" s="4"/>
      <c r="T635" s="4"/>
      <c r="U635" s="4"/>
      <c r="V635" s="4"/>
      <c r="W635" s="4"/>
      <c r="X635" s="4"/>
      <c r="Y635" s="4"/>
      <c r="Z635" s="4"/>
      <c r="AA635" s="21"/>
    </row>
    <row r="636">
      <c r="A636" s="4"/>
      <c r="B636" s="4"/>
      <c r="C636" s="4"/>
      <c r="D636" s="26"/>
      <c r="E636" s="4"/>
      <c r="F636" s="4"/>
      <c r="G636" s="4"/>
      <c r="H636" s="4"/>
      <c r="I636" s="4"/>
      <c r="J636" s="4"/>
      <c r="K636" s="4"/>
      <c r="L636" s="4"/>
      <c r="M636" s="4"/>
      <c r="N636" s="4"/>
      <c r="O636" s="4"/>
      <c r="P636" s="4"/>
      <c r="Q636" s="4"/>
      <c r="R636" s="4"/>
      <c r="S636" s="4"/>
      <c r="T636" s="4"/>
      <c r="U636" s="4"/>
      <c r="V636" s="4"/>
      <c r="W636" s="4"/>
      <c r="X636" s="4"/>
      <c r="Y636" s="4"/>
      <c r="Z636" s="4"/>
      <c r="AA636" s="21"/>
    </row>
    <row r="637">
      <c r="A637" s="4"/>
      <c r="B637" s="4"/>
      <c r="C637" s="4"/>
      <c r="D637" s="26"/>
      <c r="E637" s="4"/>
      <c r="F637" s="4"/>
      <c r="G637" s="4"/>
      <c r="H637" s="4"/>
      <c r="I637" s="4"/>
      <c r="J637" s="4"/>
      <c r="K637" s="4"/>
      <c r="L637" s="4"/>
      <c r="M637" s="4"/>
      <c r="N637" s="4"/>
      <c r="O637" s="4"/>
      <c r="P637" s="4"/>
      <c r="Q637" s="4"/>
      <c r="R637" s="4"/>
      <c r="S637" s="4"/>
      <c r="T637" s="4"/>
      <c r="U637" s="4"/>
      <c r="V637" s="4"/>
      <c r="W637" s="4"/>
      <c r="X637" s="4"/>
      <c r="Y637" s="4"/>
      <c r="Z637" s="4"/>
      <c r="AA637" s="21"/>
    </row>
    <row r="638">
      <c r="A638" s="4"/>
      <c r="B638" s="4"/>
      <c r="C638" s="4"/>
      <c r="D638" s="26"/>
      <c r="E638" s="4"/>
      <c r="F638" s="4"/>
      <c r="G638" s="4"/>
      <c r="H638" s="4"/>
      <c r="I638" s="4"/>
      <c r="J638" s="4"/>
      <c r="K638" s="4"/>
      <c r="L638" s="4"/>
      <c r="M638" s="4"/>
      <c r="N638" s="4"/>
      <c r="O638" s="4"/>
      <c r="P638" s="4"/>
      <c r="Q638" s="4"/>
      <c r="R638" s="4"/>
      <c r="S638" s="4"/>
      <c r="T638" s="4"/>
      <c r="U638" s="4"/>
      <c r="V638" s="4"/>
      <c r="W638" s="4"/>
      <c r="X638" s="4"/>
      <c r="Y638" s="4"/>
      <c r="Z638" s="4"/>
      <c r="AA638" s="21"/>
    </row>
    <row r="639">
      <c r="A639" s="4"/>
      <c r="B639" s="4"/>
      <c r="C639" s="4"/>
      <c r="D639" s="26"/>
      <c r="E639" s="4"/>
      <c r="F639" s="4"/>
      <c r="G639" s="4"/>
      <c r="H639" s="4"/>
      <c r="I639" s="4"/>
      <c r="J639" s="4"/>
      <c r="K639" s="4"/>
      <c r="L639" s="4"/>
      <c r="M639" s="4"/>
      <c r="N639" s="4"/>
      <c r="O639" s="4"/>
      <c r="P639" s="4"/>
      <c r="Q639" s="4"/>
      <c r="R639" s="4"/>
      <c r="S639" s="4"/>
      <c r="T639" s="4"/>
      <c r="U639" s="4"/>
      <c r="V639" s="4"/>
      <c r="W639" s="4"/>
      <c r="X639" s="4"/>
      <c r="Y639" s="4"/>
      <c r="Z639" s="4"/>
      <c r="AA639" s="21"/>
    </row>
    <row r="640">
      <c r="A640" s="4"/>
      <c r="B640" s="4"/>
      <c r="C640" s="4"/>
      <c r="D640" s="26"/>
      <c r="E640" s="4"/>
      <c r="F640" s="4"/>
      <c r="G640" s="4"/>
      <c r="H640" s="4"/>
      <c r="I640" s="4"/>
      <c r="J640" s="4"/>
      <c r="K640" s="4"/>
      <c r="L640" s="4"/>
      <c r="M640" s="4"/>
      <c r="N640" s="4"/>
      <c r="O640" s="4"/>
      <c r="P640" s="4"/>
      <c r="Q640" s="4"/>
      <c r="R640" s="4"/>
      <c r="S640" s="4"/>
      <c r="T640" s="4"/>
      <c r="U640" s="4"/>
      <c r="V640" s="4"/>
      <c r="W640" s="4"/>
      <c r="X640" s="4"/>
      <c r="Y640" s="4"/>
      <c r="Z640" s="4"/>
      <c r="AA640" s="21"/>
    </row>
    <row r="641">
      <c r="A641" s="4"/>
      <c r="B641" s="4"/>
      <c r="C641" s="4"/>
      <c r="D641" s="26"/>
      <c r="E641" s="4"/>
      <c r="F641" s="4"/>
      <c r="G641" s="4"/>
      <c r="H641" s="4"/>
      <c r="I641" s="4"/>
      <c r="J641" s="4"/>
      <c r="K641" s="4"/>
      <c r="L641" s="4"/>
      <c r="M641" s="4"/>
      <c r="N641" s="4"/>
      <c r="O641" s="4"/>
      <c r="P641" s="4"/>
      <c r="Q641" s="4"/>
      <c r="R641" s="4"/>
      <c r="S641" s="4"/>
      <c r="T641" s="4"/>
      <c r="U641" s="4"/>
      <c r="V641" s="4"/>
      <c r="W641" s="4"/>
      <c r="X641" s="4"/>
      <c r="Y641" s="4"/>
      <c r="Z641" s="4"/>
      <c r="AA641" s="21"/>
    </row>
    <row r="642">
      <c r="A642" s="4"/>
      <c r="B642" s="4"/>
      <c r="C642" s="4"/>
      <c r="D642" s="26"/>
      <c r="E642" s="4"/>
      <c r="F642" s="4"/>
      <c r="G642" s="4"/>
      <c r="H642" s="4"/>
      <c r="I642" s="4"/>
      <c r="J642" s="4"/>
      <c r="K642" s="4"/>
      <c r="L642" s="4"/>
      <c r="M642" s="4"/>
      <c r="N642" s="4"/>
      <c r="O642" s="4"/>
      <c r="P642" s="4"/>
      <c r="Q642" s="4"/>
      <c r="R642" s="4"/>
      <c r="S642" s="4"/>
      <c r="T642" s="4"/>
      <c r="U642" s="4"/>
      <c r="V642" s="4"/>
      <c r="W642" s="4"/>
      <c r="X642" s="4"/>
      <c r="Y642" s="4"/>
      <c r="Z642" s="4"/>
      <c r="AA642" s="21"/>
    </row>
    <row r="643">
      <c r="A643" s="4"/>
      <c r="B643" s="4"/>
      <c r="C643" s="4"/>
      <c r="D643" s="26"/>
      <c r="E643" s="4"/>
      <c r="F643" s="4"/>
      <c r="G643" s="4"/>
      <c r="H643" s="4"/>
      <c r="I643" s="4"/>
      <c r="J643" s="4"/>
      <c r="K643" s="4"/>
      <c r="L643" s="4"/>
      <c r="M643" s="4"/>
      <c r="N643" s="4"/>
      <c r="O643" s="4"/>
      <c r="P643" s="4"/>
      <c r="Q643" s="4"/>
      <c r="R643" s="4"/>
      <c r="S643" s="4"/>
      <c r="T643" s="4"/>
      <c r="U643" s="4"/>
      <c r="V643" s="4"/>
      <c r="W643" s="4"/>
      <c r="X643" s="4"/>
      <c r="Y643" s="4"/>
      <c r="Z643" s="4"/>
      <c r="AA643" s="21"/>
    </row>
    <row r="644">
      <c r="A644" s="4"/>
      <c r="B644" s="4"/>
      <c r="C644" s="4"/>
      <c r="D644" s="26"/>
      <c r="E644" s="4"/>
      <c r="F644" s="4"/>
      <c r="G644" s="4"/>
      <c r="H644" s="4"/>
      <c r="I644" s="4"/>
      <c r="J644" s="4"/>
      <c r="K644" s="4"/>
      <c r="L644" s="4"/>
      <c r="M644" s="4"/>
      <c r="N644" s="4"/>
      <c r="O644" s="4"/>
      <c r="P644" s="4"/>
      <c r="Q644" s="4"/>
      <c r="R644" s="4"/>
      <c r="S644" s="4"/>
      <c r="T644" s="4"/>
      <c r="U644" s="4"/>
      <c r="V644" s="4"/>
      <c r="W644" s="4"/>
      <c r="X644" s="4"/>
      <c r="Y644" s="4"/>
      <c r="Z644" s="4"/>
      <c r="AA644" s="21"/>
    </row>
    <row r="645">
      <c r="A645" s="4"/>
      <c r="B645" s="4"/>
      <c r="C645" s="4"/>
      <c r="D645" s="26"/>
      <c r="E645" s="4"/>
      <c r="F645" s="4"/>
      <c r="G645" s="4"/>
      <c r="H645" s="4"/>
      <c r="I645" s="4"/>
      <c r="J645" s="4"/>
      <c r="K645" s="4"/>
      <c r="L645" s="4"/>
      <c r="M645" s="4"/>
      <c r="N645" s="4"/>
      <c r="O645" s="4"/>
      <c r="P645" s="4"/>
      <c r="Q645" s="4"/>
      <c r="R645" s="4"/>
      <c r="S645" s="4"/>
      <c r="T645" s="4"/>
      <c r="U645" s="4"/>
      <c r="V645" s="4"/>
      <c r="W645" s="4"/>
      <c r="X645" s="4"/>
      <c r="Y645" s="4"/>
      <c r="Z645" s="4"/>
      <c r="AA645" s="21"/>
    </row>
    <row r="646">
      <c r="A646" s="4"/>
      <c r="B646" s="4"/>
      <c r="C646" s="4"/>
      <c r="D646" s="26"/>
      <c r="E646" s="4"/>
      <c r="F646" s="4"/>
      <c r="G646" s="4"/>
      <c r="H646" s="4"/>
      <c r="I646" s="4"/>
      <c r="J646" s="4"/>
      <c r="K646" s="4"/>
      <c r="L646" s="4"/>
      <c r="M646" s="4"/>
      <c r="N646" s="4"/>
      <c r="O646" s="4"/>
      <c r="P646" s="4"/>
      <c r="Q646" s="4"/>
      <c r="R646" s="4"/>
      <c r="S646" s="4"/>
      <c r="T646" s="4"/>
      <c r="U646" s="4"/>
      <c r="V646" s="4"/>
      <c r="W646" s="4"/>
      <c r="X646" s="4"/>
      <c r="Y646" s="4"/>
      <c r="Z646" s="4"/>
      <c r="AA646" s="21"/>
    </row>
    <row r="647">
      <c r="A647" s="4"/>
      <c r="B647" s="4"/>
      <c r="C647" s="4"/>
      <c r="D647" s="26"/>
      <c r="E647" s="4"/>
      <c r="F647" s="4"/>
      <c r="G647" s="4"/>
      <c r="H647" s="4"/>
      <c r="I647" s="4"/>
      <c r="J647" s="4"/>
      <c r="K647" s="4"/>
      <c r="L647" s="4"/>
      <c r="M647" s="4"/>
      <c r="N647" s="4"/>
      <c r="O647" s="4"/>
      <c r="P647" s="4"/>
      <c r="Q647" s="4"/>
      <c r="R647" s="4"/>
      <c r="S647" s="4"/>
      <c r="T647" s="4"/>
      <c r="U647" s="4"/>
      <c r="V647" s="4"/>
      <c r="W647" s="4"/>
      <c r="X647" s="4"/>
      <c r="Y647" s="4"/>
      <c r="Z647" s="4"/>
      <c r="AA647" s="21"/>
    </row>
    <row r="648">
      <c r="A648" s="4"/>
      <c r="B648" s="4"/>
      <c r="C648" s="4"/>
      <c r="D648" s="26"/>
      <c r="E648" s="4"/>
      <c r="F648" s="4"/>
      <c r="G648" s="4"/>
      <c r="H648" s="4"/>
      <c r="I648" s="4"/>
      <c r="J648" s="4"/>
      <c r="K648" s="4"/>
      <c r="L648" s="4"/>
      <c r="M648" s="4"/>
      <c r="N648" s="4"/>
      <c r="O648" s="4"/>
      <c r="P648" s="4"/>
      <c r="Q648" s="4"/>
      <c r="R648" s="4"/>
      <c r="S648" s="4"/>
      <c r="T648" s="4"/>
      <c r="U648" s="4"/>
      <c r="V648" s="4"/>
      <c r="W648" s="4"/>
      <c r="X648" s="4"/>
      <c r="Y648" s="4"/>
      <c r="Z648" s="4"/>
      <c r="AA648" s="21"/>
    </row>
    <row r="649">
      <c r="A649" s="4"/>
      <c r="B649" s="4"/>
      <c r="C649" s="4"/>
      <c r="D649" s="26"/>
      <c r="E649" s="4"/>
      <c r="F649" s="4"/>
      <c r="G649" s="4"/>
      <c r="H649" s="4"/>
      <c r="I649" s="4"/>
      <c r="J649" s="4"/>
      <c r="K649" s="4"/>
      <c r="L649" s="4"/>
      <c r="M649" s="4"/>
      <c r="N649" s="4"/>
      <c r="O649" s="4"/>
      <c r="P649" s="4"/>
      <c r="Q649" s="4"/>
      <c r="R649" s="4"/>
      <c r="S649" s="4"/>
      <c r="T649" s="4"/>
      <c r="U649" s="4"/>
      <c r="V649" s="4"/>
      <c r="W649" s="4"/>
      <c r="X649" s="4"/>
      <c r="Y649" s="4"/>
      <c r="Z649" s="4"/>
      <c r="AA649" s="21"/>
    </row>
    <row r="650">
      <c r="A650" s="4"/>
      <c r="B650" s="4"/>
      <c r="C650" s="4"/>
      <c r="D650" s="26"/>
      <c r="E650" s="4"/>
      <c r="F650" s="4"/>
      <c r="G650" s="4"/>
      <c r="H650" s="4"/>
      <c r="I650" s="4"/>
      <c r="J650" s="4"/>
      <c r="K650" s="4"/>
      <c r="L650" s="4"/>
      <c r="M650" s="4"/>
      <c r="N650" s="4"/>
      <c r="O650" s="4"/>
      <c r="P650" s="4"/>
      <c r="Q650" s="4"/>
      <c r="R650" s="4"/>
      <c r="S650" s="4"/>
      <c r="T650" s="4"/>
      <c r="U650" s="4"/>
      <c r="V650" s="4"/>
      <c r="W650" s="4"/>
      <c r="X650" s="4"/>
      <c r="Y650" s="4"/>
      <c r="Z650" s="4"/>
      <c r="AA650" s="21"/>
    </row>
    <row r="651">
      <c r="A651" s="4"/>
      <c r="B651" s="4"/>
      <c r="C651" s="4"/>
      <c r="D651" s="26"/>
      <c r="E651" s="4"/>
      <c r="F651" s="4"/>
      <c r="G651" s="4"/>
      <c r="H651" s="4"/>
      <c r="I651" s="4"/>
      <c r="J651" s="4"/>
      <c r="K651" s="4"/>
      <c r="L651" s="4"/>
      <c r="M651" s="4"/>
      <c r="N651" s="4"/>
      <c r="O651" s="4"/>
      <c r="P651" s="4"/>
      <c r="Q651" s="4"/>
      <c r="R651" s="4"/>
      <c r="S651" s="4"/>
      <c r="T651" s="4"/>
      <c r="U651" s="4"/>
      <c r="V651" s="4"/>
      <c r="W651" s="4"/>
      <c r="X651" s="4"/>
      <c r="Y651" s="4"/>
      <c r="Z651" s="4"/>
      <c r="AA651" s="21"/>
    </row>
    <row r="652">
      <c r="A652" s="4"/>
      <c r="B652" s="4"/>
      <c r="C652" s="4"/>
      <c r="D652" s="26"/>
      <c r="E652" s="4"/>
      <c r="F652" s="4"/>
      <c r="G652" s="4"/>
      <c r="H652" s="4"/>
      <c r="I652" s="4"/>
      <c r="J652" s="4"/>
      <c r="K652" s="4"/>
      <c r="L652" s="4"/>
      <c r="M652" s="4"/>
      <c r="N652" s="4"/>
      <c r="O652" s="4"/>
      <c r="P652" s="4"/>
      <c r="Q652" s="4"/>
      <c r="R652" s="4"/>
      <c r="S652" s="4"/>
      <c r="T652" s="4"/>
      <c r="U652" s="4"/>
      <c r="V652" s="4"/>
      <c r="W652" s="4"/>
      <c r="X652" s="4"/>
      <c r="Y652" s="4"/>
      <c r="Z652" s="4"/>
      <c r="AA652" s="21"/>
    </row>
    <row r="653">
      <c r="A653" s="4"/>
      <c r="B653" s="4"/>
      <c r="C653" s="4"/>
      <c r="D653" s="26"/>
      <c r="E653" s="4"/>
      <c r="F653" s="4"/>
      <c r="G653" s="4"/>
      <c r="H653" s="4"/>
      <c r="I653" s="4"/>
      <c r="J653" s="4"/>
      <c r="K653" s="4"/>
      <c r="L653" s="4"/>
      <c r="M653" s="4"/>
      <c r="N653" s="4"/>
      <c r="O653" s="4"/>
      <c r="P653" s="4"/>
      <c r="Q653" s="4"/>
      <c r="R653" s="4"/>
      <c r="S653" s="4"/>
      <c r="T653" s="4"/>
      <c r="U653" s="4"/>
      <c r="V653" s="4"/>
      <c r="W653" s="4"/>
      <c r="X653" s="4"/>
      <c r="Y653" s="4"/>
      <c r="Z653" s="4"/>
      <c r="AA653" s="21"/>
    </row>
    <row r="654">
      <c r="A654" s="4"/>
      <c r="B654" s="4"/>
      <c r="C654" s="4"/>
      <c r="D654" s="26"/>
      <c r="E654" s="4"/>
      <c r="F654" s="4"/>
      <c r="G654" s="4"/>
      <c r="H654" s="4"/>
      <c r="I654" s="4"/>
      <c r="J654" s="4"/>
      <c r="K654" s="4"/>
      <c r="L654" s="4"/>
      <c r="M654" s="4"/>
      <c r="N654" s="4"/>
      <c r="O654" s="4"/>
      <c r="P654" s="4"/>
      <c r="Q654" s="4"/>
      <c r="R654" s="4"/>
      <c r="S654" s="4"/>
      <c r="T654" s="4"/>
      <c r="U654" s="4"/>
      <c r="V654" s="4"/>
      <c r="W654" s="4"/>
      <c r="X654" s="4"/>
      <c r="Y654" s="4"/>
      <c r="Z654" s="4"/>
      <c r="AA654" s="21"/>
    </row>
    <row r="655">
      <c r="A655" s="4"/>
      <c r="B655" s="4"/>
      <c r="C655" s="4"/>
      <c r="D655" s="26"/>
      <c r="E655" s="4"/>
      <c r="F655" s="4"/>
      <c r="G655" s="4"/>
      <c r="H655" s="4"/>
      <c r="I655" s="4"/>
      <c r="J655" s="4"/>
      <c r="K655" s="4"/>
      <c r="L655" s="4"/>
      <c r="M655" s="4"/>
      <c r="N655" s="4"/>
      <c r="O655" s="4"/>
      <c r="P655" s="4"/>
      <c r="Q655" s="4"/>
      <c r="R655" s="4"/>
      <c r="S655" s="4"/>
      <c r="T655" s="4"/>
      <c r="U655" s="4"/>
      <c r="V655" s="4"/>
      <c r="W655" s="4"/>
      <c r="X655" s="4"/>
      <c r="Y655" s="4"/>
      <c r="Z655" s="4"/>
      <c r="AA655" s="21"/>
    </row>
    <row r="656">
      <c r="A656" s="4"/>
      <c r="B656" s="4"/>
      <c r="C656" s="4"/>
      <c r="D656" s="26"/>
      <c r="E656" s="4"/>
      <c r="F656" s="4"/>
      <c r="G656" s="4"/>
      <c r="H656" s="4"/>
      <c r="I656" s="4"/>
      <c r="J656" s="4"/>
      <c r="K656" s="4"/>
      <c r="L656" s="4"/>
      <c r="M656" s="4"/>
      <c r="N656" s="4"/>
      <c r="O656" s="4"/>
      <c r="P656" s="4"/>
      <c r="Q656" s="4"/>
      <c r="R656" s="4"/>
      <c r="S656" s="4"/>
      <c r="T656" s="4"/>
      <c r="U656" s="4"/>
      <c r="V656" s="4"/>
      <c r="W656" s="4"/>
      <c r="X656" s="4"/>
      <c r="Y656" s="4"/>
      <c r="Z656" s="4"/>
      <c r="AA656" s="21"/>
    </row>
    <row r="657">
      <c r="A657" s="4"/>
      <c r="B657" s="4"/>
      <c r="C657" s="4"/>
      <c r="D657" s="26"/>
      <c r="E657" s="4"/>
      <c r="F657" s="4"/>
      <c r="G657" s="4"/>
      <c r="H657" s="4"/>
      <c r="I657" s="4"/>
      <c r="J657" s="4"/>
      <c r="K657" s="4"/>
      <c r="L657" s="4"/>
      <c r="M657" s="4"/>
      <c r="N657" s="4"/>
      <c r="O657" s="4"/>
      <c r="P657" s="4"/>
      <c r="Q657" s="4"/>
      <c r="R657" s="4"/>
      <c r="S657" s="4"/>
      <c r="T657" s="4"/>
      <c r="U657" s="4"/>
      <c r="V657" s="4"/>
      <c r="W657" s="4"/>
      <c r="X657" s="4"/>
      <c r="Y657" s="4"/>
      <c r="Z657" s="4"/>
      <c r="AA657" s="21"/>
    </row>
    <row r="658">
      <c r="A658" s="4"/>
      <c r="B658" s="4"/>
      <c r="C658" s="4"/>
      <c r="D658" s="26"/>
      <c r="E658" s="4"/>
      <c r="F658" s="4"/>
      <c r="G658" s="4"/>
      <c r="H658" s="4"/>
      <c r="I658" s="4"/>
      <c r="J658" s="4"/>
      <c r="K658" s="4"/>
      <c r="L658" s="4"/>
      <c r="M658" s="4"/>
      <c r="N658" s="4"/>
      <c r="O658" s="4"/>
      <c r="P658" s="4"/>
      <c r="Q658" s="4"/>
      <c r="R658" s="4"/>
      <c r="S658" s="4"/>
      <c r="T658" s="4"/>
      <c r="U658" s="4"/>
      <c r="V658" s="4"/>
      <c r="W658" s="4"/>
      <c r="X658" s="4"/>
      <c r="Y658" s="4"/>
      <c r="Z658" s="4"/>
      <c r="AA658" s="21"/>
    </row>
    <row r="659">
      <c r="A659" s="4"/>
      <c r="B659" s="4"/>
      <c r="C659" s="4"/>
      <c r="D659" s="26"/>
      <c r="E659" s="4"/>
      <c r="F659" s="4"/>
      <c r="G659" s="4"/>
      <c r="H659" s="4"/>
      <c r="I659" s="4"/>
      <c r="J659" s="4"/>
      <c r="K659" s="4"/>
      <c r="L659" s="4"/>
      <c r="M659" s="4"/>
      <c r="N659" s="4"/>
      <c r="O659" s="4"/>
      <c r="P659" s="4"/>
      <c r="Q659" s="4"/>
      <c r="R659" s="4"/>
      <c r="S659" s="4"/>
      <c r="T659" s="4"/>
      <c r="U659" s="4"/>
      <c r="V659" s="4"/>
      <c r="W659" s="4"/>
      <c r="X659" s="4"/>
      <c r="Y659" s="4"/>
      <c r="Z659" s="4"/>
      <c r="AA659" s="21"/>
    </row>
    <row r="660">
      <c r="A660" s="4"/>
      <c r="B660" s="4"/>
      <c r="C660" s="4"/>
      <c r="D660" s="26"/>
      <c r="E660" s="4"/>
      <c r="F660" s="4"/>
      <c r="G660" s="4"/>
      <c r="H660" s="4"/>
      <c r="I660" s="4"/>
      <c r="J660" s="4"/>
      <c r="K660" s="4"/>
      <c r="L660" s="4"/>
      <c r="M660" s="4"/>
      <c r="N660" s="4"/>
      <c r="O660" s="4"/>
      <c r="P660" s="4"/>
      <c r="Q660" s="4"/>
      <c r="R660" s="4"/>
      <c r="S660" s="4"/>
      <c r="T660" s="4"/>
      <c r="U660" s="4"/>
      <c r="V660" s="4"/>
      <c r="W660" s="4"/>
      <c r="X660" s="4"/>
      <c r="Y660" s="4"/>
      <c r="Z660" s="4"/>
      <c r="AA660" s="21"/>
    </row>
    <row r="661">
      <c r="A661" s="4"/>
      <c r="B661" s="4"/>
      <c r="C661" s="4"/>
      <c r="D661" s="26"/>
      <c r="E661" s="4"/>
      <c r="F661" s="4"/>
      <c r="G661" s="4"/>
      <c r="H661" s="4"/>
      <c r="I661" s="4"/>
      <c r="J661" s="4"/>
      <c r="K661" s="4"/>
      <c r="L661" s="4"/>
      <c r="M661" s="4"/>
      <c r="N661" s="4"/>
      <c r="O661" s="4"/>
      <c r="P661" s="4"/>
      <c r="Q661" s="4"/>
      <c r="R661" s="4"/>
      <c r="S661" s="4"/>
      <c r="T661" s="4"/>
      <c r="U661" s="4"/>
      <c r="V661" s="4"/>
      <c r="W661" s="4"/>
      <c r="X661" s="4"/>
      <c r="Y661" s="4"/>
      <c r="Z661" s="4"/>
      <c r="AA661" s="21"/>
    </row>
    <row r="662">
      <c r="A662" s="4"/>
      <c r="B662" s="4"/>
      <c r="C662" s="4"/>
      <c r="D662" s="26"/>
      <c r="E662" s="4"/>
      <c r="F662" s="4"/>
      <c r="G662" s="4"/>
      <c r="H662" s="4"/>
      <c r="I662" s="4"/>
      <c r="J662" s="4"/>
      <c r="K662" s="4"/>
      <c r="L662" s="4"/>
      <c r="M662" s="4"/>
      <c r="N662" s="4"/>
      <c r="O662" s="4"/>
      <c r="P662" s="4"/>
      <c r="Q662" s="4"/>
      <c r="R662" s="4"/>
      <c r="S662" s="4"/>
      <c r="T662" s="4"/>
      <c r="U662" s="4"/>
      <c r="V662" s="4"/>
      <c r="W662" s="4"/>
      <c r="X662" s="4"/>
      <c r="Y662" s="4"/>
      <c r="Z662" s="4"/>
      <c r="AA662" s="21"/>
    </row>
    <row r="663">
      <c r="A663" s="4"/>
      <c r="B663" s="4"/>
      <c r="C663" s="4"/>
      <c r="D663" s="26"/>
      <c r="E663" s="4"/>
      <c r="F663" s="4"/>
      <c r="G663" s="4"/>
      <c r="H663" s="4"/>
      <c r="I663" s="4"/>
      <c r="J663" s="4"/>
      <c r="K663" s="4"/>
      <c r="L663" s="4"/>
      <c r="M663" s="4"/>
      <c r="N663" s="4"/>
      <c r="O663" s="4"/>
      <c r="P663" s="4"/>
      <c r="Q663" s="4"/>
      <c r="R663" s="4"/>
      <c r="S663" s="4"/>
      <c r="T663" s="4"/>
      <c r="U663" s="4"/>
      <c r="V663" s="4"/>
      <c r="W663" s="4"/>
      <c r="X663" s="4"/>
      <c r="Y663" s="4"/>
      <c r="Z663" s="4"/>
      <c r="AA663" s="21"/>
    </row>
    <row r="664">
      <c r="A664" s="4"/>
      <c r="B664" s="4"/>
      <c r="C664" s="4"/>
      <c r="D664" s="26"/>
      <c r="E664" s="4"/>
      <c r="F664" s="4"/>
      <c r="G664" s="4"/>
      <c r="H664" s="4"/>
      <c r="I664" s="4"/>
      <c r="J664" s="4"/>
      <c r="K664" s="4"/>
      <c r="L664" s="4"/>
      <c r="M664" s="4"/>
      <c r="N664" s="4"/>
      <c r="O664" s="4"/>
      <c r="P664" s="4"/>
      <c r="Q664" s="4"/>
      <c r="R664" s="4"/>
      <c r="S664" s="4"/>
      <c r="T664" s="4"/>
      <c r="U664" s="4"/>
      <c r="V664" s="4"/>
      <c r="W664" s="4"/>
      <c r="X664" s="4"/>
      <c r="Y664" s="4"/>
      <c r="Z664" s="4"/>
      <c r="AA664" s="21"/>
    </row>
    <row r="665">
      <c r="A665" s="4"/>
      <c r="B665" s="4"/>
      <c r="C665" s="4"/>
      <c r="D665" s="26"/>
      <c r="E665" s="4"/>
      <c r="F665" s="4"/>
      <c r="G665" s="4"/>
      <c r="H665" s="4"/>
      <c r="I665" s="4"/>
      <c r="J665" s="4"/>
      <c r="K665" s="4"/>
      <c r="L665" s="4"/>
      <c r="M665" s="4"/>
      <c r="N665" s="4"/>
      <c r="O665" s="4"/>
      <c r="P665" s="4"/>
      <c r="Q665" s="4"/>
      <c r="R665" s="4"/>
      <c r="S665" s="4"/>
      <c r="T665" s="4"/>
      <c r="U665" s="4"/>
      <c r="V665" s="4"/>
      <c r="W665" s="4"/>
      <c r="X665" s="4"/>
      <c r="Y665" s="4"/>
      <c r="Z665" s="4"/>
      <c r="AA665" s="21"/>
    </row>
    <row r="666">
      <c r="A666" s="4"/>
      <c r="B666" s="4"/>
      <c r="C666" s="4"/>
      <c r="D666" s="26"/>
      <c r="E666" s="4"/>
      <c r="F666" s="4"/>
      <c r="G666" s="4"/>
      <c r="H666" s="4"/>
      <c r="I666" s="4"/>
      <c r="J666" s="4"/>
      <c r="K666" s="4"/>
      <c r="L666" s="4"/>
      <c r="M666" s="4"/>
      <c r="N666" s="4"/>
      <c r="O666" s="4"/>
      <c r="P666" s="4"/>
      <c r="Q666" s="4"/>
      <c r="R666" s="4"/>
      <c r="S666" s="4"/>
      <c r="T666" s="4"/>
      <c r="U666" s="4"/>
      <c r="V666" s="4"/>
      <c r="W666" s="4"/>
      <c r="X666" s="4"/>
      <c r="Y666" s="4"/>
      <c r="Z666" s="4"/>
      <c r="AA666" s="21"/>
    </row>
    <row r="667">
      <c r="A667" s="4"/>
      <c r="B667" s="4"/>
      <c r="C667" s="4"/>
      <c r="D667" s="26"/>
      <c r="E667" s="4"/>
      <c r="F667" s="4"/>
      <c r="G667" s="4"/>
      <c r="H667" s="4"/>
      <c r="I667" s="4"/>
      <c r="J667" s="4"/>
      <c r="K667" s="4"/>
      <c r="L667" s="4"/>
      <c r="M667" s="4"/>
      <c r="N667" s="4"/>
      <c r="O667" s="4"/>
      <c r="P667" s="4"/>
      <c r="Q667" s="4"/>
      <c r="R667" s="4"/>
      <c r="S667" s="4"/>
      <c r="T667" s="4"/>
      <c r="U667" s="4"/>
      <c r="V667" s="4"/>
      <c r="W667" s="4"/>
      <c r="X667" s="4"/>
      <c r="Y667" s="4"/>
      <c r="Z667" s="4"/>
      <c r="AA667" s="21"/>
    </row>
    <row r="668">
      <c r="A668" s="4"/>
      <c r="B668" s="4"/>
      <c r="C668" s="4"/>
      <c r="D668" s="26"/>
      <c r="E668" s="4"/>
      <c r="F668" s="4"/>
      <c r="G668" s="4"/>
      <c r="H668" s="4"/>
      <c r="I668" s="4"/>
      <c r="J668" s="4"/>
      <c r="K668" s="4"/>
      <c r="L668" s="4"/>
      <c r="M668" s="4"/>
      <c r="N668" s="4"/>
      <c r="O668" s="4"/>
      <c r="P668" s="4"/>
      <c r="Q668" s="4"/>
      <c r="R668" s="4"/>
      <c r="S668" s="4"/>
      <c r="T668" s="4"/>
      <c r="U668" s="4"/>
      <c r="V668" s="4"/>
      <c r="W668" s="4"/>
      <c r="X668" s="4"/>
      <c r="Y668" s="4"/>
      <c r="Z668" s="4"/>
      <c r="AA668" s="21"/>
    </row>
    <row r="669">
      <c r="A669" s="4"/>
      <c r="B669" s="4"/>
      <c r="C669" s="4"/>
      <c r="D669" s="26"/>
      <c r="E669" s="4"/>
      <c r="F669" s="4"/>
      <c r="G669" s="4"/>
      <c r="H669" s="4"/>
      <c r="I669" s="4"/>
      <c r="J669" s="4"/>
      <c r="K669" s="4"/>
      <c r="L669" s="4"/>
      <c r="M669" s="4"/>
      <c r="N669" s="4"/>
      <c r="O669" s="4"/>
      <c r="P669" s="4"/>
      <c r="Q669" s="4"/>
      <c r="R669" s="4"/>
      <c r="S669" s="4"/>
      <c r="T669" s="4"/>
      <c r="U669" s="4"/>
      <c r="V669" s="4"/>
      <c r="W669" s="4"/>
      <c r="X669" s="4"/>
      <c r="Y669" s="4"/>
      <c r="Z669" s="4"/>
      <c r="AA669" s="21"/>
    </row>
    <row r="670">
      <c r="A670" s="4"/>
      <c r="B670" s="4"/>
      <c r="C670" s="4"/>
      <c r="D670" s="26"/>
      <c r="E670" s="4"/>
      <c r="F670" s="4"/>
      <c r="G670" s="4"/>
      <c r="H670" s="4"/>
      <c r="I670" s="4"/>
      <c r="J670" s="4"/>
      <c r="K670" s="4"/>
      <c r="L670" s="4"/>
      <c r="M670" s="4"/>
      <c r="N670" s="4"/>
      <c r="O670" s="4"/>
      <c r="P670" s="4"/>
      <c r="Q670" s="4"/>
      <c r="R670" s="4"/>
      <c r="S670" s="4"/>
      <c r="T670" s="4"/>
      <c r="U670" s="4"/>
      <c r="V670" s="4"/>
      <c r="W670" s="4"/>
      <c r="X670" s="4"/>
      <c r="Y670" s="4"/>
      <c r="Z670" s="4"/>
      <c r="AA670" s="21"/>
    </row>
    <row r="671">
      <c r="A671" s="4"/>
      <c r="B671" s="4"/>
      <c r="C671" s="4"/>
      <c r="D671" s="26"/>
      <c r="E671" s="4"/>
      <c r="F671" s="4"/>
      <c r="G671" s="4"/>
      <c r="H671" s="4"/>
      <c r="I671" s="4"/>
      <c r="J671" s="4"/>
      <c r="K671" s="4"/>
      <c r="L671" s="4"/>
      <c r="M671" s="4"/>
      <c r="N671" s="4"/>
      <c r="O671" s="4"/>
      <c r="P671" s="4"/>
      <c r="Q671" s="4"/>
      <c r="R671" s="4"/>
      <c r="S671" s="4"/>
      <c r="T671" s="4"/>
      <c r="U671" s="4"/>
      <c r="V671" s="4"/>
      <c r="W671" s="4"/>
      <c r="X671" s="4"/>
      <c r="Y671" s="4"/>
      <c r="Z671" s="4"/>
      <c r="AA671" s="21"/>
    </row>
    <row r="672">
      <c r="A672" s="4"/>
      <c r="B672" s="4"/>
      <c r="C672" s="4"/>
      <c r="D672" s="26"/>
      <c r="E672" s="4"/>
      <c r="F672" s="4"/>
      <c r="G672" s="4"/>
      <c r="H672" s="4"/>
      <c r="I672" s="4"/>
      <c r="J672" s="4"/>
      <c r="K672" s="4"/>
      <c r="L672" s="4"/>
      <c r="M672" s="4"/>
      <c r="N672" s="4"/>
      <c r="O672" s="4"/>
      <c r="P672" s="4"/>
      <c r="Q672" s="4"/>
      <c r="R672" s="4"/>
      <c r="S672" s="4"/>
      <c r="T672" s="4"/>
      <c r="U672" s="4"/>
      <c r="V672" s="4"/>
      <c r="W672" s="4"/>
      <c r="X672" s="4"/>
      <c r="Y672" s="4"/>
      <c r="Z672" s="4"/>
      <c r="AA672" s="21"/>
    </row>
    <row r="673">
      <c r="A673" s="4"/>
      <c r="B673" s="4"/>
      <c r="C673" s="4"/>
      <c r="D673" s="26"/>
      <c r="E673" s="4"/>
      <c r="F673" s="4"/>
      <c r="G673" s="4"/>
      <c r="H673" s="4"/>
      <c r="I673" s="4"/>
      <c r="J673" s="4"/>
      <c r="K673" s="4"/>
      <c r="L673" s="4"/>
      <c r="M673" s="4"/>
      <c r="N673" s="4"/>
      <c r="O673" s="4"/>
      <c r="P673" s="4"/>
      <c r="Q673" s="4"/>
      <c r="R673" s="4"/>
      <c r="S673" s="4"/>
      <c r="T673" s="4"/>
      <c r="U673" s="4"/>
      <c r="V673" s="4"/>
      <c r="W673" s="4"/>
      <c r="X673" s="4"/>
      <c r="Y673" s="4"/>
      <c r="Z673" s="4"/>
      <c r="AA673" s="21"/>
    </row>
    <row r="674">
      <c r="A674" s="4"/>
      <c r="B674" s="4"/>
      <c r="C674" s="4"/>
      <c r="D674" s="26"/>
      <c r="E674" s="4"/>
      <c r="F674" s="4"/>
      <c r="G674" s="4"/>
      <c r="H674" s="4"/>
      <c r="I674" s="4"/>
      <c r="J674" s="4"/>
      <c r="K674" s="4"/>
      <c r="L674" s="4"/>
      <c r="M674" s="4"/>
      <c r="N674" s="4"/>
      <c r="O674" s="4"/>
      <c r="P674" s="4"/>
      <c r="Q674" s="4"/>
      <c r="R674" s="4"/>
      <c r="S674" s="4"/>
      <c r="T674" s="4"/>
      <c r="U674" s="4"/>
      <c r="V674" s="4"/>
      <c r="W674" s="4"/>
      <c r="X674" s="4"/>
      <c r="Y674" s="4"/>
      <c r="Z674" s="4"/>
      <c r="AA674" s="21"/>
    </row>
    <row r="675">
      <c r="A675" s="4"/>
      <c r="B675" s="4"/>
      <c r="C675" s="4"/>
      <c r="D675" s="26"/>
      <c r="E675" s="4"/>
      <c r="F675" s="4"/>
      <c r="G675" s="4"/>
      <c r="H675" s="4"/>
      <c r="I675" s="4"/>
      <c r="J675" s="4"/>
      <c r="K675" s="4"/>
      <c r="L675" s="4"/>
      <c r="M675" s="4"/>
      <c r="N675" s="4"/>
      <c r="O675" s="4"/>
      <c r="P675" s="4"/>
      <c r="Q675" s="4"/>
      <c r="R675" s="4"/>
      <c r="S675" s="4"/>
      <c r="T675" s="4"/>
      <c r="U675" s="4"/>
      <c r="V675" s="4"/>
      <c r="W675" s="4"/>
      <c r="X675" s="4"/>
      <c r="Y675" s="4"/>
      <c r="Z675" s="4"/>
      <c r="AA675" s="21"/>
    </row>
    <row r="676">
      <c r="A676" s="4"/>
      <c r="B676" s="4"/>
      <c r="C676" s="4"/>
      <c r="D676" s="26"/>
      <c r="E676" s="4"/>
      <c r="F676" s="4"/>
      <c r="G676" s="4"/>
      <c r="H676" s="4"/>
      <c r="I676" s="4"/>
      <c r="J676" s="4"/>
      <c r="K676" s="4"/>
      <c r="L676" s="4"/>
      <c r="M676" s="4"/>
      <c r="N676" s="4"/>
      <c r="O676" s="4"/>
      <c r="P676" s="4"/>
      <c r="Q676" s="4"/>
      <c r="R676" s="4"/>
      <c r="S676" s="4"/>
      <c r="T676" s="4"/>
      <c r="U676" s="4"/>
      <c r="V676" s="4"/>
      <c r="W676" s="4"/>
      <c r="X676" s="4"/>
      <c r="Y676" s="4"/>
      <c r="Z676" s="4"/>
      <c r="AA676" s="21"/>
    </row>
    <row r="677">
      <c r="A677" s="4"/>
      <c r="B677" s="4"/>
      <c r="C677" s="4"/>
      <c r="D677" s="26"/>
      <c r="E677" s="4"/>
      <c r="F677" s="4"/>
      <c r="G677" s="4"/>
      <c r="H677" s="4"/>
      <c r="I677" s="4"/>
      <c r="J677" s="4"/>
      <c r="K677" s="4"/>
      <c r="L677" s="4"/>
      <c r="M677" s="4"/>
      <c r="N677" s="4"/>
      <c r="O677" s="4"/>
      <c r="P677" s="4"/>
      <c r="Q677" s="4"/>
      <c r="R677" s="4"/>
      <c r="S677" s="4"/>
      <c r="T677" s="4"/>
      <c r="U677" s="4"/>
      <c r="V677" s="4"/>
      <c r="W677" s="4"/>
      <c r="X677" s="4"/>
      <c r="Y677" s="4"/>
      <c r="Z677" s="4"/>
      <c r="AA677" s="21"/>
    </row>
    <row r="678">
      <c r="A678" s="4"/>
      <c r="B678" s="4"/>
      <c r="C678" s="4"/>
      <c r="D678" s="26"/>
      <c r="E678" s="4"/>
      <c r="F678" s="4"/>
      <c r="G678" s="4"/>
      <c r="H678" s="4"/>
      <c r="I678" s="4"/>
      <c r="J678" s="4"/>
      <c r="K678" s="4"/>
      <c r="L678" s="4"/>
      <c r="M678" s="4"/>
      <c r="N678" s="4"/>
      <c r="O678" s="4"/>
      <c r="P678" s="4"/>
      <c r="Q678" s="4"/>
      <c r="R678" s="4"/>
      <c r="S678" s="4"/>
      <c r="T678" s="4"/>
      <c r="U678" s="4"/>
      <c r="V678" s="4"/>
      <c r="W678" s="4"/>
      <c r="X678" s="4"/>
      <c r="Y678" s="4"/>
      <c r="Z678" s="4"/>
      <c r="AA678" s="21"/>
    </row>
    <row r="679">
      <c r="A679" s="4"/>
      <c r="B679" s="4"/>
      <c r="C679" s="4"/>
      <c r="D679" s="26"/>
      <c r="E679" s="4"/>
      <c r="F679" s="4"/>
      <c r="G679" s="4"/>
      <c r="H679" s="4"/>
      <c r="I679" s="4"/>
      <c r="J679" s="4"/>
      <c r="K679" s="4"/>
      <c r="L679" s="4"/>
      <c r="M679" s="4"/>
      <c r="N679" s="4"/>
      <c r="O679" s="4"/>
      <c r="P679" s="4"/>
      <c r="Q679" s="4"/>
      <c r="R679" s="4"/>
      <c r="S679" s="4"/>
      <c r="T679" s="4"/>
      <c r="U679" s="4"/>
      <c r="V679" s="4"/>
      <c r="W679" s="4"/>
      <c r="X679" s="4"/>
      <c r="Y679" s="4"/>
      <c r="Z679" s="4"/>
      <c r="AA679" s="21"/>
    </row>
    <row r="680">
      <c r="A680" s="4"/>
      <c r="B680" s="4"/>
      <c r="C680" s="4"/>
      <c r="D680" s="26"/>
      <c r="E680" s="4"/>
      <c r="F680" s="4"/>
      <c r="G680" s="4"/>
      <c r="H680" s="4"/>
      <c r="I680" s="4"/>
      <c r="J680" s="4"/>
      <c r="K680" s="4"/>
      <c r="L680" s="4"/>
      <c r="M680" s="4"/>
      <c r="N680" s="4"/>
      <c r="O680" s="4"/>
      <c r="P680" s="4"/>
      <c r="Q680" s="4"/>
      <c r="R680" s="4"/>
      <c r="S680" s="4"/>
      <c r="T680" s="4"/>
      <c r="U680" s="4"/>
      <c r="V680" s="4"/>
      <c r="W680" s="4"/>
      <c r="X680" s="4"/>
      <c r="Y680" s="4"/>
      <c r="Z680" s="4"/>
      <c r="AA680" s="21"/>
    </row>
    <row r="681">
      <c r="A681" s="4"/>
      <c r="B681" s="4"/>
      <c r="C681" s="4"/>
      <c r="D681" s="26"/>
      <c r="E681" s="4"/>
      <c r="F681" s="4"/>
      <c r="G681" s="4"/>
      <c r="H681" s="4"/>
      <c r="I681" s="4"/>
      <c r="J681" s="4"/>
      <c r="K681" s="4"/>
      <c r="L681" s="4"/>
      <c r="M681" s="4"/>
      <c r="N681" s="4"/>
      <c r="O681" s="4"/>
      <c r="P681" s="4"/>
      <c r="Q681" s="4"/>
      <c r="R681" s="4"/>
      <c r="S681" s="4"/>
      <c r="T681" s="4"/>
      <c r="U681" s="4"/>
      <c r="V681" s="4"/>
      <c r="W681" s="4"/>
      <c r="X681" s="4"/>
      <c r="Y681" s="4"/>
      <c r="Z681" s="4"/>
      <c r="AA681" s="21"/>
    </row>
    <row r="682">
      <c r="A682" s="4"/>
      <c r="B682" s="4"/>
      <c r="C682" s="4"/>
      <c r="D682" s="26"/>
      <c r="E682" s="4"/>
      <c r="F682" s="4"/>
      <c r="G682" s="4"/>
      <c r="H682" s="4"/>
      <c r="I682" s="4"/>
      <c r="J682" s="4"/>
      <c r="K682" s="4"/>
      <c r="L682" s="4"/>
      <c r="M682" s="4"/>
      <c r="N682" s="4"/>
      <c r="O682" s="4"/>
      <c r="P682" s="4"/>
      <c r="Q682" s="4"/>
      <c r="R682" s="4"/>
      <c r="S682" s="4"/>
      <c r="T682" s="4"/>
      <c r="U682" s="4"/>
      <c r="V682" s="4"/>
      <c r="W682" s="4"/>
      <c r="X682" s="4"/>
      <c r="Y682" s="4"/>
      <c r="Z682" s="4"/>
      <c r="AA682" s="21"/>
    </row>
    <row r="683">
      <c r="A683" s="4"/>
      <c r="B683" s="4"/>
      <c r="C683" s="4"/>
      <c r="D683" s="26"/>
      <c r="E683" s="4"/>
      <c r="F683" s="4"/>
      <c r="G683" s="4"/>
      <c r="H683" s="4"/>
      <c r="I683" s="4"/>
      <c r="J683" s="4"/>
      <c r="K683" s="4"/>
      <c r="L683" s="4"/>
      <c r="M683" s="4"/>
      <c r="N683" s="4"/>
      <c r="O683" s="4"/>
      <c r="P683" s="4"/>
      <c r="Q683" s="4"/>
      <c r="R683" s="4"/>
      <c r="S683" s="4"/>
      <c r="T683" s="4"/>
      <c r="U683" s="4"/>
      <c r="V683" s="4"/>
      <c r="W683" s="4"/>
      <c r="X683" s="4"/>
      <c r="Y683" s="4"/>
      <c r="Z683" s="4"/>
      <c r="AA683" s="21"/>
    </row>
    <row r="684">
      <c r="A684" s="4"/>
      <c r="B684" s="4"/>
      <c r="C684" s="4"/>
      <c r="D684" s="26"/>
      <c r="E684" s="4"/>
      <c r="F684" s="4"/>
      <c r="G684" s="4"/>
      <c r="H684" s="4"/>
      <c r="I684" s="4"/>
      <c r="J684" s="4"/>
      <c r="K684" s="4"/>
      <c r="L684" s="4"/>
      <c r="M684" s="4"/>
      <c r="N684" s="4"/>
      <c r="O684" s="4"/>
      <c r="P684" s="4"/>
      <c r="Q684" s="4"/>
      <c r="R684" s="4"/>
      <c r="S684" s="4"/>
      <c r="T684" s="4"/>
      <c r="U684" s="4"/>
      <c r="V684" s="4"/>
      <c r="W684" s="4"/>
      <c r="X684" s="4"/>
      <c r="Y684" s="4"/>
      <c r="Z684" s="4"/>
      <c r="AA684" s="21"/>
    </row>
    <row r="685">
      <c r="A685" s="4"/>
      <c r="B685" s="4"/>
      <c r="C685" s="4"/>
      <c r="D685" s="26"/>
      <c r="E685" s="4"/>
      <c r="F685" s="4"/>
      <c r="G685" s="4"/>
      <c r="H685" s="4"/>
      <c r="I685" s="4"/>
      <c r="J685" s="4"/>
      <c r="K685" s="4"/>
      <c r="L685" s="4"/>
      <c r="M685" s="4"/>
      <c r="N685" s="4"/>
      <c r="O685" s="4"/>
      <c r="P685" s="4"/>
      <c r="Q685" s="4"/>
      <c r="R685" s="4"/>
      <c r="S685" s="4"/>
      <c r="T685" s="4"/>
      <c r="U685" s="4"/>
      <c r="V685" s="4"/>
      <c r="W685" s="4"/>
      <c r="X685" s="4"/>
      <c r="Y685" s="4"/>
      <c r="Z685" s="4"/>
      <c r="AA685" s="21"/>
    </row>
    <row r="686">
      <c r="A686" s="4"/>
      <c r="B686" s="4"/>
      <c r="C686" s="4"/>
      <c r="D686" s="26"/>
      <c r="E686" s="4"/>
      <c r="F686" s="4"/>
      <c r="G686" s="4"/>
      <c r="H686" s="4"/>
      <c r="I686" s="4"/>
      <c r="J686" s="4"/>
      <c r="K686" s="4"/>
      <c r="L686" s="4"/>
      <c r="M686" s="4"/>
      <c r="N686" s="4"/>
      <c r="O686" s="4"/>
      <c r="P686" s="4"/>
      <c r="Q686" s="4"/>
      <c r="R686" s="4"/>
      <c r="S686" s="4"/>
      <c r="T686" s="4"/>
      <c r="U686" s="4"/>
      <c r="V686" s="4"/>
      <c r="W686" s="4"/>
      <c r="X686" s="4"/>
      <c r="Y686" s="4"/>
      <c r="Z686" s="4"/>
      <c r="AA686" s="21"/>
    </row>
    <row r="687">
      <c r="A687" s="4"/>
      <c r="B687" s="4"/>
      <c r="C687" s="4"/>
      <c r="D687" s="26"/>
      <c r="E687" s="4"/>
      <c r="F687" s="4"/>
      <c r="G687" s="4"/>
      <c r="H687" s="4"/>
      <c r="I687" s="4"/>
      <c r="J687" s="4"/>
      <c r="K687" s="4"/>
      <c r="L687" s="4"/>
      <c r="M687" s="4"/>
      <c r="N687" s="4"/>
      <c r="O687" s="4"/>
      <c r="P687" s="4"/>
      <c r="Q687" s="4"/>
      <c r="R687" s="4"/>
      <c r="S687" s="4"/>
      <c r="T687" s="4"/>
      <c r="U687" s="4"/>
      <c r="V687" s="4"/>
      <c r="W687" s="4"/>
      <c r="X687" s="4"/>
      <c r="Y687" s="4"/>
      <c r="Z687" s="4"/>
      <c r="AA687" s="21"/>
    </row>
    <row r="688">
      <c r="A688" s="4"/>
      <c r="B688" s="4"/>
      <c r="C688" s="4"/>
      <c r="D688" s="26"/>
      <c r="E688" s="4"/>
      <c r="F688" s="4"/>
      <c r="G688" s="4"/>
      <c r="H688" s="4"/>
      <c r="I688" s="4"/>
      <c r="J688" s="4"/>
      <c r="K688" s="4"/>
      <c r="L688" s="4"/>
      <c r="M688" s="4"/>
      <c r="N688" s="4"/>
      <c r="O688" s="4"/>
      <c r="P688" s="4"/>
      <c r="Q688" s="4"/>
      <c r="R688" s="4"/>
      <c r="S688" s="4"/>
      <c r="T688" s="4"/>
      <c r="U688" s="4"/>
      <c r="V688" s="4"/>
      <c r="W688" s="4"/>
      <c r="X688" s="4"/>
      <c r="Y688" s="4"/>
      <c r="Z688" s="4"/>
      <c r="AA688" s="21"/>
    </row>
    <row r="689">
      <c r="A689" s="4"/>
      <c r="B689" s="4"/>
      <c r="C689" s="4"/>
      <c r="D689" s="26"/>
      <c r="E689" s="4"/>
      <c r="F689" s="4"/>
      <c r="G689" s="4"/>
      <c r="H689" s="4"/>
      <c r="I689" s="4"/>
      <c r="J689" s="4"/>
      <c r="K689" s="4"/>
      <c r="L689" s="4"/>
      <c r="M689" s="4"/>
      <c r="N689" s="4"/>
      <c r="O689" s="4"/>
      <c r="P689" s="4"/>
      <c r="Q689" s="4"/>
      <c r="R689" s="4"/>
      <c r="S689" s="4"/>
      <c r="T689" s="4"/>
      <c r="U689" s="4"/>
      <c r="V689" s="4"/>
      <c r="W689" s="4"/>
      <c r="X689" s="4"/>
      <c r="Y689" s="4"/>
      <c r="Z689" s="4"/>
      <c r="AA689" s="21"/>
    </row>
    <row r="690">
      <c r="A690" s="4"/>
      <c r="B690" s="4"/>
      <c r="C690" s="4"/>
      <c r="D690" s="26"/>
      <c r="E690" s="4"/>
      <c r="F690" s="4"/>
      <c r="G690" s="4"/>
      <c r="H690" s="4"/>
      <c r="I690" s="4"/>
      <c r="J690" s="4"/>
      <c r="K690" s="4"/>
      <c r="L690" s="4"/>
      <c r="M690" s="4"/>
      <c r="N690" s="4"/>
      <c r="O690" s="4"/>
      <c r="P690" s="4"/>
      <c r="Q690" s="4"/>
      <c r="R690" s="4"/>
      <c r="S690" s="4"/>
      <c r="T690" s="4"/>
      <c r="U690" s="4"/>
      <c r="V690" s="4"/>
      <c r="W690" s="4"/>
      <c r="X690" s="4"/>
      <c r="Y690" s="4"/>
      <c r="Z690" s="4"/>
      <c r="AA690" s="21"/>
    </row>
    <row r="691">
      <c r="A691" s="4"/>
      <c r="B691" s="4"/>
      <c r="C691" s="4"/>
      <c r="D691" s="26"/>
      <c r="E691" s="4"/>
      <c r="F691" s="4"/>
      <c r="G691" s="4"/>
      <c r="H691" s="4"/>
      <c r="I691" s="4"/>
      <c r="J691" s="4"/>
      <c r="K691" s="4"/>
      <c r="L691" s="4"/>
      <c r="M691" s="4"/>
      <c r="N691" s="4"/>
      <c r="O691" s="4"/>
      <c r="P691" s="4"/>
      <c r="Q691" s="4"/>
      <c r="R691" s="4"/>
      <c r="S691" s="4"/>
      <c r="T691" s="4"/>
      <c r="U691" s="4"/>
      <c r="V691" s="4"/>
      <c r="W691" s="4"/>
      <c r="X691" s="4"/>
      <c r="Y691" s="4"/>
      <c r="Z691" s="4"/>
      <c r="AA691" s="21"/>
    </row>
    <row r="692">
      <c r="A692" s="4"/>
      <c r="B692" s="4"/>
      <c r="C692" s="4"/>
      <c r="D692" s="26"/>
      <c r="E692" s="4"/>
      <c r="F692" s="4"/>
      <c r="G692" s="4"/>
      <c r="H692" s="4"/>
      <c r="I692" s="4"/>
      <c r="J692" s="4"/>
      <c r="K692" s="4"/>
      <c r="L692" s="4"/>
      <c r="M692" s="4"/>
      <c r="N692" s="4"/>
      <c r="O692" s="4"/>
      <c r="P692" s="4"/>
      <c r="Q692" s="4"/>
      <c r="R692" s="4"/>
      <c r="S692" s="4"/>
      <c r="T692" s="4"/>
      <c r="U692" s="4"/>
      <c r="V692" s="4"/>
      <c r="W692" s="4"/>
      <c r="X692" s="4"/>
      <c r="Y692" s="4"/>
      <c r="Z692" s="4"/>
      <c r="AA692" s="21"/>
    </row>
    <row r="693">
      <c r="A693" s="4"/>
      <c r="B693" s="4"/>
      <c r="C693" s="4"/>
      <c r="D693" s="26"/>
      <c r="E693" s="4"/>
      <c r="F693" s="4"/>
      <c r="G693" s="4"/>
      <c r="H693" s="4"/>
      <c r="I693" s="4"/>
      <c r="J693" s="4"/>
      <c r="K693" s="4"/>
      <c r="L693" s="4"/>
      <c r="M693" s="4"/>
      <c r="N693" s="4"/>
      <c r="O693" s="4"/>
      <c r="P693" s="4"/>
      <c r="Q693" s="4"/>
      <c r="R693" s="4"/>
      <c r="S693" s="4"/>
      <c r="T693" s="4"/>
      <c r="U693" s="4"/>
      <c r="V693" s="4"/>
      <c r="W693" s="4"/>
      <c r="X693" s="4"/>
      <c r="Y693" s="4"/>
      <c r="Z693" s="4"/>
      <c r="AA693" s="21"/>
    </row>
    <row r="694">
      <c r="A694" s="4"/>
      <c r="B694" s="4"/>
      <c r="C694" s="4"/>
      <c r="D694" s="26"/>
      <c r="E694" s="4"/>
      <c r="F694" s="4"/>
      <c r="G694" s="4"/>
      <c r="H694" s="4"/>
      <c r="I694" s="4"/>
      <c r="J694" s="4"/>
      <c r="K694" s="4"/>
      <c r="L694" s="4"/>
      <c r="M694" s="4"/>
      <c r="N694" s="4"/>
      <c r="O694" s="4"/>
      <c r="P694" s="4"/>
      <c r="Q694" s="4"/>
      <c r="R694" s="4"/>
      <c r="S694" s="4"/>
      <c r="T694" s="4"/>
      <c r="U694" s="4"/>
      <c r="V694" s="4"/>
      <c r="W694" s="4"/>
      <c r="X694" s="4"/>
      <c r="Y694" s="4"/>
      <c r="Z694" s="4"/>
      <c r="AA694" s="21"/>
    </row>
    <row r="695">
      <c r="A695" s="4"/>
      <c r="B695" s="4"/>
      <c r="C695" s="4"/>
      <c r="D695" s="26"/>
      <c r="E695" s="4"/>
      <c r="F695" s="4"/>
      <c r="G695" s="4"/>
      <c r="H695" s="4"/>
      <c r="I695" s="4"/>
      <c r="J695" s="4"/>
      <c r="K695" s="4"/>
      <c r="L695" s="4"/>
      <c r="M695" s="4"/>
      <c r="N695" s="4"/>
      <c r="O695" s="4"/>
      <c r="P695" s="4"/>
      <c r="Q695" s="4"/>
      <c r="R695" s="4"/>
      <c r="S695" s="4"/>
      <c r="T695" s="4"/>
      <c r="U695" s="4"/>
      <c r="V695" s="4"/>
      <c r="W695" s="4"/>
      <c r="X695" s="4"/>
      <c r="Y695" s="4"/>
      <c r="Z695" s="4"/>
      <c r="AA695" s="21"/>
    </row>
    <row r="696">
      <c r="A696" s="4"/>
      <c r="B696" s="4"/>
      <c r="C696" s="4"/>
      <c r="D696" s="26"/>
      <c r="E696" s="4"/>
      <c r="F696" s="4"/>
      <c r="G696" s="4"/>
      <c r="H696" s="4"/>
      <c r="I696" s="4"/>
      <c r="J696" s="4"/>
      <c r="K696" s="4"/>
      <c r="L696" s="4"/>
      <c r="M696" s="4"/>
      <c r="N696" s="4"/>
      <c r="O696" s="4"/>
      <c r="P696" s="4"/>
      <c r="Q696" s="4"/>
      <c r="R696" s="4"/>
      <c r="S696" s="4"/>
      <c r="T696" s="4"/>
      <c r="U696" s="4"/>
      <c r="V696" s="4"/>
      <c r="W696" s="4"/>
      <c r="X696" s="4"/>
      <c r="Y696" s="4"/>
      <c r="Z696" s="4"/>
      <c r="AA696" s="21"/>
    </row>
    <row r="697">
      <c r="A697" s="4"/>
      <c r="B697" s="4"/>
      <c r="C697" s="4"/>
      <c r="D697" s="26"/>
      <c r="E697" s="4"/>
      <c r="F697" s="4"/>
      <c r="G697" s="4"/>
      <c r="H697" s="4"/>
      <c r="I697" s="4"/>
      <c r="J697" s="4"/>
      <c r="K697" s="4"/>
      <c r="L697" s="4"/>
      <c r="M697" s="4"/>
      <c r="N697" s="4"/>
      <c r="O697" s="4"/>
      <c r="P697" s="4"/>
      <c r="Q697" s="4"/>
      <c r="R697" s="4"/>
      <c r="S697" s="4"/>
      <c r="T697" s="4"/>
      <c r="U697" s="4"/>
      <c r="V697" s="4"/>
      <c r="W697" s="4"/>
      <c r="X697" s="4"/>
      <c r="Y697" s="4"/>
      <c r="Z697" s="4"/>
      <c r="AA697" s="21"/>
    </row>
    <row r="698">
      <c r="A698" s="4"/>
      <c r="B698" s="4"/>
      <c r="C698" s="4"/>
      <c r="D698" s="26"/>
      <c r="E698" s="4"/>
      <c r="F698" s="4"/>
      <c r="G698" s="4"/>
      <c r="H698" s="4"/>
      <c r="I698" s="4"/>
      <c r="J698" s="4"/>
      <c r="K698" s="4"/>
      <c r="L698" s="4"/>
      <c r="M698" s="4"/>
      <c r="N698" s="4"/>
      <c r="O698" s="4"/>
      <c r="P698" s="4"/>
      <c r="Q698" s="4"/>
      <c r="R698" s="4"/>
      <c r="S698" s="4"/>
      <c r="T698" s="4"/>
      <c r="U698" s="4"/>
      <c r="V698" s="4"/>
      <c r="W698" s="4"/>
      <c r="X698" s="4"/>
      <c r="Y698" s="4"/>
      <c r="Z698" s="4"/>
      <c r="AA698" s="21"/>
    </row>
    <row r="699">
      <c r="A699" s="4"/>
      <c r="B699" s="4"/>
      <c r="C699" s="4"/>
      <c r="D699" s="26"/>
      <c r="E699" s="4"/>
      <c r="F699" s="4"/>
      <c r="G699" s="4"/>
      <c r="H699" s="4"/>
      <c r="I699" s="4"/>
      <c r="J699" s="4"/>
      <c r="K699" s="4"/>
      <c r="L699" s="4"/>
      <c r="M699" s="4"/>
      <c r="N699" s="4"/>
      <c r="O699" s="4"/>
      <c r="P699" s="4"/>
      <c r="Q699" s="4"/>
      <c r="R699" s="4"/>
      <c r="S699" s="4"/>
      <c r="T699" s="4"/>
      <c r="U699" s="4"/>
      <c r="V699" s="4"/>
      <c r="W699" s="4"/>
      <c r="X699" s="4"/>
      <c r="Y699" s="4"/>
      <c r="Z699" s="4"/>
      <c r="AA699" s="21"/>
    </row>
    <row r="700">
      <c r="A700" s="4"/>
      <c r="B700" s="4"/>
      <c r="C700" s="4"/>
      <c r="D700" s="26"/>
      <c r="E700" s="4"/>
      <c r="F700" s="4"/>
      <c r="G700" s="4"/>
      <c r="H700" s="4"/>
      <c r="I700" s="4"/>
      <c r="J700" s="4"/>
      <c r="K700" s="4"/>
      <c r="L700" s="4"/>
      <c r="M700" s="4"/>
      <c r="N700" s="4"/>
      <c r="O700" s="4"/>
      <c r="P700" s="4"/>
      <c r="Q700" s="4"/>
      <c r="R700" s="4"/>
      <c r="S700" s="4"/>
      <c r="T700" s="4"/>
      <c r="U700" s="4"/>
      <c r="V700" s="4"/>
      <c r="W700" s="4"/>
      <c r="X700" s="4"/>
      <c r="Y700" s="4"/>
      <c r="Z700" s="4"/>
      <c r="AA700" s="21"/>
    </row>
    <row r="701">
      <c r="A701" s="4"/>
      <c r="B701" s="4"/>
      <c r="C701" s="4"/>
      <c r="D701" s="26"/>
      <c r="E701" s="4"/>
      <c r="F701" s="4"/>
      <c r="G701" s="4"/>
      <c r="H701" s="4"/>
      <c r="I701" s="4"/>
      <c r="J701" s="4"/>
      <c r="K701" s="4"/>
      <c r="L701" s="4"/>
      <c r="M701" s="4"/>
      <c r="N701" s="4"/>
      <c r="O701" s="4"/>
      <c r="P701" s="4"/>
      <c r="Q701" s="4"/>
      <c r="R701" s="4"/>
      <c r="S701" s="4"/>
      <c r="T701" s="4"/>
      <c r="U701" s="4"/>
      <c r="V701" s="4"/>
      <c r="W701" s="4"/>
      <c r="X701" s="4"/>
      <c r="Y701" s="4"/>
      <c r="Z701" s="4"/>
      <c r="AA701" s="21"/>
    </row>
    <row r="702">
      <c r="A702" s="4"/>
      <c r="B702" s="4"/>
      <c r="C702" s="4"/>
      <c r="D702" s="26"/>
      <c r="E702" s="4"/>
      <c r="F702" s="4"/>
      <c r="G702" s="4"/>
      <c r="H702" s="4"/>
      <c r="I702" s="4"/>
      <c r="J702" s="4"/>
      <c r="K702" s="4"/>
      <c r="L702" s="4"/>
      <c r="M702" s="4"/>
      <c r="N702" s="4"/>
      <c r="O702" s="4"/>
      <c r="P702" s="4"/>
      <c r="Q702" s="4"/>
      <c r="R702" s="4"/>
      <c r="S702" s="4"/>
      <c r="T702" s="4"/>
      <c r="U702" s="4"/>
      <c r="V702" s="4"/>
      <c r="W702" s="4"/>
      <c r="X702" s="4"/>
      <c r="Y702" s="4"/>
      <c r="Z702" s="4"/>
      <c r="AA702" s="21"/>
    </row>
    <row r="703">
      <c r="A703" s="4"/>
      <c r="B703" s="4"/>
      <c r="C703" s="4"/>
      <c r="D703" s="26"/>
      <c r="E703" s="4"/>
      <c r="F703" s="4"/>
      <c r="G703" s="4"/>
      <c r="H703" s="4"/>
      <c r="I703" s="4"/>
      <c r="J703" s="4"/>
      <c r="K703" s="4"/>
      <c r="L703" s="4"/>
      <c r="M703" s="4"/>
      <c r="N703" s="4"/>
      <c r="O703" s="4"/>
      <c r="P703" s="4"/>
      <c r="Q703" s="4"/>
      <c r="R703" s="4"/>
      <c r="S703" s="4"/>
      <c r="T703" s="4"/>
      <c r="U703" s="4"/>
      <c r="V703" s="4"/>
      <c r="W703" s="4"/>
      <c r="X703" s="4"/>
      <c r="Y703" s="4"/>
      <c r="Z703" s="4"/>
      <c r="AA703" s="21"/>
    </row>
    <row r="704">
      <c r="A704" s="4"/>
      <c r="B704" s="4"/>
      <c r="C704" s="4"/>
      <c r="D704" s="26"/>
      <c r="E704" s="4"/>
      <c r="F704" s="4"/>
      <c r="G704" s="4"/>
      <c r="H704" s="4"/>
      <c r="I704" s="4"/>
      <c r="J704" s="4"/>
      <c r="K704" s="4"/>
      <c r="L704" s="4"/>
      <c r="M704" s="4"/>
      <c r="N704" s="4"/>
      <c r="O704" s="4"/>
      <c r="P704" s="4"/>
      <c r="Q704" s="4"/>
      <c r="R704" s="4"/>
      <c r="S704" s="4"/>
      <c r="T704" s="4"/>
      <c r="U704" s="4"/>
      <c r="V704" s="4"/>
      <c r="W704" s="4"/>
      <c r="X704" s="4"/>
      <c r="Y704" s="4"/>
      <c r="Z704" s="4"/>
      <c r="AA704" s="21"/>
    </row>
    <row r="705">
      <c r="A705" s="4"/>
      <c r="B705" s="4"/>
      <c r="C705" s="4"/>
      <c r="D705" s="26"/>
      <c r="E705" s="4"/>
      <c r="F705" s="4"/>
      <c r="G705" s="4"/>
      <c r="H705" s="4"/>
      <c r="I705" s="4"/>
      <c r="J705" s="4"/>
      <c r="K705" s="4"/>
      <c r="L705" s="4"/>
      <c r="M705" s="4"/>
      <c r="N705" s="4"/>
      <c r="O705" s="4"/>
      <c r="P705" s="4"/>
      <c r="Q705" s="4"/>
      <c r="R705" s="4"/>
      <c r="S705" s="4"/>
      <c r="T705" s="4"/>
      <c r="U705" s="4"/>
      <c r="V705" s="4"/>
      <c r="W705" s="4"/>
      <c r="X705" s="4"/>
      <c r="Y705" s="4"/>
      <c r="Z705" s="4"/>
      <c r="AA705" s="21"/>
    </row>
    <row r="706">
      <c r="A706" s="4"/>
      <c r="B706" s="4"/>
      <c r="C706" s="4"/>
      <c r="D706" s="26"/>
      <c r="E706" s="4"/>
      <c r="F706" s="4"/>
      <c r="G706" s="4"/>
      <c r="H706" s="4"/>
      <c r="I706" s="4"/>
      <c r="J706" s="4"/>
      <c r="K706" s="4"/>
      <c r="L706" s="4"/>
      <c r="M706" s="4"/>
      <c r="N706" s="4"/>
      <c r="O706" s="4"/>
      <c r="P706" s="4"/>
      <c r="Q706" s="4"/>
      <c r="R706" s="4"/>
      <c r="S706" s="4"/>
      <c r="T706" s="4"/>
      <c r="U706" s="4"/>
      <c r="V706" s="4"/>
      <c r="W706" s="4"/>
      <c r="X706" s="4"/>
      <c r="Y706" s="4"/>
      <c r="Z706" s="4"/>
      <c r="AA706" s="21"/>
    </row>
    <row r="707">
      <c r="A707" s="4"/>
      <c r="B707" s="4"/>
      <c r="C707" s="4"/>
      <c r="D707" s="26"/>
      <c r="E707" s="4"/>
      <c r="F707" s="4"/>
      <c r="G707" s="4"/>
      <c r="H707" s="4"/>
      <c r="I707" s="4"/>
      <c r="J707" s="4"/>
      <c r="K707" s="4"/>
      <c r="L707" s="4"/>
      <c r="M707" s="4"/>
      <c r="N707" s="4"/>
      <c r="O707" s="4"/>
      <c r="P707" s="4"/>
      <c r="Q707" s="4"/>
      <c r="R707" s="4"/>
      <c r="S707" s="4"/>
      <c r="T707" s="4"/>
      <c r="U707" s="4"/>
      <c r="V707" s="4"/>
      <c r="W707" s="4"/>
      <c r="X707" s="4"/>
      <c r="Y707" s="4"/>
      <c r="Z707" s="4"/>
      <c r="AA707" s="21"/>
    </row>
    <row r="708">
      <c r="A708" s="4"/>
      <c r="B708" s="4"/>
      <c r="C708" s="4"/>
      <c r="D708" s="26"/>
      <c r="E708" s="4"/>
      <c r="F708" s="4"/>
      <c r="G708" s="4"/>
      <c r="H708" s="4"/>
      <c r="I708" s="4"/>
      <c r="J708" s="4"/>
      <c r="K708" s="4"/>
      <c r="L708" s="4"/>
      <c r="M708" s="4"/>
      <c r="N708" s="4"/>
      <c r="O708" s="4"/>
      <c r="P708" s="4"/>
      <c r="Q708" s="4"/>
      <c r="R708" s="4"/>
      <c r="S708" s="4"/>
      <c r="T708" s="4"/>
      <c r="U708" s="4"/>
      <c r="V708" s="4"/>
      <c r="W708" s="4"/>
      <c r="X708" s="4"/>
      <c r="Y708" s="4"/>
      <c r="Z708" s="4"/>
      <c r="AA708" s="21"/>
    </row>
    <row r="709">
      <c r="A709" s="4"/>
      <c r="B709" s="4"/>
      <c r="C709" s="4"/>
      <c r="D709" s="26"/>
      <c r="E709" s="4"/>
      <c r="F709" s="4"/>
      <c r="G709" s="4"/>
      <c r="H709" s="4"/>
      <c r="I709" s="4"/>
      <c r="J709" s="4"/>
      <c r="K709" s="4"/>
      <c r="L709" s="4"/>
      <c r="M709" s="4"/>
      <c r="N709" s="4"/>
      <c r="O709" s="4"/>
      <c r="P709" s="4"/>
      <c r="Q709" s="4"/>
      <c r="R709" s="4"/>
      <c r="S709" s="4"/>
      <c r="T709" s="4"/>
      <c r="U709" s="4"/>
      <c r="V709" s="4"/>
      <c r="W709" s="4"/>
      <c r="X709" s="4"/>
      <c r="Y709" s="4"/>
      <c r="Z709" s="4"/>
      <c r="AA709" s="21"/>
    </row>
    <row r="710">
      <c r="A710" s="4"/>
      <c r="B710" s="4"/>
      <c r="C710" s="4"/>
      <c r="D710" s="26"/>
      <c r="E710" s="4"/>
      <c r="F710" s="4"/>
      <c r="G710" s="4"/>
      <c r="H710" s="4"/>
      <c r="I710" s="4"/>
      <c r="J710" s="4"/>
      <c r="K710" s="4"/>
      <c r="L710" s="4"/>
      <c r="M710" s="4"/>
      <c r="N710" s="4"/>
      <c r="O710" s="4"/>
      <c r="P710" s="4"/>
      <c r="Q710" s="4"/>
      <c r="R710" s="4"/>
      <c r="S710" s="4"/>
      <c r="T710" s="4"/>
      <c r="U710" s="4"/>
      <c r="V710" s="4"/>
      <c r="W710" s="4"/>
      <c r="X710" s="4"/>
      <c r="Y710" s="4"/>
      <c r="Z710" s="4"/>
      <c r="AA710" s="21"/>
    </row>
    <row r="711">
      <c r="A711" s="4"/>
      <c r="B711" s="4"/>
      <c r="C711" s="4"/>
      <c r="D711" s="26"/>
      <c r="E711" s="4"/>
      <c r="F711" s="4"/>
      <c r="G711" s="4"/>
      <c r="H711" s="4"/>
      <c r="I711" s="4"/>
      <c r="J711" s="4"/>
      <c r="K711" s="4"/>
      <c r="L711" s="4"/>
      <c r="M711" s="4"/>
      <c r="N711" s="4"/>
      <c r="O711" s="4"/>
      <c r="P711" s="4"/>
      <c r="Q711" s="4"/>
      <c r="R711" s="4"/>
      <c r="S711" s="4"/>
      <c r="T711" s="4"/>
      <c r="U711" s="4"/>
      <c r="V711" s="4"/>
      <c r="W711" s="4"/>
      <c r="X711" s="4"/>
      <c r="Y711" s="4"/>
      <c r="Z711" s="4"/>
      <c r="AA711" s="21"/>
    </row>
    <row r="712">
      <c r="A712" s="4"/>
      <c r="B712" s="4"/>
      <c r="C712" s="4"/>
      <c r="D712" s="26"/>
      <c r="E712" s="4"/>
      <c r="F712" s="4"/>
      <c r="G712" s="4"/>
      <c r="H712" s="4"/>
      <c r="I712" s="4"/>
      <c r="J712" s="4"/>
      <c r="K712" s="4"/>
      <c r="L712" s="4"/>
      <c r="M712" s="4"/>
      <c r="N712" s="4"/>
      <c r="O712" s="4"/>
      <c r="P712" s="4"/>
      <c r="Q712" s="4"/>
      <c r="R712" s="4"/>
      <c r="S712" s="4"/>
      <c r="T712" s="4"/>
      <c r="U712" s="4"/>
      <c r="V712" s="4"/>
      <c r="W712" s="4"/>
      <c r="X712" s="4"/>
      <c r="Y712" s="4"/>
      <c r="Z712" s="4"/>
      <c r="AA712" s="21"/>
    </row>
    <row r="713">
      <c r="A713" s="4"/>
      <c r="B713" s="4"/>
      <c r="C713" s="4"/>
      <c r="D713" s="26"/>
      <c r="E713" s="4"/>
      <c r="F713" s="4"/>
      <c r="G713" s="4"/>
      <c r="H713" s="4"/>
      <c r="I713" s="4"/>
      <c r="J713" s="4"/>
      <c r="K713" s="4"/>
      <c r="L713" s="4"/>
      <c r="M713" s="4"/>
      <c r="N713" s="4"/>
      <c r="O713" s="4"/>
      <c r="P713" s="4"/>
      <c r="Q713" s="4"/>
      <c r="R713" s="4"/>
      <c r="S713" s="4"/>
      <c r="T713" s="4"/>
      <c r="U713" s="4"/>
      <c r="V713" s="4"/>
      <c r="W713" s="4"/>
      <c r="X713" s="4"/>
      <c r="Y713" s="4"/>
      <c r="Z713" s="4"/>
      <c r="AA713" s="21"/>
    </row>
    <row r="714">
      <c r="A714" s="4"/>
      <c r="B714" s="4"/>
      <c r="C714" s="4"/>
      <c r="D714" s="26"/>
      <c r="E714" s="4"/>
      <c r="F714" s="4"/>
      <c r="G714" s="4"/>
      <c r="H714" s="4"/>
      <c r="I714" s="4"/>
      <c r="J714" s="4"/>
      <c r="K714" s="4"/>
      <c r="L714" s="4"/>
      <c r="M714" s="4"/>
      <c r="N714" s="4"/>
      <c r="O714" s="4"/>
      <c r="P714" s="4"/>
      <c r="Q714" s="4"/>
      <c r="R714" s="4"/>
      <c r="S714" s="4"/>
      <c r="T714" s="4"/>
      <c r="U714" s="4"/>
      <c r="V714" s="4"/>
      <c r="W714" s="4"/>
      <c r="X714" s="4"/>
      <c r="Y714" s="4"/>
      <c r="Z714" s="4"/>
      <c r="AA714" s="21"/>
    </row>
    <row r="715">
      <c r="A715" s="4"/>
      <c r="B715" s="4"/>
      <c r="C715" s="4"/>
      <c r="D715" s="26"/>
      <c r="E715" s="4"/>
      <c r="F715" s="4"/>
      <c r="G715" s="4"/>
      <c r="H715" s="4"/>
      <c r="I715" s="4"/>
      <c r="J715" s="4"/>
      <c r="K715" s="4"/>
      <c r="L715" s="4"/>
      <c r="M715" s="4"/>
      <c r="N715" s="4"/>
      <c r="O715" s="4"/>
      <c r="P715" s="4"/>
      <c r="Q715" s="4"/>
      <c r="R715" s="4"/>
      <c r="S715" s="4"/>
      <c r="T715" s="4"/>
      <c r="U715" s="4"/>
      <c r="V715" s="4"/>
      <c r="W715" s="4"/>
      <c r="X715" s="4"/>
      <c r="Y715" s="4"/>
      <c r="Z715" s="4"/>
      <c r="AA715" s="21"/>
    </row>
    <row r="716">
      <c r="A716" s="4"/>
      <c r="B716" s="4"/>
      <c r="C716" s="4"/>
      <c r="D716" s="26"/>
      <c r="E716" s="4"/>
      <c r="F716" s="4"/>
      <c r="G716" s="4"/>
      <c r="H716" s="4"/>
      <c r="I716" s="4"/>
      <c r="J716" s="4"/>
      <c r="K716" s="4"/>
      <c r="L716" s="4"/>
      <c r="M716" s="4"/>
      <c r="N716" s="4"/>
      <c r="O716" s="4"/>
      <c r="P716" s="4"/>
      <c r="Q716" s="4"/>
      <c r="R716" s="4"/>
      <c r="S716" s="4"/>
      <c r="T716" s="4"/>
      <c r="U716" s="4"/>
      <c r="V716" s="4"/>
      <c r="W716" s="4"/>
      <c r="X716" s="4"/>
      <c r="Y716" s="4"/>
      <c r="Z716" s="4"/>
      <c r="AA716" s="21"/>
    </row>
    <row r="717">
      <c r="A717" s="4"/>
      <c r="B717" s="4"/>
      <c r="C717" s="4"/>
      <c r="D717" s="26"/>
      <c r="E717" s="4"/>
      <c r="F717" s="4"/>
      <c r="G717" s="4"/>
      <c r="H717" s="4"/>
      <c r="I717" s="4"/>
      <c r="J717" s="4"/>
      <c r="K717" s="4"/>
      <c r="L717" s="4"/>
      <c r="M717" s="4"/>
      <c r="N717" s="4"/>
      <c r="O717" s="4"/>
      <c r="P717" s="4"/>
      <c r="Q717" s="4"/>
      <c r="R717" s="4"/>
      <c r="S717" s="4"/>
      <c r="T717" s="4"/>
      <c r="U717" s="4"/>
      <c r="V717" s="4"/>
      <c r="W717" s="4"/>
      <c r="X717" s="4"/>
      <c r="Y717" s="4"/>
      <c r="Z717" s="4"/>
      <c r="AA717" s="21"/>
    </row>
    <row r="718">
      <c r="A718" s="4"/>
      <c r="B718" s="4"/>
      <c r="C718" s="4"/>
      <c r="D718" s="26"/>
      <c r="E718" s="4"/>
      <c r="F718" s="4"/>
      <c r="G718" s="4"/>
      <c r="H718" s="4"/>
      <c r="I718" s="4"/>
      <c r="J718" s="4"/>
      <c r="K718" s="4"/>
      <c r="L718" s="4"/>
      <c r="M718" s="4"/>
      <c r="N718" s="4"/>
      <c r="O718" s="4"/>
      <c r="P718" s="4"/>
      <c r="Q718" s="4"/>
      <c r="R718" s="4"/>
      <c r="S718" s="4"/>
      <c r="T718" s="4"/>
      <c r="U718" s="4"/>
      <c r="V718" s="4"/>
      <c r="W718" s="4"/>
      <c r="X718" s="4"/>
      <c r="Y718" s="4"/>
      <c r="Z718" s="4"/>
      <c r="AA718" s="21"/>
    </row>
    <row r="719">
      <c r="A719" s="4"/>
      <c r="B719" s="4"/>
      <c r="C719" s="4"/>
      <c r="D719" s="26"/>
      <c r="E719" s="4"/>
      <c r="F719" s="4"/>
      <c r="G719" s="4"/>
      <c r="H719" s="4"/>
      <c r="I719" s="4"/>
      <c r="J719" s="4"/>
      <c r="K719" s="4"/>
      <c r="L719" s="4"/>
      <c r="M719" s="4"/>
      <c r="N719" s="4"/>
      <c r="O719" s="4"/>
      <c r="P719" s="4"/>
      <c r="Q719" s="4"/>
      <c r="R719" s="4"/>
      <c r="S719" s="4"/>
      <c r="T719" s="4"/>
      <c r="U719" s="4"/>
      <c r="V719" s="4"/>
      <c r="W719" s="4"/>
      <c r="X719" s="4"/>
      <c r="Y719" s="4"/>
      <c r="Z719" s="4"/>
      <c r="AA719" s="21"/>
    </row>
    <row r="720">
      <c r="A720" s="4"/>
      <c r="B720" s="4"/>
      <c r="C720" s="4"/>
      <c r="D720" s="26"/>
      <c r="E720" s="4"/>
      <c r="F720" s="4"/>
      <c r="G720" s="4"/>
      <c r="H720" s="4"/>
      <c r="I720" s="4"/>
      <c r="J720" s="4"/>
      <c r="K720" s="4"/>
      <c r="L720" s="4"/>
      <c r="M720" s="4"/>
      <c r="N720" s="4"/>
      <c r="O720" s="4"/>
      <c r="P720" s="4"/>
      <c r="Q720" s="4"/>
      <c r="R720" s="4"/>
      <c r="S720" s="4"/>
      <c r="T720" s="4"/>
      <c r="U720" s="4"/>
      <c r="V720" s="4"/>
      <c r="W720" s="4"/>
      <c r="X720" s="4"/>
      <c r="Y720" s="4"/>
      <c r="Z720" s="4"/>
      <c r="AA720" s="21"/>
    </row>
    <row r="721">
      <c r="A721" s="4"/>
      <c r="B721" s="4"/>
      <c r="C721" s="4"/>
      <c r="D721" s="26"/>
      <c r="E721" s="4"/>
      <c r="F721" s="4"/>
      <c r="G721" s="4"/>
      <c r="H721" s="4"/>
      <c r="I721" s="4"/>
      <c r="J721" s="4"/>
      <c r="K721" s="4"/>
      <c r="L721" s="4"/>
      <c r="M721" s="4"/>
      <c r="N721" s="4"/>
      <c r="O721" s="4"/>
      <c r="P721" s="4"/>
      <c r="Q721" s="4"/>
      <c r="R721" s="4"/>
      <c r="S721" s="4"/>
      <c r="T721" s="4"/>
      <c r="U721" s="4"/>
      <c r="V721" s="4"/>
      <c r="W721" s="4"/>
      <c r="X721" s="4"/>
      <c r="Y721" s="4"/>
      <c r="Z721" s="4"/>
      <c r="AA721" s="21"/>
    </row>
    <row r="722">
      <c r="A722" s="4"/>
      <c r="B722" s="4"/>
      <c r="C722" s="4"/>
      <c r="D722" s="26"/>
      <c r="E722" s="4"/>
      <c r="F722" s="4"/>
      <c r="G722" s="4"/>
      <c r="H722" s="4"/>
      <c r="I722" s="4"/>
      <c r="J722" s="4"/>
      <c r="K722" s="4"/>
      <c r="L722" s="4"/>
      <c r="M722" s="4"/>
      <c r="N722" s="4"/>
      <c r="O722" s="4"/>
      <c r="P722" s="4"/>
      <c r="Q722" s="4"/>
      <c r="R722" s="4"/>
      <c r="S722" s="4"/>
      <c r="T722" s="4"/>
      <c r="U722" s="4"/>
      <c r="V722" s="4"/>
      <c r="W722" s="4"/>
      <c r="X722" s="4"/>
      <c r="Y722" s="4"/>
      <c r="Z722" s="4"/>
      <c r="AA722" s="21"/>
    </row>
    <row r="723">
      <c r="A723" s="4"/>
      <c r="B723" s="4"/>
      <c r="C723" s="4"/>
      <c r="D723" s="26"/>
      <c r="E723" s="4"/>
      <c r="F723" s="4"/>
      <c r="G723" s="4"/>
      <c r="H723" s="4"/>
      <c r="I723" s="4"/>
      <c r="J723" s="4"/>
      <c r="K723" s="4"/>
      <c r="L723" s="4"/>
      <c r="M723" s="4"/>
      <c r="N723" s="4"/>
      <c r="O723" s="4"/>
      <c r="P723" s="4"/>
      <c r="Q723" s="4"/>
      <c r="R723" s="4"/>
      <c r="S723" s="4"/>
      <c r="T723" s="4"/>
      <c r="U723" s="4"/>
      <c r="V723" s="4"/>
      <c r="W723" s="4"/>
      <c r="X723" s="4"/>
      <c r="Y723" s="4"/>
      <c r="Z723" s="4"/>
      <c r="AA723" s="21"/>
    </row>
    <row r="724">
      <c r="A724" s="4"/>
      <c r="B724" s="4"/>
      <c r="C724" s="4"/>
      <c r="D724" s="26"/>
      <c r="E724" s="4"/>
      <c r="F724" s="4"/>
      <c r="G724" s="4"/>
      <c r="H724" s="4"/>
      <c r="I724" s="4"/>
      <c r="J724" s="4"/>
      <c r="K724" s="4"/>
      <c r="L724" s="4"/>
      <c r="M724" s="4"/>
      <c r="N724" s="4"/>
      <c r="O724" s="4"/>
      <c r="P724" s="4"/>
      <c r="Q724" s="4"/>
      <c r="R724" s="4"/>
      <c r="S724" s="4"/>
      <c r="T724" s="4"/>
      <c r="U724" s="4"/>
      <c r="V724" s="4"/>
      <c r="W724" s="4"/>
      <c r="X724" s="4"/>
      <c r="Y724" s="4"/>
      <c r="Z724" s="4"/>
      <c r="AA724" s="21"/>
    </row>
    <row r="725">
      <c r="A725" s="4"/>
      <c r="B725" s="4"/>
      <c r="C725" s="4"/>
      <c r="D725" s="26"/>
      <c r="E725" s="4"/>
      <c r="F725" s="4"/>
      <c r="G725" s="4"/>
      <c r="H725" s="4"/>
      <c r="I725" s="4"/>
      <c r="J725" s="4"/>
      <c r="K725" s="4"/>
      <c r="L725" s="4"/>
      <c r="M725" s="4"/>
      <c r="N725" s="4"/>
      <c r="O725" s="4"/>
      <c r="P725" s="4"/>
      <c r="Q725" s="4"/>
      <c r="R725" s="4"/>
      <c r="S725" s="4"/>
      <c r="T725" s="4"/>
      <c r="U725" s="4"/>
      <c r="V725" s="4"/>
      <c r="W725" s="4"/>
      <c r="X725" s="4"/>
      <c r="Y725" s="4"/>
      <c r="Z725" s="4"/>
      <c r="AA725" s="21"/>
    </row>
    <row r="726">
      <c r="A726" s="4"/>
      <c r="B726" s="4"/>
      <c r="C726" s="4"/>
      <c r="D726" s="26"/>
      <c r="E726" s="4"/>
      <c r="F726" s="4"/>
      <c r="G726" s="4"/>
      <c r="H726" s="4"/>
      <c r="I726" s="4"/>
      <c r="J726" s="4"/>
      <c r="K726" s="4"/>
      <c r="L726" s="4"/>
      <c r="M726" s="4"/>
      <c r="N726" s="4"/>
      <c r="O726" s="4"/>
      <c r="P726" s="4"/>
      <c r="Q726" s="4"/>
      <c r="R726" s="4"/>
      <c r="S726" s="4"/>
      <c r="T726" s="4"/>
      <c r="U726" s="4"/>
      <c r="V726" s="4"/>
      <c r="W726" s="4"/>
      <c r="X726" s="4"/>
      <c r="Y726" s="4"/>
      <c r="Z726" s="4"/>
      <c r="AA726" s="21"/>
    </row>
    <row r="727">
      <c r="A727" s="4"/>
      <c r="B727" s="4"/>
      <c r="C727" s="4"/>
      <c r="D727" s="26"/>
      <c r="E727" s="4"/>
      <c r="F727" s="4"/>
      <c r="G727" s="4"/>
      <c r="H727" s="4"/>
      <c r="I727" s="4"/>
      <c r="J727" s="4"/>
      <c r="K727" s="4"/>
      <c r="L727" s="4"/>
      <c r="M727" s="4"/>
      <c r="N727" s="4"/>
      <c r="O727" s="4"/>
      <c r="P727" s="4"/>
      <c r="Q727" s="4"/>
      <c r="R727" s="4"/>
      <c r="S727" s="4"/>
      <c r="T727" s="4"/>
      <c r="U727" s="4"/>
      <c r="V727" s="4"/>
      <c r="W727" s="4"/>
      <c r="X727" s="4"/>
      <c r="Y727" s="4"/>
      <c r="Z727" s="4"/>
      <c r="AA727" s="21"/>
    </row>
    <row r="728">
      <c r="A728" s="4"/>
      <c r="B728" s="4"/>
      <c r="C728" s="4"/>
      <c r="D728" s="26"/>
      <c r="E728" s="4"/>
      <c r="F728" s="4"/>
      <c r="G728" s="4"/>
      <c r="H728" s="4"/>
      <c r="I728" s="4"/>
      <c r="J728" s="4"/>
      <c r="K728" s="4"/>
      <c r="L728" s="4"/>
      <c r="M728" s="4"/>
      <c r="N728" s="4"/>
      <c r="O728" s="4"/>
      <c r="P728" s="4"/>
      <c r="Q728" s="4"/>
      <c r="R728" s="4"/>
      <c r="S728" s="4"/>
      <c r="T728" s="4"/>
      <c r="U728" s="4"/>
      <c r="V728" s="4"/>
      <c r="W728" s="4"/>
      <c r="X728" s="4"/>
      <c r="Y728" s="4"/>
      <c r="Z728" s="4"/>
      <c r="AA728" s="21"/>
    </row>
    <row r="729">
      <c r="A729" s="4"/>
      <c r="B729" s="4"/>
      <c r="C729" s="4"/>
      <c r="D729" s="26"/>
      <c r="E729" s="4"/>
      <c r="F729" s="4"/>
      <c r="G729" s="4"/>
      <c r="H729" s="4"/>
      <c r="I729" s="4"/>
      <c r="J729" s="4"/>
      <c r="K729" s="4"/>
      <c r="L729" s="4"/>
      <c r="M729" s="4"/>
      <c r="N729" s="4"/>
      <c r="O729" s="4"/>
      <c r="P729" s="4"/>
      <c r="Q729" s="4"/>
      <c r="R729" s="4"/>
      <c r="S729" s="4"/>
      <c r="T729" s="4"/>
      <c r="U729" s="4"/>
      <c r="V729" s="4"/>
      <c r="W729" s="4"/>
      <c r="X729" s="4"/>
      <c r="Y729" s="4"/>
      <c r="Z729" s="4"/>
      <c r="AA729" s="21"/>
    </row>
    <row r="730">
      <c r="A730" s="4"/>
      <c r="B730" s="4"/>
      <c r="C730" s="4"/>
      <c r="D730" s="26"/>
      <c r="E730" s="4"/>
      <c r="F730" s="4"/>
      <c r="G730" s="4"/>
      <c r="H730" s="4"/>
      <c r="I730" s="4"/>
      <c r="J730" s="4"/>
      <c r="K730" s="4"/>
      <c r="L730" s="4"/>
      <c r="M730" s="4"/>
      <c r="N730" s="4"/>
      <c r="O730" s="4"/>
      <c r="P730" s="4"/>
      <c r="Q730" s="4"/>
      <c r="R730" s="4"/>
      <c r="S730" s="4"/>
      <c r="T730" s="4"/>
      <c r="U730" s="4"/>
      <c r="V730" s="4"/>
      <c r="W730" s="4"/>
      <c r="X730" s="4"/>
      <c r="Y730" s="4"/>
      <c r="Z730" s="4"/>
      <c r="AA730" s="21"/>
    </row>
    <row r="731">
      <c r="A731" s="4"/>
      <c r="B731" s="4"/>
      <c r="C731" s="4"/>
      <c r="D731" s="26"/>
      <c r="E731" s="4"/>
      <c r="F731" s="4"/>
      <c r="G731" s="4"/>
      <c r="H731" s="4"/>
      <c r="I731" s="4"/>
      <c r="J731" s="4"/>
      <c r="K731" s="4"/>
      <c r="L731" s="4"/>
      <c r="M731" s="4"/>
      <c r="N731" s="4"/>
      <c r="O731" s="4"/>
      <c r="P731" s="4"/>
      <c r="Q731" s="4"/>
      <c r="R731" s="4"/>
      <c r="S731" s="4"/>
      <c r="T731" s="4"/>
      <c r="U731" s="4"/>
      <c r="V731" s="4"/>
      <c r="W731" s="4"/>
      <c r="X731" s="4"/>
      <c r="Y731" s="4"/>
      <c r="Z731" s="4"/>
      <c r="AA731" s="21"/>
    </row>
    <row r="732">
      <c r="A732" s="4"/>
      <c r="B732" s="4"/>
      <c r="C732" s="4"/>
      <c r="D732" s="26"/>
      <c r="E732" s="4"/>
      <c r="F732" s="4"/>
      <c r="G732" s="4"/>
      <c r="H732" s="4"/>
      <c r="I732" s="4"/>
      <c r="J732" s="4"/>
      <c r="K732" s="4"/>
      <c r="L732" s="4"/>
      <c r="M732" s="4"/>
      <c r="N732" s="4"/>
      <c r="O732" s="4"/>
      <c r="P732" s="4"/>
      <c r="Q732" s="4"/>
      <c r="R732" s="4"/>
      <c r="S732" s="4"/>
      <c r="T732" s="4"/>
      <c r="U732" s="4"/>
      <c r="V732" s="4"/>
      <c r="W732" s="4"/>
      <c r="X732" s="4"/>
      <c r="Y732" s="4"/>
      <c r="Z732" s="4"/>
      <c r="AA732" s="21"/>
    </row>
    <row r="733">
      <c r="A733" s="4"/>
      <c r="B733" s="4"/>
      <c r="C733" s="4"/>
      <c r="D733" s="26"/>
      <c r="E733" s="4"/>
      <c r="F733" s="4"/>
      <c r="G733" s="4"/>
      <c r="H733" s="4"/>
      <c r="I733" s="4"/>
      <c r="J733" s="4"/>
      <c r="K733" s="4"/>
      <c r="L733" s="4"/>
      <c r="M733" s="4"/>
      <c r="N733" s="4"/>
      <c r="O733" s="4"/>
      <c r="P733" s="4"/>
      <c r="Q733" s="4"/>
      <c r="R733" s="4"/>
      <c r="S733" s="4"/>
      <c r="T733" s="4"/>
      <c r="U733" s="4"/>
      <c r="V733" s="4"/>
      <c r="W733" s="4"/>
      <c r="X733" s="4"/>
      <c r="Y733" s="4"/>
      <c r="Z733" s="4"/>
      <c r="AA733" s="21"/>
    </row>
    <row r="734">
      <c r="A734" s="4"/>
      <c r="B734" s="4"/>
      <c r="C734" s="4"/>
      <c r="D734" s="26"/>
      <c r="E734" s="4"/>
      <c r="F734" s="4"/>
      <c r="G734" s="4"/>
      <c r="H734" s="4"/>
      <c r="I734" s="4"/>
      <c r="J734" s="4"/>
      <c r="K734" s="4"/>
      <c r="L734" s="4"/>
      <c r="M734" s="4"/>
      <c r="N734" s="4"/>
      <c r="O734" s="4"/>
      <c r="P734" s="4"/>
      <c r="Q734" s="4"/>
      <c r="R734" s="4"/>
      <c r="S734" s="4"/>
      <c r="T734" s="4"/>
      <c r="U734" s="4"/>
      <c r="V734" s="4"/>
      <c r="W734" s="4"/>
      <c r="X734" s="4"/>
      <c r="Y734" s="4"/>
      <c r="Z734" s="4"/>
      <c r="AA734" s="21"/>
    </row>
    <row r="735">
      <c r="A735" s="4"/>
      <c r="B735" s="4"/>
      <c r="C735" s="4"/>
      <c r="D735" s="26"/>
      <c r="E735" s="4"/>
      <c r="F735" s="4"/>
      <c r="G735" s="4"/>
      <c r="H735" s="4"/>
      <c r="I735" s="4"/>
      <c r="J735" s="4"/>
      <c r="K735" s="4"/>
      <c r="L735" s="4"/>
      <c r="M735" s="4"/>
      <c r="N735" s="4"/>
      <c r="O735" s="4"/>
      <c r="P735" s="4"/>
      <c r="Q735" s="4"/>
      <c r="R735" s="4"/>
      <c r="S735" s="4"/>
      <c r="T735" s="4"/>
      <c r="U735" s="4"/>
      <c r="V735" s="4"/>
      <c r="W735" s="4"/>
      <c r="X735" s="4"/>
      <c r="Y735" s="4"/>
      <c r="Z735" s="4"/>
      <c r="AA735" s="21"/>
    </row>
    <row r="736">
      <c r="A736" s="4"/>
      <c r="B736" s="4"/>
      <c r="C736" s="4"/>
      <c r="D736" s="26"/>
      <c r="E736" s="4"/>
      <c r="F736" s="4"/>
      <c r="G736" s="4"/>
      <c r="H736" s="4"/>
      <c r="I736" s="4"/>
      <c r="J736" s="4"/>
      <c r="K736" s="4"/>
      <c r="L736" s="4"/>
      <c r="M736" s="4"/>
      <c r="N736" s="4"/>
      <c r="O736" s="4"/>
      <c r="P736" s="4"/>
      <c r="Q736" s="4"/>
      <c r="R736" s="4"/>
      <c r="S736" s="4"/>
      <c r="T736" s="4"/>
      <c r="U736" s="4"/>
      <c r="V736" s="4"/>
      <c r="W736" s="4"/>
      <c r="X736" s="4"/>
      <c r="Y736" s="4"/>
      <c r="Z736" s="4"/>
      <c r="AA736" s="21"/>
    </row>
    <row r="737">
      <c r="A737" s="4"/>
      <c r="B737" s="4"/>
      <c r="C737" s="4"/>
      <c r="D737" s="26"/>
      <c r="E737" s="4"/>
      <c r="F737" s="4"/>
      <c r="G737" s="4"/>
      <c r="H737" s="4"/>
      <c r="I737" s="4"/>
      <c r="J737" s="4"/>
      <c r="K737" s="4"/>
      <c r="L737" s="4"/>
      <c r="M737" s="4"/>
      <c r="N737" s="4"/>
      <c r="O737" s="4"/>
      <c r="P737" s="4"/>
      <c r="Q737" s="4"/>
      <c r="R737" s="4"/>
      <c r="S737" s="4"/>
      <c r="T737" s="4"/>
      <c r="U737" s="4"/>
      <c r="V737" s="4"/>
      <c r="W737" s="4"/>
      <c r="X737" s="4"/>
      <c r="Y737" s="4"/>
      <c r="Z737" s="4"/>
      <c r="AA737" s="21"/>
    </row>
    <row r="738">
      <c r="A738" s="4"/>
      <c r="B738" s="4"/>
      <c r="C738" s="4"/>
      <c r="D738" s="26"/>
      <c r="E738" s="4"/>
      <c r="F738" s="4"/>
      <c r="G738" s="4"/>
      <c r="H738" s="4"/>
      <c r="I738" s="4"/>
      <c r="J738" s="4"/>
      <c r="K738" s="4"/>
      <c r="L738" s="4"/>
      <c r="M738" s="4"/>
      <c r="N738" s="4"/>
      <c r="O738" s="4"/>
      <c r="P738" s="4"/>
      <c r="Q738" s="4"/>
      <c r="R738" s="4"/>
      <c r="S738" s="4"/>
      <c r="T738" s="4"/>
      <c r="U738" s="4"/>
      <c r="V738" s="4"/>
      <c r="W738" s="4"/>
      <c r="X738" s="4"/>
      <c r="Y738" s="4"/>
      <c r="Z738" s="4"/>
      <c r="AA738" s="21"/>
    </row>
    <row r="739">
      <c r="A739" s="4"/>
      <c r="B739" s="4"/>
      <c r="C739" s="4"/>
      <c r="D739" s="26"/>
      <c r="E739" s="4"/>
      <c r="F739" s="4"/>
      <c r="G739" s="4"/>
      <c r="H739" s="4"/>
      <c r="I739" s="4"/>
      <c r="J739" s="4"/>
      <c r="K739" s="4"/>
      <c r="L739" s="4"/>
      <c r="M739" s="4"/>
      <c r="N739" s="4"/>
      <c r="O739" s="4"/>
      <c r="P739" s="4"/>
      <c r="Q739" s="4"/>
      <c r="R739" s="4"/>
      <c r="S739" s="4"/>
      <c r="T739" s="4"/>
      <c r="U739" s="4"/>
      <c r="V739" s="4"/>
      <c r="W739" s="4"/>
      <c r="X739" s="4"/>
      <c r="Y739" s="4"/>
      <c r="Z739" s="4"/>
      <c r="AA739" s="21"/>
    </row>
    <row r="740">
      <c r="A740" s="4"/>
      <c r="B740" s="4"/>
      <c r="C740" s="4"/>
      <c r="D740" s="26"/>
      <c r="E740" s="4"/>
      <c r="F740" s="4"/>
      <c r="G740" s="4"/>
      <c r="H740" s="4"/>
      <c r="I740" s="4"/>
      <c r="J740" s="4"/>
      <c r="K740" s="4"/>
      <c r="L740" s="4"/>
      <c r="M740" s="4"/>
      <c r="N740" s="4"/>
      <c r="O740" s="4"/>
      <c r="P740" s="4"/>
      <c r="Q740" s="4"/>
      <c r="R740" s="4"/>
      <c r="S740" s="4"/>
      <c r="T740" s="4"/>
      <c r="U740" s="4"/>
      <c r="V740" s="4"/>
      <c r="W740" s="4"/>
      <c r="X740" s="4"/>
      <c r="Y740" s="4"/>
      <c r="Z740" s="4"/>
      <c r="AA740" s="21"/>
    </row>
    <row r="741">
      <c r="A741" s="4"/>
      <c r="B741" s="4"/>
      <c r="C741" s="4"/>
      <c r="D741" s="26"/>
      <c r="E741" s="4"/>
      <c r="F741" s="4"/>
      <c r="G741" s="4"/>
      <c r="H741" s="4"/>
      <c r="I741" s="4"/>
      <c r="J741" s="4"/>
      <c r="K741" s="4"/>
      <c r="L741" s="4"/>
      <c r="M741" s="4"/>
      <c r="N741" s="4"/>
      <c r="O741" s="4"/>
      <c r="P741" s="4"/>
      <c r="Q741" s="4"/>
      <c r="R741" s="4"/>
      <c r="S741" s="4"/>
      <c r="T741" s="4"/>
      <c r="U741" s="4"/>
      <c r="V741" s="4"/>
      <c r="W741" s="4"/>
      <c r="X741" s="4"/>
      <c r="Y741" s="4"/>
      <c r="Z741" s="4"/>
      <c r="AA741" s="21"/>
    </row>
    <row r="742">
      <c r="A742" s="4"/>
      <c r="B742" s="4"/>
      <c r="C742" s="4"/>
      <c r="D742" s="26"/>
      <c r="E742" s="4"/>
      <c r="F742" s="4"/>
      <c r="G742" s="4"/>
      <c r="H742" s="4"/>
      <c r="I742" s="4"/>
      <c r="J742" s="4"/>
      <c r="K742" s="4"/>
      <c r="L742" s="4"/>
      <c r="M742" s="4"/>
      <c r="N742" s="4"/>
      <c r="O742" s="4"/>
      <c r="P742" s="4"/>
      <c r="Q742" s="4"/>
      <c r="R742" s="4"/>
      <c r="S742" s="4"/>
      <c r="T742" s="4"/>
      <c r="U742" s="4"/>
      <c r="V742" s="4"/>
      <c r="W742" s="4"/>
      <c r="X742" s="4"/>
      <c r="Y742" s="4"/>
      <c r="Z742" s="4"/>
      <c r="AA742" s="21"/>
    </row>
    <row r="743">
      <c r="A743" s="4"/>
      <c r="B743" s="4"/>
      <c r="C743" s="4"/>
      <c r="D743" s="26"/>
      <c r="E743" s="4"/>
      <c r="F743" s="4"/>
      <c r="G743" s="4"/>
      <c r="H743" s="4"/>
      <c r="I743" s="4"/>
      <c r="J743" s="4"/>
      <c r="K743" s="4"/>
      <c r="L743" s="4"/>
      <c r="M743" s="4"/>
      <c r="N743" s="4"/>
      <c r="O743" s="4"/>
      <c r="P743" s="4"/>
      <c r="Q743" s="4"/>
      <c r="R743" s="4"/>
      <c r="S743" s="4"/>
      <c r="T743" s="4"/>
      <c r="U743" s="4"/>
      <c r="V743" s="4"/>
      <c r="W743" s="4"/>
      <c r="X743" s="4"/>
      <c r="Y743" s="4"/>
      <c r="Z743" s="4"/>
      <c r="AA743" s="21"/>
    </row>
    <row r="744">
      <c r="A744" s="4"/>
      <c r="B744" s="4"/>
      <c r="C744" s="4"/>
      <c r="D744" s="26"/>
      <c r="E744" s="4"/>
      <c r="F744" s="4"/>
      <c r="G744" s="4"/>
      <c r="H744" s="4"/>
      <c r="I744" s="4"/>
      <c r="J744" s="4"/>
      <c r="K744" s="4"/>
      <c r="L744" s="4"/>
      <c r="M744" s="4"/>
      <c r="N744" s="4"/>
      <c r="O744" s="4"/>
      <c r="P744" s="4"/>
      <c r="Q744" s="4"/>
      <c r="R744" s="4"/>
      <c r="S744" s="4"/>
      <c r="T744" s="4"/>
      <c r="U744" s="4"/>
      <c r="V744" s="4"/>
      <c r="W744" s="4"/>
      <c r="X744" s="4"/>
      <c r="Y744" s="4"/>
      <c r="Z744" s="4"/>
      <c r="AA744" s="21"/>
    </row>
    <row r="745">
      <c r="A745" s="4"/>
      <c r="B745" s="4"/>
      <c r="C745" s="4"/>
      <c r="D745" s="26"/>
      <c r="E745" s="4"/>
      <c r="F745" s="4"/>
      <c r="G745" s="4"/>
      <c r="H745" s="4"/>
      <c r="I745" s="4"/>
      <c r="J745" s="4"/>
      <c r="K745" s="4"/>
      <c r="L745" s="4"/>
      <c r="M745" s="4"/>
      <c r="N745" s="4"/>
      <c r="O745" s="4"/>
      <c r="P745" s="4"/>
      <c r="Q745" s="4"/>
      <c r="R745" s="4"/>
      <c r="S745" s="4"/>
      <c r="T745" s="4"/>
      <c r="U745" s="4"/>
      <c r="V745" s="4"/>
      <c r="W745" s="4"/>
      <c r="X745" s="4"/>
      <c r="Y745" s="4"/>
      <c r="Z745" s="4"/>
      <c r="AA745" s="21"/>
    </row>
    <row r="746">
      <c r="A746" s="4"/>
      <c r="B746" s="4"/>
      <c r="C746" s="4"/>
      <c r="D746" s="26"/>
      <c r="E746" s="4"/>
      <c r="F746" s="4"/>
      <c r="G746" s="4"/>
      <c r="H746" s="4"/>
      <c r="I746" s="4"/>
      <c r="J746" s="4"/>
      <c r="K746" s="4"/>
      <c r="L746" s="4"/>
      <c r="M746" s="4"/>
      <c r="N746" s="4"/>
      <c r="O746" s="4"/>
      <c r="P746" s="4"/>
      <c r="Q746" s="4"/>
      <c r="R746" s="4"/>
      <c r="S746" s="4"/>
      <c r="T746" s="4"/>
      <c r="U746" s="4"/>
      <c r="V746" s="4"/>
      <c r="W746" s="4"/>
      <c r="X746" s="4"/>
      <c r="Y746" s="4"/>
      <c r="Z746" s="4"/>
      <c r="AA746" s="21"/>
    </row>
    <row r="747">
      <c r="A747" s="4"/>
      <c r="B747" s="4"/>
      <c r="C747" s="4"/>
      <c r="D747" s="26"/>
      <c r="E747" s="4"/>
      <c r="F747" s="4"/>
      <c r="G747" s="4"/>
      <c r="H747" s="4"/>
      <c r="I747" s="4"/>
      <c r="J747" s="4"/>
      <c r="K747" s="4"/>
      <c r="L747" s="4"/>
      <c r="M747" s="4"/>
      <c r="N747" s="4"/>
      <c r="O747" s="4"/>
      <c r="P747" s="4"/>
      <c r="Q747" s="4"/>
      <c r="R747" s="4"/>
      <c r="S747" s="4"/>
      <c r="T747" s="4"/>
      <c r="U747" s="4"/>
      <c r="V747" s="4"/>
      <c r="W747" s="4"/>
      <c r="X747" s="4"/>
      <c r="Y747" s="4"/>
      <c r="Z747" s="4"/>
      <c r="AA747" s="21"/>
    </row>
    <row r="748">
      <c r="A748" s="4"/>
      <c r="B748" s="4"/>
      <c r="C748" s="4"/>
      <c r="D748" s="26"/>
      <c r="E748" s="4"/>
      <c r="F748" s="4"/>
      <c r="G748" s="4"/>
      <c r="H748" s="4"/>
      <c r="I748" s="4"/>
      <c r="J748" s="4"/>
      <c r="K748" s="4"/>
      <c r="L748" s="4"/>
      <c r="M748" s="4"/>
      <c r="N748" s="4"/>
      <c r="O748" s="4"/>
      <c r="P748" s="4"/>
      <c r="Q748" s="4"/>
      <c r="R748" s="4"/>
      <c r="S748" s="4"/>
      <c r="T748" s="4"/>
      <c r="U748" s="4"/>
      <c r="V748" s="4"/>
      <c r="W748" s="4"/>
      <c r="X748" s="4"/>
      <c r="Y748" s="4"/>
      <c r="Z748" s="4"/>
      <c r="AA748" s="21"/>
    </row>
    <row r="749">
      <c r="A749" s="4"/>
      <c r="B749" s="4"/>
      <c r="C749" s="4"/>
      <c r="D749" s="26"/>
      <c r="E749" s="4"/>
      <c r="F749" s="4"/>
      <c r="G749" s="4"/>
      <c r="H749" s="4"/>
      <c r="I749" s="4"/>
      <c r="J749" s="4"/>
      <c r="K749" s="4"/>
      <c r="L749" s="4"/>
      <c r="M749" s="4"/>
      <c r="N749" s="4"/>
      <c r="O749" s="4"/>
      <c r="P749" s="4"/>
      <c r="Q749" s="4"/>
      <c r="R749" s="4"/>
      <c r="S749" s="4"/>
      <c r="T749" s="4"/>
      <c r="U749" s="4"/>
      <c r="V749" s="4"/>
      <c r="W749" s="4"/>
      <c r="X749" s="4"/>
      <c r="Y749" s="4"/>
      <c r="Z749" s="4"/>
      <c r="AA749" s="21"/>
    </row>
    <row r="750">
      <c r="A750" s="4"/>
      <c r="B750" s="4"/>
      <c r="C750" s="4"/>
      <c r="D750" s="26"/>
      <c r="E750" s="4"/>
      <c r="F750" s="4"/>
      <c r="G750" s="4"/>
      <c r="H750" s="4"/>
      <c r="I750" s="4"/>
      <c r="J750" s="4"/>
      <c r="K750" s="4"/>
      <c r="L750" s="4"/>
      <c r="M750" s="4"/>
      <c r="N750" s="4"/>
      <c r="O750" s="4"/>
      <c r="P750" s="4"/>
      <c r="Q750" s="4"/>
      <c r="R750" s="4"/>
      <c r="S750" s="4"/>
      <c r="T750" s="4"/>
      <c r="U750" s="4"/>
      <c r="V750" s="4"/>
      <c r="W750" s="4"/>
      <c r="X750" s="4"/>
      <c r="Y750" s="4"/>
      <c r="Z750" s="4"/>
      <c r="AA750" s="21"/>
    </row>
    <row r="751">
      <c r="A751" s="4"/>
      <c r="B751" s="4"/>
      <c r="C751" s="4"/>
      <c r="D751" s="26"/>
      <c r="E751" s="4"/>
      <c r="F751" s="4"/>
      <c r="G751" s="4"/>
      <c r="H751" s="4"/>
      <c r="I751" s="4"/>
      <c r="J751" s="4"/>
      <c r="K751" s="4"/>
      <c r="L751" s="4"/>
      <c r="M751" s="4"/>
      <c r="N751" s="4"/>
      <c r="O751" s="4"/>
      <c r="P751" s="4"/>
      <c r="Q751" s="4"/>
      <c r="R751" s="4"/>
      <c r="S751" s="4"/>
      <c r="T751" s="4"/>
      <c r="U751" s="4"/>
      <c r="V751" s="4"/>
      <c r="W751" s="4"/>
      <c r="X751" s="4"/>
      <c r="Y751" s="4"/>
      <c r="Z751" s="4"/>
      <c r="AA751" s="21"/>
    </row>
    <row r="752">
      <c r="A752" s="4"/>
      <c r="B752" s="4"/>
      <c r="C752" s="4"/>
      <c r="D752" s="26"/>
      <c r="E752" s="4"/>
      <c r="F752" s="4"/>
      <c r="G752" s="4"/>
      <c r="H752" s="4"/>
      <c r="I752" s="4"/>
      <c r="J752" s="4"/>
      <c r="K752" s="4"/>
      <c r="L752" s="4"/>
      <c r="M752" s="4"/>
      <c r="N752" s="4"/>
      <c r="O752" s="4"/>
      <c r="P752" s="4"/>
      <c r="Q752" s="4"/>
      <c r="R752" s="4"/>
      <c r="S752" s="4"/>
      <c r="T752" s="4"/>
      <c r="U752" s="4"/>
      <c r="V752" s="4"/>
      <c r="W752" s="4"/>
      <c r="X752" s="4"/>
      <c r="Y752" s="4"/>
      <c r="Z752" s="4"/>
      <c r="AA752" s="21"/>
    </row>
    <row r="753">
      <c r="A753" s="4"/>
      <c r="B753" s="4"/>
      <c r="C753" s="4"/>
      <c r="D753" s="26"/>
      <c r="E753" s="4"/>
      <c r="F753" s="4"/>
      <c r="G753" s="4"/>
      <c r="H753" s="4"/>
      <c r="I753" s="4"/>
      <c r="J753" s="4"/>
      <c r="K753" s="4"/>
      <c r="L753" s="4"/>
      <c r="M753" s="4"/>
      <c r="N753" s="4"/>
      <c r="O753" s="4"/>
      <c r="P753" s="4"/>
      <c r="Q753" s="4"/>
      <c r="R753" s="4"/>
      <c r="S753" s="4"/>
      <c r="T753" s="4"/>
      <c r="U753" s="4"/>
      <c r="V753" s="4"/>
      <c r="W753" s="4"/>
      <c r="X753" s="4"/>
      <c r="Y753" s="4"/>
      <c r="Z753" s="4"/>
      <c r="AA753" s="21"/>
    </row>
    <row r="754">
      <c r="A754" s="4"/>
      <c r="B754" s="4"/>
      <c r="C754" s="4"/>
      <c r="D754" s="26"/>
      <c r="E754" s="4"/>
      <c r="F754" s="4"/>
      <c r="G754" s="4"/>
      <c r="H754" s="4"/>
      <c r="I754" s="4"/>
      <c r="J754" s="4"/>
      <c r="K754" s="4"/>
      <c r="L754" s="4"/>
      <c r="M754" s="4"/>
      <c r="N754" s="4"/>
      <c r="O754" s="4"/>
      <c r="P754" s="4"/>
      <c r="Q754" s="4"/>
      <c r="R754" s="4"/>
      <c r="S754" s="4"/>
      <c r="T754" s="4"/>
      <c r="U754" s="4"/>
      <c r="V754" s="4"/>
      <c r="W754" s="4"/>
      <c r="X754" s="4"/>
      <c r="Y754" s="4"/>
      <c r="Z754" s="4"/>
      <c r="AA754" s="21"/>
    </row>
    <row r="755">
      <c r="A755" s="4"/>
      <c r="B755" s="4"/>
      <c r="C755" s="4"/>
      <c r="D755" s="26"/>
      <c r="E755" s="4"/>
      <c r="F755" s="4"/>
      <c r="G755" s="4"/>
      <c r="H755" s="4"/>
      <c r="I755" s="4"/>
      <c r="J755" s="4"/>
      <c r="K755" s="4"/>
      <c r="L755" s="4"/>
      <c r="M755" s="4"/>
      <c r="N755" s="4"/>
      <c r="O755" s="4"/>
      <c r="P755" s="4"/>
      <c r="Q755" s="4"/>
      <c r="R755" s="4"/>
      <c r="S755" s="4"/>
      <c r="T755" s="4"/>
      <c r="U755" s="4"/>
      <c r="V755" s="4"/>
      <c r="W755" s="4"/>
      <c r="X755" s="4"/>
      <c r="Y755" s="4"/>
      <c r="Z755" s="4"/>
      <c r="AA755" s="21"/>
    </row>
    <row r="756">
      <c r="A756" s="4"/>
      <c r="B756" s="4"/>
      <c r="C756" s="4"/>
      <c r="D756" s="26"/>
      <c r="E756" s="4"/>
      <c r="F756" s="4"/>
      <c r="G756" s="4"/>
      <c r="H756" s="4"/>
      <c r="I756" s="4"/>
      <c r="J756" s="4"/>
      <c r="K756" s="4"/>
      <c r="L756" s="4"/>
      <c r="M756" s="4"/>
      <c r="N756" s="4"/>
      <c r="O756" s="4"/>
      <c r="P756" s="4"/>
      <c r="Q756" s="4"/>
      <c r="R756" s="4"/>
      <c r="S756" s="4"/>
      <c r="T756" s="4"/>
      <c r="U756" s="4"/>
      <c r="V756" s="4"/>
      <c r="W756" s="4"/>
      <c r="X756" s="4"/>
      <c r="Y756" s="4"/>
      <c r="Z756" s="4"/>
      <c r="AA756" s="21"/>
    </row>
    <row r="757">
      <c r="A757" s="4"/>
      <c r="B757" s="4"/>
      <c r="C757" s="4"/>
      <c r="D757" s="26"/>
      <c r="E757" s="4"/>
      <c r="F757" s="4"/>
      <c r="G757" s="4"/>
      <c r="H757" s="4"/>
      <c r="I757" s="4"/>
      <c r="J757" s="4"/>
      <c r="K757" s="4"/>
      <c r="L757" s="4"/>
      <c r="M757" s="4"/>
      <c r="N757" s="4"/>
      <c r="O757" s="4"/>
      <c r="P757" s="4"/>
      <c r="Q757" s="4"/>
      <c r="R757" s="4"/>
      <c r="S757" s="4"/>
      <c r="T757" s="4"/>
      <c r="U757" s="4"/>
      <c r="V757" s="4"/>
      <c r="W757" s="4"/>
      <c r="X757" s="4"/>
      <c r="Y757" s="4"/>
      <c r="Z757" s="4"/>
      <c r="AA757" s="21"/>
    </row>
  </sheetData>
  <dataValidations>
    <dataValidation type="list" allowBlank="1" showErrorMessage="1" sqref="H2:H757">
      <formula1>"Conference,Journal"</formula1>
    </dataValidation>
    <dataValidation type="list" allowBlank="1" showErrorMessage="1" sqref="G2:G757">
      <formula1>"IEEE,Springer,Science Direct,ACM,Taylor and Francis ,Wiley ,Google Scholar ,Source "</formula1>
    </dataValidation>
    <dataValidation type="list" allowBlank="1" showErrorMessage="1" sqref="I2:J757">
      <formula1>"Yes,No"</formula1>
    </dataValidation>
    <dataValidation type="list" allowBlank="1" showErrorMessage="1" sqref="E2:E757">
      <formula1>"2025,2024,2023,2022,2021,2020,2019,2018,2017,2016,2015"</formula1>
    </dataValidation>
  </dataValidations>
  <drawing r:id="rId1"/>
</worksheet>
</file>